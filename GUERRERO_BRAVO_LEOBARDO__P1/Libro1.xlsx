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Documentos ISIC\"/>
    </mc:Choice>
  </mc:AlternateContent>
  <xr:revisionPtr revIDLastSave="0" documentId="13_ncr:1_{CDA1F499-7B2F-4243-8AD2-46B5FC6DF05D}" xr6:coauthVersionLast="47" xr6:coauthVersionMax="47" xr10:uidLastSave="{00000000-0000-0000-0000-000000000000}"/>
  <bookViews>
    <workbookView xWindow="5760" yWindow="1416" windowWidth="17280" windowHeight="8880" xr2:uid="{81F7B248-CDBB-4FE0-94DD-6482E4D8B4E7}"/>
  </bookViews>
  <sheets>
    <sheet name="Hoja1" sheetId="2" r:id="rId1"/>
    <sheet name="Regresion Lineal" sheetId="3" r:id="rId2"/>
    <sheet name="Medias Movil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3" l="1" a="1"/>
  <c r="E3" i="3" s="1"/>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9" i="2"/>
  <c r="U9" i="2"/>
  <c r="U1009" i="2"/>
  <c r="V1009" i="2"/>
  <c r="J6" i="4"/>
  <c r="K9" i="4" s="1"/>
  <c r="J7" i="4"/>
  <c r="K10" i="4" s="1"/>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L999" i="4" s="1"/>
  <c r="J1000" i="4"/>
  <c r="L1000" i="4" s="1"/>
  <c r="J1001" i="4"/>
  <c r="L1001" i="4" s="1"/>
  <c r="J5" i="4"/>
  <c r="K8" i="4" s="1"/>
  <c r="G5" i="4"/>
  <c r="H7" i="4" s="1"/>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I1000" i="4" s="1"/>
  <c r="G1001" i="4"/>
  <c r="I1001" i="4" s="1"/>
  <c r="G4" i="4"/>
  <c r="H6" i="4" s="1"/>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D4" i="4"/>
  <c r="N5" i="4" s="1"/>
  <c r="O5" i="4" s="1"/>
  <c r="D5" i="4"/>
  <c r="N6" i="4" s="1"/>
  <c r="O6" i="4" s="1"/>
  <c r="D6" i="4"/>
  <c r="N7" i="4" s="1"/>
  <c r="O7" i="4" s="1"/>
  <c r="D7" i="4"/>
  <c r="N8" i="4" s="1"/>
  <c r="O8" i="4" s="1"/>
  <c r="D8" i="4"/>
  <c r="N9" i="4" s="1"/>
  <c r="O9" i="4" s="1"/>
  <c r="D9" i="4"/>
  <c r="N10" i="4" s="1"/>
  <c r="O10" i="4" s="1"/>
  <c r="D10" i="4"/>
  <c r="N11" i="4" s="1"/>
  <c r="O11" i="4" s="1"/>
  <c r="D11" i="4"/>
  <c r="N12" i="4" s="1"/>
  <c r="O12" i="4" s="1"/>
  <c r="D12" i="4"/>
  <c r="N13" i="4" s="1"/>
  <c r="O13" i="4" s="1"/>
  <c r="D13" i="4"/>
  <c r="N14" i="4" s="1"/>
  <c r="O14" i="4" s="1"/>
  <c r="D14" i="4"/>
  <c r="N15" i="4" s="1"/>
  <c r="O15" i="4" s="1"/>
  <c r="D15" i="4"/>
  <c r="N16" i="4" s="1"/>
  <c r="O16" i="4" s="1"/>
  <c r="D16" i="4"/>
  <c r="N17" i="4" s="1"/>
  <c r="O17" i="4" s="1"/>
  <c r="D17" i="4"/>
  <c r="N18" i="4" s="1"/>
  <c r="O18" i="4" s="1"/>
  <c r="D18" i="4"/>
  <c r="N19" i="4" s="1"/>
  <c r="O19" i="4" s="1"/>
  <c r="D19" i="4"/>
  <c r="N20" i="4" s="1"/>
  <c r="O20" i="4" s="1"/>
  <c r="D20" i="4"/>
  <c r="N21" i="4" s="1"/>
  <c r="O21" i="4" s="1"/>
  <c r="D21" i="4"/>
  <c r="N22" i="4" s="1"/>
  <c r="O22" i="4" s="1"/>
  <c r="D22" i="4"/>
  <c r="N23" i="4" s="1"/>
  <c r="O23" i="4" s="1"/>
  <c r="D23" i="4"/>
  <c r="N24" i="4" s="1"/>
  <c r="O24" i="4" s="1"/>
  <c r="D24" i="4"/>
  <c r="N25" i="4" s="1"/>
  <c r="O25" i="4" s="1"/>
  <c r="D25" i="4"/>
  <c r="N26" i="4" s="1"/>
  <c r="O26" i="4" s="1"/>
  <c r="D26" i="4"/>
  <c r="N27" i="4" s="1"/>
  <c r="O27" i="4" s="1"/>
  <c r="D27" i="4"/>
  <c r="N28" i="4" s="1"/>
  <c r="O28" i="4" s="1"/>
  <c r="D28" i="4"/>
  <c r="N29" i="4" s="1"/>
  <c r="O29" i="4" s="1"/>
  <c r="D29" i="4"/>
  <c r="N30" i="4" s="1"/>
  <c r="O30" i="4" s="1"/>
  <c r="D30" i="4"/>
  <c r="N31" i="4" s="1"/>
  <c r="O31" i="4" s="1"/>
  <c r="D31" i="4"/>
  <c r="N32" i="4" s="1"/>
  <c r="O32" i="4" s="1"/>
  <c r="D32" i="4"/>
  <c r="N33" i="4" s="1"/>
  <c r="O33" i="4" s="1"/>
  <c r="D33" i="4"/>
  <c r="N34" i="4" s="1"/>
  <c r="O34" i="4" s="1"/>
  <c r="D34" i="4"/>
  <c r="N35" i="4" s="1"/>
  <c r="O35" i="4" s="1"/>
  <c r="D35" i="4"/>
  <c r="N36" i="4" s="1"/>
  <c r="O36" i="4" s="1"/>
  <c r="D36" i="4"/>
  <c r="N37" i="4" s="1"/>
  <c r="O37" i="4" s="1"/>
  <c r="D37" i="4"/>
  <c r="N38" i="4" s="1"/>
  <c r="O38" i="4" s="1"/>
  <c r="D38" i="4"/>
  <c r="N39" i="4" s="1"/>
  <c r="O39" i="4" s="1"/>
  <c r="D39" i="4"/>
  <c r="N40" i="4" s="1"/>
  <c r="O40" i="4" s="1"/>
  <c r="D40" i="4"/>
  <c r="N41" i="4" s="1"/>
  <c r="O41" i="4" s="1"/>
  <c r="D41" i="4"/>
  <c r="N42" i="4" s="1"/>
  <c r="O42" i="4" s="1"/>
  <c r="D42" i="4"/>
  <c r="N43" i="4" s="1"/>
  <c r="O43" i="4" s="1"/>
  <c r="D43" i="4"/>
  <c r="N44" i="4" s="1"/>
  <c r="O44" i="4" s="1"/>
  <c r="D44" i="4"/>
  <c r="N45" i="4" s="1"/>
  <c r="O45" i="4" s="1"/>
  <c r="D45" i="4"/>
  <c r="N46" i="4" s="1"/>
  <c r="O46" i="4" s="1"/>
  <c r="D46" i="4"/>
  <c r="N47" i="4" s="1"/>
  <c r="O47" i="4" s="1"/>
  <c r="D47" i="4"/>
  <c r="N48" i="4" s="1"/>
  <c r="O48" i="4" s="1"/>
  <c r="D48" i="4"/>
  <c r="N49" i="4" s="1"/>
  <c r="O49" i="4" s="1"/>
  <c r="D49" i="4"/>
  <c r="N50" i="4" s="1"/>
  <c r="O50" i="4" s="1"/>
  <c r="D50" i="4"/>
  <c r="N51" i="4" s="1"/>
  <c r="O51" i="4" s="1"/>
  <c r="D51" i="4"/>
  <c r="N52" i="4" s="1"/>
  <c r="O52" i="4" s="1"/>
  <c r="D52" i="4"/>
  <c r="N53" i="4" s="1"/>
  <c r="O53" i="4" s="1"/>
  <c r="D53" i="4"/>
  <c r="N54" i="4" s="1"/>
  <c r="O54" i="4" s="1"/>
  <c r="D54" i="4"/>
  <c r="N55" i="4" s="1"/>
  <c r="O55" i="4" s="1"/>
  <c r="D55" i="4"/>
  <c r="N56" i="4" s="1"/>
  <c r="O56" i="4" s="1"/>
  <c r="D56" i="4"/>
  <c r="N57" i="4" s="1"/>
  <c r="O57" i="4" s="1"/>
  <c r="D57" i="4"/>
  <c r="N58" i="4" s="1"/>
  <c r="O58" i="4" s="1"/>
  <c r="D58" i="4"/>
  <c r="N59" i="4" s="1"/>
  <c r="O59" i="4" s="1"/>
  <c r="D59" i="4"/>
  <c r="N60" i="4" s="1"/>
  <c r="O60" i="4" s="1"/>
  <c r="D60" i="4"/>
  <c r="N61" i="4" s="1"/>
  <c r="O61" i="4" s="1"/>
  <c r="D61" i="4"/>
  <c r="N62" i="4" s="1"/>
  <c r="O62" i="4" s="1"/>
  <c r="D62" i="4"/>
  <c r="N63" i="4" s="1"/>
  <c r="O63" i="4" s="1"/>
  <c r="D63" i="4"/>
  <c r="N64" i="4" s="1"/>
  <c r="O64" i="4" s="1"/>
  <c r="D64" i="4"/>
  <c r="N65" i="4" s="1"/>
  <c r="O65" i="4" s="1"/>
  <c r="D65" i="4"/>
  <c r="N66" i="4" s="1"/>
  <c r="O66" i="4" s="1"/>
  <c r="D66" i="4"/>
  <c r="N67" i="4" s="1"/>
  <c r="O67" i="4" s="1"/>
  <c r="D67" i="4"/>
  <c r="N68" i="4" s="1"/>
  <c r="O68" i="4" s="1"/>
  <c r="D68" i="4"/>
  <c r="N69" i="4" s="1"/>
  <c r="O69" i="4" s="1"/>
  <c r="D69" i="4"/>
  <c r="N70" i="4" s="1"/>
  <c r="O70" i="4" s="1"/>
  <c r="D70" i="4"/>
  <c r="N71" i="4" s="1"/>
  <c r="O71" i="4" s="1"/>
  <c r="D71" i="4"/>
  <c r="N72" i="4" s="1"/>
  <c r="O72" i="4" s="1"/>
  <c r="D72" i="4"/>
  <c r="N73" i="4" s="1"/>
  <c r="O73" i="4" s="1"/>
  <c r="D73" i="4"/>
  <c r="N74" i="4" s="1"/>
  <c r="O74" i="4" s="1"/>
  <c r="D74" i="4"/>
  <c r="N75" i="4" s="1"/>
  <c r="O75" i="4" s="1"/>
  <c r="D75" i="4"/>
  <c r="N76" i="4" s="1"/>
  <c r="O76" i="4" s="1"/>
  <c r="D76" i="4"/>
  <c r="N77" i="4" s="1"/>
  <c r="O77" i="4" s="1"/>
  <c r="D77" i="4"/>
  <c r="N78" i="4" s="1"/>
  <c r="O78" i="4" s="1"/>
  <c r="D78" i="4"/>
  <c r="N79" i="4" s="1"/>
  <c r="O79" i="4" s="1"/>
  <c r="D79" i="4"/>
  <c r="N80" i="4" s="1"/>
  <c r="O80" i="4" s="1"/>
  <c r="D80" i="4"/>
  <c r="N81" i="4" s="1"/>
  <c r="O81" i="4" s="1"/>
  <c r="D81" i="4"/>
  <c r="N82" i="4" s="1"/>
  <c r="O82" i="4" s="1"/>
  <c r="D82" i="4"/>
  <c r="N83" i="4" s="1"/>
  <c r="O83" i="4" s="1"/>
  <c r="D83" i="4"/>
  <c r="N84" i="4" s="1"/>
  <c r="O84" i="4" s="1"/>
  <c r="D84" i="4"/>
  <c r="N85" i="4" s="1"/>
  <c r="O85" i="4" s="1"/>
  <c r="D85" i="4"/>
  <c r="N86" i="4" s="1"/>
  <c r="O86" i="4" s="1"/>
  <c r="D86" i="4"/>
  <c r="N87" i="4" s="1"/>
  <c r="O87" i="4" s="1"/>
  <c r="D87" i="4"/>
  <c r="N88" i="4" s="1"/>
  <c r="O88" i="4" s="1"/>
  <c r="D88" i="4"/>
  <c r="N89" i="4" s="1"/>
  <c r="O89" i="4" s="1"/>
  <c r="D89" i="4"/>
  <c r="N90" i="4" s="1"/>
  <c r="O90" i="4" s="1"/>
  <c r="D90" i="4"/>
  <c r="N91" i="4" s="1"/>
  <c r="O91" i="4" s="1"/>
  <c r="D91" i="4"/>
  <c r="N92" i="4" s="1"/>
  <c r="O92" i="4" s="1"/>
  <c r="D92" i="4"/>
  <c r="N93" i="4" s="1"/>
  <c r="O93" i="4" s="1"/>
  <c r="D93" i="4"/>
  <c r="N94" i="4" s="1"/>
  <c r="O94" i="4" s="1"/>
  <c r="D94" i="4"/>
  <c r="N95" i="4" s="1"/>
  <c r="O95" i="4" s="1"/>
  <c r="D95" i="4"/>
  <c r="N96" i="4" s="1"/>
  <c r="O96" i="4" s="1"/>
  <c r="D96" i="4"/>
  <c r="N97" i="4" s="1"/>
  <c r="O97" i="4" s="1"/>
  <c r="D97" i="4"/>
  <c r="N98" i="4" s="1"/>
  <c r="O98" i="4" s="1"/>
  <c r="D98" i="4"/>
  <c r="N99" i="4" s="1"/>
  <c r="O99" i="4" s="1"/>
  <c r="D99" i="4"/>
  <c r="N100" i="4" s="1"/>
  <c r="O100" i="4" s="1"/>
  <c r="D100" i="4"/>
  <c r="N101" i="4" s="1"/>
  <c r="O101" i="4" s="1"/>
  <c r="D101" i="4"/>
  <c r="N102" i="4" s="1"/>
  <c r="O102" i="4" s="1"/>
  <c r="D102" i="4"/>
  <c r="N103" i="4" s="1"/>
  <c r="O103" i="4" s="1"/>
  <c r="D103" i="4"/>
  <c r="N104" i="4" s="1"/>
  <c r="O104" i="4" s="1"/>
  <c r="D104" i="4"/>
  <c r="N105" i="4" s="1"/>
  <c r="O105" i="4" s="1"/>
  <c r="D105" i="4"/>
  <c r="N106" i="4" s="1"/>
  <c r="O106" i="4" s="1"/>
  <c r="D106" i="4"/>
  <c r="N107" i="4" s="1"/>
  <c r="O107" i="4" s="1"/>
  <c r="D107" i="4"/>
  <c r="N108" i="4" s="1"/>
  <c r="O108" i="4" s="1"/>
  <c r="D108" i="4"/>
  <c r="N109" i="4" s="1"/>
  <c r="O109" i="4" s="1"/>
  <c r="D109" i="4"/>
  <c r="N110" i="4" s="1"/>
  <c r="O110" i="4" s="1"/>
  <c r="D110" i="4"/>
  <c r="N111" i="4" s="1"/>
  <c r="O111" i="4" s="1"/>
  <c r="D111" i="4"/>
  <c r="N112" i="4" s="1"/>
  <c r="O112" i="4" s="1"/>
  <c r="D112" i="4"/>
  <c r="N113" i="4" s="1"/>
  <c r="O113" i="4" s="1"/>
  <c r="D113" i="4"/>
  <c r="N114" i="4" s="1"/>
  <c r="O114" i="4" s="1"/>
  <c r="D114" i="4"/>
  <c r="N115" i="4" s="1"/>
  <c r="O115" i="4" s="1"/>
  <c r="D115" i="4"/>
  <c r="N116" i="4" s="1"/>
  <c r="O116" i="4" s="1"/>
  <c r="D116" i="4"/>
  <c r="N117" i="4" s="1"/>
  <c r="O117" i="4" s="1"/>
  <c r="D117" i="4"/>
  <c r="N118" i="4" s="1"/>
  <c r="O118" i="4" s="1"/>
  <c r="D118" i="4"/>
  <c r="N119" i="4" s="1"/>
  <c r="O119" i="4" s="1"/>
  <c r="D119" i="4"/>
  <c r="N120" i="4" s="1"/>
  <c r="O120" i="4" s="1"/>
  <c r="D120" i="4"/>
  <c r="N121" i="4" s="1"/>
  <c r="O121" i="4" s="1"/>
  <c r="D121" i="4"/>
  <c r="N122" i="4" s="1"/>
  <c r="O122" i="4" s="1"/>
  <c r="D122" i="4"/>
  <c r="N123" i="4" s="1"/>
  <c r="O123" i="4" s="1"/>
  <c r="D123" i="4"/>
  <c r="N124" i="4" s="1"/>
  <c r="O124" i="4" s="1"/>
  <c r="D124" i="4"/>
  <c r="N125" i="4" s="1"/>
  <c r="O125" i="4" s="1"/>
  <c r="D125" i="4"/>
  <c r="N126" i="4" s="1"/>
  <c r="O126" i="4" s="1"/>
  <c r="D126" i="4"/>
  <c r="N127" i="4" s="1"/>
  <c r="O127" i="4" s="1"/>
  <c r="D127" i="4"/>
  <c r="N128" i="4" s="1"/>
  <c r="O128" i="4" s="1"/>
  <c r="D128" i="4"/>
  <c r="N129" i="4" s="1"/>
  <c r="O129" i="4" s="1"/>
  <c r="D129" i="4"/>
  <c r="N130" i="4" s="1"/>
  <c r="O130" i="4" s="1"/>
  <c r="D130" i="4"/>
  <c r="N131" i="4" s="1"/>
  <c r="O131" i="4" s="1"/>
  <c r="D131" i="4"/>
  <c r="N132" i="4" s="1"/>
  <c r="O132" i="4" s="1"/>
  <c r="D132" i="4"/>
  <c r="N133" i="4" s="1"/>
  <c r="O133" i="4" s="1"/>
  <c r="D133" i="4"/>
  <c r="N134" i="4" s="1"/>
  <c r="O134" i="4" s="1"/>
  <c r="D134" i="4"/>
  <c r="N135" i="4" s="1"/>
  <c r="O135" i="4" s="1"/>
  <c r="D135" i="4"/>
  <c r="N136" i="4" s="1"/>
  <c r="O136" i="4" s="1"/>
  <c r="D136" i="4"/>
  <c r="N137" i="4" s="1"/>
  <c r="O137" i="4" s="1"/>
  <c r="D137" i="4"/>
  <c r="N138" i="4" s="1"/>
  <c r="O138" i="4" s="1"/>
  <c r="D138" i="4"/>
  <c r="N139" i="4" s="1"/>
  <c r="O139" i="4" s="1"/>
  <c r="D139" i="4"/>
  <c r="N140" i="4" s="1"/>
  <c r="O140" i="4" s="1"/>
  <c r="D140" i="4"/>
  <c r="N141" i="4" s="1"/>
  <c r="O141" i="4" s="1"/>
  <c r="D141" i="4"/>
  <c r="N142" i="4" s="1"/>
  <c r="O142" i="4" s="1"/>
  <c r="D142" i="4"/>
  <c r="N143" i="4" s="1"/>
  <c r="O143" i="4" s="1"/>
  <c r="D143" i="4"/>
  <c r="N144" i="4" s="1"/>
  <c r="O144" i="4" s="1"/>
  <c r="D144" i="4"/>
  <c r="N145" i="4" s="1"/>
  <c r="O145" i="4" s="1"/>
  <c r="D145" i="4"/>
  <c r="N146" i="4" s="1"/>
  <c r="O146" i="4" s="1"/>
  <c r="D146" i="4"/>
  <c r="N147" i="4" s="1"/>
  <c r="O147" i="4" s="1"/>
  <c r="D147" i="4"/>
  <c r="N148" i="4" s="1"/>
  <c r="O148" i="4" s="1"/>
  <c r="D148" i="4"/>
  <c r="N149" i="4" s="1"/>
  <c r="O149" i="4" s="1"/>
  <c r="D149" i="4"/>
  <c r="N150" i="4" s="1"/>
  <c r="O150" i="4" s="1"/>
  <c r="D150" i="4"/>
  <c r="N151" i="4" s="1"/>
  <c r="O151" i="4" s="1"/>
  <c r="D151" i="4"/>
  <c r="N152" i="4" s="1"/>
  <c r="O152" i="4" s="1"/>
  <c r="D152" i="4"/>
  <c r="N153" i="4" s="1"/>
  <c r="O153" i="4" s="1"/>
  <c r="D153" i="4"/>
  <c r="N154" i="4" s="1"/>
  <c r="O154" i="4" s="1"/>
  <c r="D154" i="4"/>
  <c r="N155" i="4" s="1"/>
  <c r="O155" i="4" s="1"/>
  <c r="D155" i="4"/>
  <c r="N156" i="4" s="1"/>
  <c r="O156" i="4" s="1"/>
  <c r="D156" i="4"/>
  <c r="N157" i="4" s="1"/>
  <c r="O157" i="4" s="1"/>
  <c r="D157" i="4"/>
  <c r="N158" i="4" s="1"/>
  <c r="O158" i="4" s="1"/>
  <c r="D158" i="4"/>
  <c r="N159" i="4" s="1"/>
  <c r="O159" i="4" s="1"/>
  <c r="D159" i="4"/>
  <c r="N160" i="4" s="1"/>
  <c r="O160" i="4" s="1"/>
  <c r="D160" i="4"/>
  <c r="N161" i="4" s="1"/>
  <c r="O161" i="4" s="1"/>
  <c r="D161" i="4"/>
  <c r="N162" i="4" s="1"/>
  <c r="O162" i="4" s="1"/>
  <c r="D162" i="4"/>
  <c r="N163" i="4" s="1"/>
  <c r="O163" i="4" s="1"/>
  <c r="D163" i="4"/>
  <c r="N164" i="4" s="1"/>
  <c r="O164" i="4" s="1"/>
  <c r="D164" i="4"/>
  <c r="N165" i="4" s="1"/>
  <c r="O165" i="4" s="1"/>
  <c r="D165" i="4"/>
  <c r="N166" i="4" s="1"/>
  <c r="O166" i="4" s="1"/>
  <c r="D166" i="4"/>
  <c r="N167" i="4" s="1"/>
  <c r="O167" i="4" s="1"/>
  <c r="D167" i="4"/>
  <c r="N168" i="4" s="1"/>
  <c r="O168" i="4" s="1"/>
  <c r="D168" i="4"/>
  <c r="N169" i="4" s="1"/>
  <c r="O169" i="4" s="1"/>
  <c r="D169" i="4"/>
  <c r="N170" i="4" s="1"/>
  <c r="O170" i="4" s="1"/>
  <c r="D170" i="4"/>
  <c r="N171" i="4" s="1"/>
  <c r="O171" i="4" s="1"/>
  <c r="D171" i="4"/>
  <c r="N172" i="4" s="1"/>
  <c r="O172" i="4" s="1"/>
  <c r="D172" i="4"/>
  <c r="N173" i="4" s="1"/>
  <c r="O173" i="4" s="1"/>
  <c r="D173" i="4"/>
  <c r="N174" i="4" s="1"/>
  <c r="O174" i="4" s="1"/>
  <c r="D174" i="4"/>
  <c r="N175" i="4" s="1"/>
  <c r="O175" i="4" s="1"/>
  <c r="D175" i="4"/>
  <c r="N176" i="4" s="1"/>
  <c r="O176" i="4" s="1"/>
  <c r="D176" i="4"/>
  <c r="N177" i="4" s="1"/>
  <c r="O177" i="4" s="1"/>
  <c r="D177" i="4"/>
  <c r="N178" i="4" s="1"/>
  <c r="O178" i="4" s="1"/>
  <c r="D178" i="4"/>
  <c r="N179" i="4" s="1"/>
  <c r="O179" i="4" s="1"/>
  <c r="D179" i="4"/>
  <c r="N180" i="4" s="1"/>
  <c r="O180" i="4" s="1"/>
  <c r="D180" i="4"/>
  <c r="N181" i="4" s="1"/>
  <c r="O181" i="4" s="1"/>
  <c r="D181" i="4"/>
  <c r="N182" i="4" s="1"/>
  <c r="O182" i="4" s="1"/>
  <c r="D182" i="4"/>
  <c r="N183" i="4" s="1"/>
  <c r="O183" i="4" s="1"/>
  <c r="D183" i="4"/>
  <c r="N184" i="4" s="1"/>
  <c r="O184" i="4" s="1"/>
  <c r="D184" i="4"/>
  <c r="N185" i="4" s="1"/>
  <c r="O185" i="4" s="1"/>
  <c r="D185" i="4"/>
  <c r="N186" i="4" s="1"/>
  <c r="O186" i="4" s="1"/>
  <c r="D186" i="4"/>
  <c r="N187" i="4" s="1"/>
  <c r="O187" i="4" s="1"/>
  <c r="D187" i="4"/>
  <c r="N188" i="4" s="1"/>
  <c r="O188" i="4" s="1"/>
  <c r="D188" i="4"/>
  <c r="N189" i="4" s="1"/>
  <c r="O189" i="4" s="1"/>
  <c r="D189" i="4"/>
  <c r="N190" i="4" s="1"/>
  <c r="O190" i="4" s="1"/>
  <c r="D190" i="4"/>
  <c r="N191" i="4" s="1"/>
  <c r="O191" i="4" s="1"/>
  <c r="D191" i="4"/>
  <c r="N192" i="4" s="1"/>
  <c r="O192" i="4" s="1"/>
  <c r="D192" i="4"/>
  <c r="N193" i="4" s="1"/>
  <c r="O193" i="4" s="1"/>
  <c r="D193" i="4"/>
  <c r="N194" i="4" s="1"/>
  <c r="O194" i="4" s="1"/>
  <c r="D194" i="4"/>
  <c r="N195" i="4" s="1"/>
  <c r="O195" i="4" s="1"/>
  <c r="D195" i="4"/>
  <c r="N196" i="4" s="1"/>
  <c r="O196" i="4" s="1"/>
  <c r="D196" i="4"/>
  <c r="N197" i="4" s="1"/>
  <c r="O197" i="4" s="1"/>
  <c r="D197" i="4"/>
  <c r="N198" i="4" s="1"/>
  <c r="O198" i="4" s="1"/>
  <c r="D198" i="4"/>
  <c r="N199" i="4" s="1"/>
  <c r="O199" i="4" s="1"/>
  <c r="D199" i="4"/>
  <c r="N200" i="4" s="1"/>
  <c r="O200" i="4" s="1"/>
  <c r="D200" i="4"/>
  <c r="N201" i="4" s="1"/>
  <c r="O201" i="4" s="1"/>
  <c r="D201" i="4"/>
  <c r="N202" i="4" s="1"/>
  <c r="O202" i="4" s="1"/>
  <c r="D202" i="4"/>
  <c r="N203" i="4" s="1"/>
  <c r="O203" i="4" s="1"/>
  <c r="D203" i="4"/>
  <c r="N204" i="4" s="1"/>
  <c r="O204" i="4" s="1"/>
  <c r="D204" i="4"/>
  <c r="N205" i="4" s="1"/>
  <c r="O205" i="4" s="1"/>
  <c r="D205" i="4"/>
  <c r="N206" i="4" s="1"/>
  <c r="O206" i="4" s="1"/>
  <c r="D206" i="4"/>
  <c r="N207" i="4" s="1"/>
  <c r="O207" i="4" s="1"/>
  <c r="D207" i="4"/>
  <c r="N208" i="4" s="1"/>
  <c r="O208" i="4" s="1"/>
  <c r="D208" i="4"/>
  <c r="N209" i="4" s="1"/>
  <c r="O209" i="4" s="1"/>
  <c r="D209" i="4"/>
  <c r="N210" i="4" s="1"/>
  <c r="O210" i="4" s="1"/>
  <c r="D210" i="4"/>
  <c r="N211" i="4" s="1"/>
  <c r="O211" i="4" s="1"/>
  <c r="D211" i="4"/>
  <c r="N212" i="4" s="1"/>
  <c r="O212" i="4" s="1"/>
  <c r="D212" i="4"/>
  <c r="N213" i="4" s="1"/>
  <c r="O213" i="4" s="1"/>
  <c r="D213" i="4"/>
  <c r="N214" i="4" s="1"/>
  <c r="O214" i="4" s="1"/>
  <c r="D214" i="4"/>
  <c r="N215" i="4" s="1"/>
  <c r="O215" i="4" s="1"/>
  <c r="D215" i="4"/>
  <c r="N216" i="4" s="1"/>
  <c r="O216" i="4" s="1"/>
  <c r="D216" i="4"/>
  <c r="N217" i="4" s="1"/>
  <c r="O217" i="4" s="1"/>
  <c r="D217" i="4"/>
  <c r="N218" i="4" s="1"/>
  <c r="O218" i="4" s="1"/>
  <c r="D218" i="4"/>
  <c r="N219" i="4" s="1"/>
  <c r="O219" i="4" s="1"/>
  <c r="D219" i="4"/>
  <c r="N220" i="4" s="1"/>
  <c r="O220" i="4" s="1"/>
  <c r="D220" i="4"/>
  <c r="N221" i="4" s="1"/>
  <c r="O221" i="4" s="1"/>
  <c r="D221" i="4"/>
  <c r="N222" i="4" s="1"/>
  <c r="O222" i="4" s="1"/>
  <c r="D222" i="4"/>
  <c r="N223" i="4" s="1"/>
  <c r="O223" i="4" s="1"/>
  <c r="D223" i="4"/>
  <c r="N224" i="4" s="1"/>
  <c r="O224" i="4" s="1"/>
  <c r="D224" i="4"/>
  <c r="N225" i="4" s="1"/>
  <c r="O225" i="4" s="1"/>
  <c r="D225" i="4"/>
  <c r="N226" i="4" s="1"/>
  <c r="O226" i="4" s="1"/>
  <c r="D226" i="4"/>
  <c r="N227" i="4" s="1"/>
  <c r="O227" i="4" s="1"/>
  <c r="D227" i="4"/>
  <c r="N228" i="4" s="1"/>
  <c r="O228" i="4" s="1"/>
  <c r="D228" i="4"/>
  <c r="N229" i="4" s="1"/>
  <c r="O229" i="4" s="1"/>
  <c r="D229" i="4"/>
  <c r="N230" i="4" s="1"/>
  <c r="O230" i="4" s="1"/>
  <c r="D230" i="4"/>
  <c r="N231" i="4" s="1"/>
  <c r="O231" i="4" s="1"/>
  <c r="D231" i="4"/>
  <c r="N232" i="4" s="1"/>
  <c r="O232" i="4" s="1"/>
  <c r="D232" i="4"/>
  <c r="N233" i="4" s="1"/>
  <c r="O233" i="4" s="1"/>
  <c r="D233" i="4"/>
  <c r="N234" i="4" s="1"/>
  <c r="O234" i="4" s="1"/>
  <c r="D234" i="4"/>
  <c r="N235" i="4" s="1"/>
  <c r="O235" i="4" s="1"/>
  <c r="D235" i="4"/>
  <c r="N236" i="4" s="1"/>
  <c r="O236" i="4" s="1"/>
  <c r="D236" i="4"/>
  <c r="N237" i="4" s="1"/>
  <c r="O237" i="4" s="1"/>
  <c r="D237" i="4"/>
  <c r="N238" i="4" s="1"/>
  <c r="O238" i="4" s="1"/>
  <c r="D238" i="4"/>
  <c r="N239" i="4" s="1"/>
  <c r="O239" i="4" s="1"/>
  <c r="D239" i="4"/>
  <c r="N240" i="4" s="1"/>
  <c r="O240" i="4" s="1"/>
  <c r="D240" i="4"/>
  <c r="N241" i="4" s="1"/>
  <c r="O241" i="4" s="1"/>
  <c r="D241" i="4"/>
  <c r="N242" i="4" s="1"/>
  <c r="O242" i="4" s="1"/>
  <c r="D242" i="4"/>
  <c r="N243" i="4" s="1"/>
  <c r="O243" i="4" s="1"/>
  <c r="D243" i="4"/>
  <c r="N244" i="4" s="1"/>
  <c r="O244" i="4" s="1"/>
  <c r="D244" i="4"/>
  <c r="N245" i="4" s="1"/>
  <c r="O245" i="4" s="1"/>
  <c r="D245" i="4"/>
  <c r="N246" i="4" s="1"/>
  <c r="O246" i="4" s="1"/>
  <c r="D246" i="4"/>
  <c r="N247" i="4" s="1"/>
  <c r="O247" i="4" s="1"/>
  <c r="D247" i="4"/>
  <c r="N248" i="4" s="1"/>
  <c r="O248" i="4" s="1"/>
  <c r="D248" i="4"/>
  <c r="N249" i="4" s="1"/>
  <c r="O249" i="4" s="1"/>
  <c r="D249" i="4"/>
  <c r="N250" i="4" s="1"/>
  <c r="O250" i="4" s="1"/>
  <c r="D250" i="4"/>
  <c r="N251" i="4" s="1"/>
  <c r="O251" i="4" s="1"/>
  <c r="D251" i="4"/>
  <c r="N252" i="4" s="1"/>
  <c r="O252" i="4" s="1"/>
  <c r="D252" i="4"/>
  <c r="N253" i="4" s="1"/>
  <c r="O253" i="4" s="1"/>
  <c r="D253" i="4"/>
  <c r="N254" i="4" s="1"/>
  <c r="O254" i="4" s="1"/>
  <c r="D254" i="4"/>
  <c r="N255" i="4" s="1"/>
  <c r="O255" i="4" s="1"/>
  <c r="D255" i="4"/>
  <c r="N256" i="4" s="1"/>
  <c r="O256" i="4" s="1"/>
  <c r="D256" i="4"/>
  <c r="N257" i="4" s="1"/>
  <c r="O257" i="4" s="1"/>
  <c r="D257" i="4"/>
  <c r="N258" i="4" s="1"/>
  <c r="O258" i="4" s="1"/>
  <c r="D258" i="4"/>
  <c r="N259" i="4" s="1"/>
  <c r="O259" i="4" s="1"/>
  <c r="D259" i="4"/>
  <c r="N260" i="4" s="1"/>
  <c r="O260" i="4" s="1"/>
  <c r="D260" i="4"/>
  <c r="N261" i="4" s="1"/>
  <c r="O261" i="4" s="1"/>
  <c r="D261" i="4"/>
  <c r="N262" i="4" s="1"/>
  <c r="O262" i="4" s="1"/>
  <c r="D262" i="4"/>
  <c r="N263" i="4" s="1"/>
  <c r="O263" i="4" s="1"/>
  <c r="D263" i="4"/>
  <c r="N264" i="4" s="1"/>
  <c r="O264" i="4" s="1"/>
  <c r="D264" i="4"/>
  <c r="N265" i="4" s="1"/>
  <c r="O265" i="4" s="1"/>
  <c r="D265" i="4"/>
  <c r="N266" i="4" s="1"/>
  <c r="O266" i="4" s="1"/>
  <c r="D266" i="4"/>
  <c r="N267" i="4" s="1"/>
  <c r="O267" i="4" s="1"/>
  <c r="D267" i="4"/>
  <c r="N268" i="4" s="1"/>
  <c r="O268" i="4" s="1"/>
  <c r="D268" i="4"/>
  <c r="N269" i="4" s="1"/>
  <c r="O269" i="4" s="1"/>
  <c r="D269" i="4"/>
  <c r="N270" i="4" s="1"/>
  <c r="O270" i="4" s="1"/>
  <c r="D270" i="4"/>
  <c r="N271" i="4" s="1"/>
  <c r="O271" i="4" s="1"/>
  <c r="D271" i="4"/>
  <c r="N272" i="4" s="1"/>
  <c r="O272" i="4" s="1"/>
  <c r="D272" i="4"/>
  <c r="N273" i="4" s="1"/>
  <c r="O273" i="4" s="1"/>
  <c r="D273" i="4"/>
  <c r="N274" i="4" s="1"/>
  <c r="O274" i="4" s="1"/>
  <c r="D274" i="4"/>
  <c r="N275" i="4" s="1"/>
  <c r="O275" i="4" s="1"/>
  <c r="D275" i="4"/>
  <c r="N276" i="4" s="1"/>
  <c r="O276" i="4" s="1"/>
  <c r="D276" i="4"/>
  <c r="N277" i="4" s="1"/>
  <c r="O277" i="4" s="1"/>
  <c r="D277" i="4"/>
  <c r="N278" i="4" s="1"/>
  <c r="O278" i="4" s="1"/>
  <c r="D278" i="4"/>
  <c r="N279" i="4" s="1"/>
  <c r="O279" i="4" s="1"/>
  <c r="D279" i="4"/>
  <c r="N280" i="4" s="1"/>
  <c r="O280" i="4" s="1"/>
  <c r="D280" i="4"/>
  <c r="N281" i="4" s="1"/>
  <c r="O281" i="4" s="1"/>
  <c r="D281" i="4"/>
  <c r="N282" i="4" s="1"/>
  <c r="O282" i="4" s="1"/>
  <c r="D282" i="4"/>
  <c r="N283" i="4" s="1"/>
  <c r="O283" i="4" s="1"/>
  <c r="D283" i="4"/>
  <c r="N284" i="4" s="1"/>
  <c r="O284" i="4" s="1"/>
  <c r="D284" i="4"/>
  <c r="N285" i="4" s="1"/>
  <c r="O285" i="4" s="1"/>
  <c r="D285" i="4"/>
  <c r="N286" i="4" s="1"/>
  <c r="O286" i="4" s="1"/>
  <c r="D286" i="4"/>
  <c r="N287" i="4" s="1"/>
  <c r="O287" i="4" s="1"/>
  <c r="D287" i="4"/>
  <c r="N288" i="4" s="1"/>
  <c r="O288" i="4" s="1"/>
  <c r="D288" i="4"/>
  <c r="N289" i="4" s="1"/>
  <c r="O289" i="4" s="1"/>
  <c r="D289" i="4"/>
  <c r="N290" i="4" s="1"/>
  <c r="O290" i="4" s="1"/>
  <c r="D290" i="4"/>
  <c r="N291" i="4" s="1"/>
  <c r="O291" i="4" s="1"/>
  <c r="D291" i="4"/>
  <c r="N292" i="4" s="1"/>
  <c r="O292" i="4" s="1"/>
  <c r="D292" i="4"/>
  <c r="N293" i="4" s="1"/>
  <c r="O293" i="4" s="1"/>
  <c r="D293" i="4"/>
  <c r="N294" i="4" s="1"/>
  <c r="O294" i="4" s="1"/>
  <c r="D294" i="4"/>
  <c r="N295" i="4" s="1"/>
  <c r="O295" i="4" s="1"/>
  <c r="D295" i="4"/>
  <c r="N296" i="4" s="1"/>
  <c r="O296" i="4" s="1"/>
  <c r="D296" i="4"/>
  <c r="N297" i="4" s="1"/>
  <c r="O297" i="4" s="1"/>
  <c r="D297" i="4"/>
  <c r="N298" i="4" s="1"/>
  <c r="O298" i="4" s="1"/>
  <c r="D298" i="4"/>
  <c r="N299" i="4" s="1"/>
  <c r="O299" i="4" s="1"/>
  <c r="D299" i="4"/>
  <c r="N300" i="4" s="1"/>
  <c r="O300" i="4" s="1"/>
  <c r="D300" i="4"/>
  <c r="N301" i="4" s="1"/>
  <c r="O301" i="4" s="1"/>
  <c r="D301" i="4"/>
  <c r="N302" i="4" s="1"/>
  <c r="O302" i="4" s="1"/>
  <c r="D302" i="4"/>
  <c r="N303" i="4" s="1"/>
  <c r="O303" i="4" s="1"/>
  <c r="D303" i="4"/>
  <c r="N304" i="4" s="1"/>
  <c r="O304" i="4" s="1"/>
  <c r="D304" i="4"/>
  <c r="N305" i="4" s="1"/>
  <c r="O305" i="4" s="1"/>
  <c r="D305" i="4"/>
  <c r="N306" i="4" s="1"/>
  <c r="O306" i="4" s="1"/>
  <c r="D306" i="4"/>
  <c r="N307" i="4" s="1"/>
  <c r="O307" i="4" s="1"/>
  <c r="D307" i="4"/>
  <c r="N308" i="4" s="1"/>
  <c r="O308" i="4" s="1"/>
  <c r="D308" i="4"/>
  <c r="N309" i="4" s="1"/>
  <c r="O309" i="4" s="1"/>
  <c r="D309" i="4"/>
  <c r="N310" i="4" s="1"/>
  <c r="O310" i="4" s="1"/>
  <c r="D310" i="4"/>
  <c r="N311" i="4" s="1"/>
  <c r="O311" i="4" s="1"/>
  <c r="D311" i="4"/>
  <c r="N312" i="4" s="1"/>
  <c r="O312" i="4" s="1"/>
  <c r="D312" i="4"/>
  <c r="N313" i="4" s="1"/>
  <c r="O313" i="4" s="1"/>
  <c r="D313" i="4"/>
  <c r="N314" i="4" s="1"/>
  <c r="O314" i="4" s="1"/>
  <c r="D314" i="4"/>
  <c r="N315" i="4" s="1"/>
  <c r="O315" i="4" s="1"/>
  <c r="D315" i="4"/>
  <c r="N316" i="4" s="1"/>
  <c r="O316" i="4" s="1"/>
  <c r="D316" i="4"/>
  <c r="N317" i="4" s="1"/>
  <c r="O317" i="4" s="1"/>
  <c r="D317" i="4"/>
  <c r="N318" i="4" s="1"/>
  <c r="O318" i="4" s="1"/>
  <c r="D318" i="4"/>
  <c r="N319" i="4" s="1"/>
  <c r="O319" i="4" s="1"/>
  <c r="D319" i="4"/>
  <c r="N320" i="4" s="1"/>
  <c r="O320" i="4" s="1"/>
  <c r="D320" i="4"/>
  <c r="N321" i="4" s="1"/>
  <c r="O321" i="4" s="1"/>
  <c r="D321" i="4"/>
  <c r="N322" i="4" s="1"/>
  <c r="O322" i="4" s="1"/>
  <c r="D322" i="4"/>
  <c r="N323" i="4" s="1"/>
  <c r="O323" i="4" s="1"/>
  <c r="D323" i="4"/>
  <c r="N324" i="4" s="1"/>
  <c r="O324" i="4" s="1"/>
  <c r="D324" i="4"/>
  <c r="N325" i="4" s="1"/>
  <c r="O325" i="4" s="1"/>
  <c r="D325" i="4"/>
  <c r="N326" i="4" s="1"/>
  <c r="O326" i="4" s="1"/>
  <c r="D326" i="4"/>
  <c r="N327" i="4" s="1"/>
  <c r="O327" i="4" s="1"/>
  <c r="D327" i="4"/>
  <c r="N328" i="4" s="1"/>
  <c r="O328" i="4" s="1"/>
  <c r="D328" i="4"/>
  <c r="N329" i="4" s="1"/>
  <c r="O329" i="4" s="1"/>
  <c r="D329" i="4"/>
  <c r="N330" i="4" s="1"/>
  <c r="O330" i="4" s="1"/>
  <c r="D330" i="4"/>
  <c r="N331" i="4" s="1"/>
  <c r="O331" i="4" s="1"/>
  <c r="D331" i="4"/>
  <c r="N332" i="4" s="1"/>
  <c r="O332" i="4" s="1"/>
  <c r="D332" i="4"/>
  <c r="N333" i="4" s="1"/>
  <c r="O333" i="4" s="1"/>
  <c r="D333" i="4"/>
  <c r="N334" i="4" s="1"/>
  <c r="O334" i="4" s="1"/>
  <c r="D334" i="4"/>
  <c r="N335" i="4" s="1"/>
  <c r="O335" i="4" s="1"/>
  <c r="D335" i="4"/>
  <c r="N336" i="4" s="1"/>
  <c r="O336" i="4" s="1"/>
  <c r="D336" i="4"/>
  <c r="N337" i="4" s="1"/>
  <c r="O337" i="4" s="1"/>
  <c r="D337" i="4"/>
  <c r="N338" i="4" s="1"/>
  <c r="O338" i="4" s="1"/>
  <c r="D338" i="4"/>
  <c r="N339" i="4" s="1"/>
  <c r="O339" i="4" s="1"/>
  <c r="D339" i="4"/>
  <c r="N340" i="4" s="1"/>
  <c r="O340" i="4" s="1"/>
  <c r="D340" i="4"/>
  <c r="N341" i="4" s="1"/>
  <c r="O341" i="4" s="1"/>
  <c r="D341" i="4"/>
  <c r="N342" i="4" s="1"/>
  <c r="O342" i="4" s="1"/>
  <c r="D342" i="4"/>
  <c r="N343" i="4" s="1"/>
  <c r="O343" i="4" s="1"/>
  <c r="D343" i="4"/>
  <c r="N344" i="4" s="1"/>
  <c r="O344" i="4" s="1"/>
  <c r="D344" i="4"/>
  <c r="N345" i="4" s="1"/>
  <c r="O345" i="4" s="1"/>
  <c r="D345" i="4"/>
  <c r="N346" i="4" s="1"/>
  <c r="O346" i="4" s="1"/>
  <c r="D346" i="4"/>
  <c r="N347" i="4" s="1"/>
  <c r="O347" i="4" s="1"/>
  <c r="D347" i="4"/>
  <c r="N348" i="4" s="1"/>
  <c r="O348" i="4" s="1"/>
  <c r="D348" i="4"/>
  <c r="N349" i="4" s="1"/>
  <c r="O349" i="4" s="1"/>
  <c r="D349" i="4"/>
  <c r="N350" i="4" s="1"/>
  <c r="O350" i="4" s="1"/>
  <c r="D350" i="4"/>
  <c r="N351" i="4" s="1"/>
  <c r="O351" i="4" s="1"/>
  <c r="D351" i="4"/>
  <c r="N352" i="4" s="1"/>
  <c r="O352" i="4" s="1"/>
  <c r="D352" i="4"/>
  <c r="N353" i="4" s="1"/>
  <c r="O353" i="4" s="1"/>
  <c r="D353" i="4"/>
  <c r="N354" i="4" s="1"/>
  <c r="O354" i="4" s="1"/>
  <c r="D354" i="4"/>
  <c r="N355" i="4" s="1"/>
  <c r="O355" i="4" s="1"/>
  <c r="D355" i="4"/>
  <c r="N356" i="4" s="1"/>
  <c r="O356" i="4" s="1"/>
  <c r="D356" i="4"/>
  <c r="N357" i="4" s="1"/>
  <c r="O357" i="4" s="1"/>
  <c r="D357" i="4"/>
  <c r="N358" i="4" s="1"/>
  <c r="O358" i="4" s="1"/>
  <c r="D358" i="4"/>
  <c r="N359" i="4" s="1"/>
  <c r="O359" i="4" s="1"/>
  <c r="D359" i="4"/>
  <c r="N360" i="4" s="1"/>
  <c r="O360" i="4" s="1"/>
  <c r="D360" i="4"/>
  <c r="N361" i="4" s="1"/>
  <c r="O361" i="4" s="1"/>
  <c r="D361" i="4"/>
  <c r="N362" i="4" s="1"/>
  <c r="O362" i="4" s="1"/>
  <c r="D362" i="4"/>
  <c r="N363" i="4" s="1"/>
  <c r="O363" i="4" s="1"/>
  <c r="D363" i="4"/>
  <c r="N364" i="4" s="1"/>
  <c r="O364" i="4" s="1"/>
  <c r="D364" i="4"/>
  <c r="N365" i="4" s="1"/>
  <c r="O365" i="4" s="1"/>
  <c r="D365" i="4"/>
  <c r="N366" i="4" s="1"/>
  <c r="O366" i="4" s="1"/>
  <c r="D366" i="4"/>
  <c r="N367" i="4" s="1"/>
  <c r="O367" i="4" s="1"/>
  <c r="D367" i="4"/>
  <c r="N368" i="4" s="1"/>
  <c r="O368" i="4" s="1"/>
  <c r="D368" i="4"/>
  <c r="N369" i="4" s="1"/>
  <c r="O369" i="4" s="1"/>
  <c r="D369" i="4"/>
  <c r="N370" i="4" s="1"/>
  <c r="O370" i="4" s="1"/>
  <c r="D370" i="4"/>
  <c r="N371" i="4" s="1"/>
  <c r="O371" i="4" s="1"/>
  <c r="D371" i="4"/>
  <c r="N372" i="4" s="1"/>
  <c r="O372" i="4" s="1"/>
  <c r="D372" i="4"/>
  <c r="N373" i="4" s="1"/>
  <c r="O373" i="4" s="1"/>
  <c r="D373" i="4"/>
  <c r="N374" i="4" s="1"/>
  <c r="O374" i="4" s="1"/>
  <c r="D374" i="4"/>
  <c r="N375" i="4" s="1"/>
  <c r="O375" i="4" s="1"/>
  <c r="D375" i="4"/>
  <c r="N376" i="4" s="1"/>
  <c r="O376" i="4" s="1"/>
  <c r="D376" i="4"/>
  <c r="N377" i="4" s="1"/>
  <c r="O377" i="4" s="1"/>
  <c r="D377" i="4"/>
  <c r="N378" i="4" s="1"/>
  <c r="O378" i="4" s="1"/>
  <c r="D378" i="4"/>
  <c r="N379" i="4" s="1"/>
  <c r="O379" i="4" s="1"/>
  <c r="D379" i="4"/>
  <c r="N380" i="4" s="1"/>
  <c r="O380" i="4" s="1"/>
  <c r="D380" i="4"/>
  <c r="N381" i="4" s="1"/>
  <c r="O381" i="4" s="1"/>
  <c r="D381" i="4"/>
  <c r="N382" i="4" s="1"/>
  <c r="O382" i="4" s="1"/>
  <c r="D382" i="4"/>
  <c r="N383" i="4" s="1"/>
  <c r="O383" i="4" s="1"/>
  <c r="D383" i="4"/>
  <c r="N384" i="4" s="1"/>
  <c r="O384" i="4" s="1"/>
  <c r="D384" i="4"/>
  <c r="N385" i="4" s="1"/>
  <c r="O385" i="4" s="1"/>
  <c r="D385" i="4"/>
  <c r="N386" i="4" s="1"/>
  <c r="O386" i="4" s="1"/>
  <c r="D386" i="4"/>
  <c r="N387" i="4" s="1"/>
  <c r="O387" i="4" s="1"/>
  <c r="D387" i="4"/>
  <c r="N388" i="4" s="1"/>
  <c r="O388" i="4" s="1"/>
  <c r="D388" i="4"/>
  <c r="N389" i="4" s="1"/>
  <c r="O389" i="4" s="1"/>
  <c r="D389" i="4"/>
  <c r="N390" i="4" s="1"/>
  <c r="O390" i="4" s="1"/>
  <c r="D390" i="4"/>
  <c r="N391" i="4" s="1"/>
  <c r="O391" i="4" s="1"/>
  <c r="D391" i="4"/>
  <c r="N392" i="4" s="1"/>
  <c r="O392" i="4" s="1"/>
  <c r="D392" i="4"/>
  <c r="N393" i="4" s="1"/>
  <c r="O393" i="4" s="1"/>
  <c r="D393" i="4"/>
  <c r="N394" i="4" s="1"/>
  <c r="O394" i="4" s="1"/>
  <c r="D394" i="4"/>
  <c r="N395" i="4" s="1"/>
  <c r="O395" i="4" s="1"/>
  <c r="D395" i="4"/>
  <c r="N396" i="4" s="1"/>
  <c r="O396" i="4" s="1"/>
  <c r="D396" i="4"/>
  <c r="N397" i="4" s="1"/>
  <c r="O397" i="4" s="1"/>
  <c r="D397" i="4"/>
  <c r="N398" i="4" s="1"/>
  <c r="O398" i="4" s="1"/>
  <c r="D398" i="4"/>
  <c r="N399" i="4" s="1"/>
  <c r="O399" i="4" s="1"/>
  <c r="D399" i="4"/>
  <c r="N400" i="4" s="1"/>
  <c r="O400" i="4" s="1"/>
  <c r="D400" i="4"/>
  <c r="N401" i="4" s="1"/>
  <c r="O401" i="4" s="1"/>
  <c r="D401" i="4"/>
  <c r="N402" i="4" s="1"/>
  <c r="O402" i="4" s="1"/>
  <c r="D402" i="4"/>
  <c r="N403" i="4" s="1"/>
  <c r="O403" i="4" s="1"/>
  <c r="D403" i="4"/>
  <c r="N404" i="4" s="1"/>
  <c r="O404" i="4" s="1"/>
  <c r="D404" i="4"/>
  <c r="N405" i="4" s="1"/>
  <c r="O405" i="4" s="1"/>
  <c r="D405" i="4"/>
  <c r="N406" i="4" s="1"/>
  <c r="O406" i="4" s="1"/>
  <c r="D406" i="4"/>
  <c r="N407" i="4" s="1"/>
  <c r="O407" i="4" s="1"/>
  <c r="D407" i="4"/>
  <c r="N408" i="4" s="1"/>
  <c r="O408" i="4" s="1"/>
  <c r="D408" i="4"/>
  <c r="N409" i="4" s="1"/>
  <c r="O409" i="4" s="1"/>
  <c r="D409" i="4"/>
  <c r="N410" i="4" s="1"/>
  <c r="O410" i="4" s="1"/>
  <c r="D410" i="4"/>
  <c r="N411" i="4" s="1"/>
  <c r="O411" i="4" s="1"/>
  <c r="D411" i="4"/>
  <c r="N412" i="4" s="1"/>
  <c r="O412" i="4" s="1"/>
  <c r="D412" i="4"/>
  <c r="N413" i="4" s="1"/>
  <c r="O413" i="4" s="1"/>
  <c r="D413" i="4"/>
  <c r="N414" i="4" s="1"/>
  <c r="O414" i="4" s="1"/>
  <c r="D414" i="4"/>
  <c r="N415" i="4" s="1"/>
  <c r="O415" i="4" s="1"/>
  <c r="D415" i="4"/>
  <c r="N416" i="4" s="1"/>
  <c r="O416" i="4" s="1"/>
  <c r="D416" i="4"/>
  <c r="N417" i="4" s="1"/>
  <c r="O417" i="4" s="1"/>
  <c r="D417" i="4"/>
  <c r="N418" i="4" s="1"/>
  <c r="O418" i="4" s="1"/>
  <c r="D418" i="4"/>
  <c r="N419" i="4" s="1"/>
  <c r="O419" i="4" s="1"/>
  <c r="D419" i="4"/>
  <c r="N420" i="4" s="1"/>
  <c r="O420" i="4" s="1"/>
  <c r="D420" i="4"/>
  <c r="N421" i="4" s="1"/>
  <c r="O421" i="4" s="1"/>
  <c r="D421" i="4"/>
  <c r="N422" i="4" s="1"/>
  <c r="O422" i="4" s="1"/>
  <c r="D422" i="4"/>
  <c r="N423" i="4" s="1"/>
  <c r="O423" i="4" s="1"/>
  <c r="D423" i="4"/>
  <c r="N424" i="4" s="1"/>
  <c r="O424" i="4" s="1"/>
  <c r="D424" i="4"/>
  <c r="N425" i="4" s="1"/>
  <c r="O425" i="4" s="1"/>
  <c r="D425" i="4"/>
  <c r="N426" i="4" s="1"/>
  <c r="O426" i="4" s="1"/>
  <c r="D426" i="4"/>
  <c r="N427" i="4" s="1"/>
  <c r="O427" i="4" s="1"/>
  <c r="D427" i="4"/>
  <c r="N428" i="4" s="1"/>
  <c r="O428" i="4" s="1"/>
  <c r="D428" i="4"/>
  <c r="N429" i="4" s="1"/>
  <c r="O429" i="4" s="1"/>
  <c r="D429" i="4"/>
  <c r="N430" i="4" s="1"/>
  <c r="O430" i="4" s="1"/>
  <c r="D430" i="4"/>
  <c r="N431" i="4" s="1"/>
  <c r="O431" i="4" s="1"/>
  <c r="D431" i="4"/>
  <c r="N432" i="4" s="1"/>
  <c r="O432" i="4" s="1"/>
  <c r="D432" i="4"/>
  <c r="N433" i="4" s="1"/>
  <c r="O433" i="4" s="1"/>
  <c r="D433" i="4"/>
  <c r="N434" i="4" s="1"/>
  <c r="O434" i="4" s="1"/>
  <c r="D434" i="4"/>
  <c r="N435" i="4" s="1"/>
  <c r="O435" i="4" s="1"/>
  <c r="D435" i="4"/>
  <c r="N436" i="4" s="1"/>
  <c r="O436" i="4" s="1"/>
  <c r="D436" i="4"/>
  <c r="N437" i="4" s="1"/>
  <c r="O437" i="4" s="1"/>
  <c r="D437" i="4"/>
  <c r="N438" i="4" s="1"/>
  <c r="O438" i="4" s="1"/>
  <c r="D438" i="4"/>
  <c r="N439" i="4" s="1"/>
  <c r="O439" i="4" s="1"/>
  <c r="D439" i="4"/>
  <c r="N440" i="4" s="1"/>
  <c r="O440" i="4" s="1"/>
  <c r="D440" i="4"/>
  <c r="N441" i="4" s="1"/>
  <c r="O441" i="4" s="1"/>
  <c r="D441" i="4"/>
  <c r="N442" i="4" s="1"/>
  <c r="O442" i="4" s="1"/>
  <c r="D442" i="4"/>
  <c r="N443" i="4" s="1"/>
  <c r="O443" i="4" s="1"/>
  <c r="D443" i="4"/>
  <c r="N444" i="4" s="1"/>
  <c r="O444" i="4" s="1"/>
  <c r="D444" i="4"/>
  <c r="N445" i="4" s="1"/>
  <c r="O445" i="4" s="1"/>
  <c r="D445" i="4"/>
  <c r="N446" i="4" s="1"/>
  <c r="O446" i="4" s="1"/>
  <c r="D446" i="4"/>
  <c r="N447" i="4" s="1"/>
  <c r="O447" i="4" s="1"/>
  <c r="D447" i="4"/>
  <c r="N448" i="4" s="1"/>
  <c r="O448" i="4" s="1"/>
  <c r="D448" i="4"/>
  <c r="N449" i="4" s="1"/>
  <c r="O449" i="4" s="1"/>
  <c r="D449" i="4"/>
  <c r="N450" i="4" s="1"/>
  <c r="O450" i="4" s="1"/>
  <c r="D450" i="4"/>
  <c r="N451" i="4" s="1"/>
  <c r="O451" i="4" s="1"/>
  <c r="D451" i="4"/>
  <c r="N452" i="4" s="1"/>
  <c r="O452" i="4" s="1"/>
  <c r="D452" i="4"/>
  <c r="N453" i="4" s="1"/>
  <c r="O453" i="4" s="1"/>
  <c r="D453" i="4"/>
  <c r="N454" i="4" s="1"/>
  <c r="O454" i="4" s="1"/>
  <c r="D454" i="4"/>
  <c r="N455" i="4" s="1"/>
  <c r="O455" i="4" s="1"/>
  <c r="D455" i="4"/>
  <c r="N456" i="4" s="1"/>
  <c r="O456" i="4" s="1"/>
  <c r="D456" i="4"/>
  <c r="N457" i="4" s="1"/>
  <c r="O457" i="4" s="1"/>
  <c r="D457" i="4"/>
  <c r="N458" i="4" s="1"/>
  <c r="O458" i="4" s="1"/>
  <c r="D458" i="4"/>
  <c r="N459" i="4" s="1"/>
  <c r="O459" i="4" s="1"/>
  <c r="D459" i="4"/>
  <c r="N460" i="4" s="1"/>
  <c r="O460" i="4" s="1"/>
  <c r="D460" i="4"/>
  <c r="N461" i="4" s="1"/>
  <c r="O461" i="4" s="1"/>
  <c r="D461" i="4"/>
  <c r="N462" i="4" s="1"/>
  <c r="O462" i="4" s="1"/>
  <c r="D462" i="4"/>
  <c r="N463" i="4" s="1"/>
  <c r="O463" i="4" s="1"/>
  <c r="D463" i="4"/>
  <c r="N464" i="4" s="1"/>
  <c r="O464" i="4" s="1"/>
  <c r="D464" i="4"/>
  <c r="N465" i="4" s="1"/>
  <c r="O465" i="4" s="1"/>
  <c r="D465" i="4"/>
  <c r="N466" i="4" s="1"/>
  <c r="O466" i="4" s="1"/>
  <c r="D466" i="4"/>
  <c r="N467" i="4" s="1"/>
  <c r="O467" i="4" s="1"/>
  <c r="D467" i="4"/>
  <c r="N468" i="4" s="1"/>
  <c r="O468" i="4" s="1"/>
  <c r="D468" i="4"/>
  <c r="N469" i="4" s="1"/>
  <c r="O469" i="4" s="1"/>
  <c r="D469" i="4"/>
  <c r="N470" i="4" s="1"/>
  <c r="O470" i="4" s="1"/>
  <c r="D470" i="4"/>
  <c r="N471" i="4" s="1"/>
  <c r="O471" i="4" s="1"/>
  <c r="D471" i="4"/>
  <c r="N472" i="4" s="1"/>
  <c r="O472" i="4" s="1"/>
  <c r="D472" i="4"/>
  <c r="N473" i="4" s="1"/>
  <c r="O473" i="4" s="1"/>
  <c r="D473" i="4"/>
  <c r="N474" i="4" s="1"/>
  <c r="O474" i="4" s="1"/>
  <c r="D474" i="4"/>
  <c r="N475" i="4" s="1"/>
  <c r="O475" i="4" s="1"/>
  <c r="D475" i="4"/>
  <c r="N476" i="4" s="1"/>
  <c r="O476" i="4" s="1"/>
  <c r="D476" i="4"/>
  <c r="N477" i="4" s="1"/>
  <c r="O477" i="4" s="1"/>
  <c r="D477" i="4"/>
  <c r="N478" i="4" s="1"/>
  <c r="O478" i="4" s="1"/>
  <c r="D478" i="4"/>
  <c r="N479" i="4" s="1"/>
  <c r="O479" i="4" s="1"/>
  <c r="D479" i="4"/>
  <c r="N480" i="4" s="1"/>
  <c r="O480" i="4" s="1"/>
  <c r="D480" i="4"/>
  <c r="N481" i="4" s="1"/>
  <c r="O481" i="4" s="1"/>
  <c r="D481" i="4"/>
  <c r="N482" i="4" s="1"/>
  <c r="O482" i="4" s="1"/>
  <c r="D482" i="4"/>
  <c r="N483" i="4" s="1"/>
  <c r="O483" i="4" s="1"/>
  <c r="D483" i="4"/>
  <c r="N484" i="4" s="1"/>
  <c r="O484" i="4" s="1"/>
  <c r="D484" i="4"/>
  <c r="N485" i="4" s="1"/>
  <c r="O485" i="4" s="1"/>
  <c r="D485" i="4"/>
  <c r="N486" i="4" s="1"/>
  <c r="O486" i="4" s="1"/>
  <c r="D486" i="4"/>
  <c r="N487" i="4" s="1"/>
  <c r="O487" i="4" s="1"/>
  <c r="D487" i="4"/>
  <c r="N488" i="4" s="1"/>
  <c r="O488" i="4" s="1"/>
  <c r="D488" i="4"/>
  <c r="N489" i="4" s="1"/>
  <c r="O489" i="4" s="1"/>
  <c r="D489" i="4"/>
  <c r="N490" i="4" s="1"/>
  <c r="O490" i="4" s="1"/>
  <c r="D490" i="4"/>
  <c r="N491" i="4" s="1"/>
  <c r="O491" i="4" s="1"/>
  <c r="D491" i="4"/>
  <c r="N492" i="4" s="1"/>
  <c r="O492" i="4" s="1"/>
  <c r="D492" i="4"/>
  <c r="N493" i="4" s="1"/>
  <c r="O493" i="4" s="1"/>
  <c r="D493" i="4"/>
  <c r="N494" i="4" s="1"/>
  <c r="O494" i="4" s="1"/>
  <c r="D494" i="4"/>
  <c r="N495" i="4" s="1"/>
  <c r="O495" i="4" s="1"/>
  <c r="D495" i="4"/>
  <c r="N496" i="4" s="1"/>
  <c r="O496" i="4" s="1"/>
  <c r="D496" i="4"/>
  <c r="N497" i="4" s="1"/>
  <c r="O497" i="4" s="1"/>
  <c r="D497" i="4"/>
  <c r="N498" i="4" s="1"/>
  <c r="O498" i="4" s="1"/>
  <c r="D498" i="4"/>
  <c r="N499" i="4" s="1"/>
  <c r="O499" i="4" s="1"/>
  <c r="D499" i="4"/>
  <c r="N500" i="4" s="1"/>
  <c r="O500" i="4" s="1"/>
  <c r="D500" i="4"/>
  <c r="N501" i="4" s="1"/>
  <c r="O501" i="4" s="1"/>
  <c r="D501" i="4"/>
  <c r="N502" i="4" s="1"/>
  <c r="O502" i="4" s="1"/>
  <c r="D502" i="4"/>
  <c r="N503" i="4" s="1"/>
  <c r="O503" i="4" s="1"/>
  <c r="D503" i="4"/>
  <c r="N504" i="4" s="1"/>
  <c r="O504" i="4" s="1"/>
  <c r="D504" i="4"/>
  <c r="N505" i="4" s="1"/>
  <c r="O505" i="4" s="1"/>
  <c r="D505" i="4"/>
  <c r="N506" i="4" s="1"/>
  <c r="O506" i="4" s="1"/>
  <c r="D506" i="4"/>
  <c r="N507" i="4" s="1"/>
  <c r="O507" i="4" s="1"/>
  <c r="D507" i="4"/>
  <c r="N508" i="4" s="1"/>
  <c r="O508" i="4" s="1"/>
  <c r="D508" i="4"/>
  <c r="N509" i="4" s="1"/>
  <c r="O509" i="4" s="1"/>
  <c r="D509" i="4"/>
  <c r="N510" i="4" s="1"/>
  <c r="O510" i="4" s="1"/>
  <c r="D510" i="4"/>
  <c r="N511" i="4" s="1"/>
  <c r="O511" i="4" s="1"/>
  <c r="D511" i="4"/>
  <c r="N512" i="4" s="1"/>
  <c r="O512" i="4" s="1"/>
  <c r="D512" i="4"/>
  <c r="N513" i="4" s="1"/>
  <c r="O513" i="4" s="1"/>
  <c r="D513" i="4"/>
  <c r="N514" i="4" s="1"/>
  <c r="O514" i="4" s="1"/>
  <c r="D514" i="4"/>
  <c r="N515" i="4" s="1"/>
  <c r="O515" i="4" s="1"/>
  <c r="D515" i="4"/>
  <c r="N516" i="4" s="1"/>
  <c r="O516" i="4" s="1"/>
  <c r="D516" i="4"/>
  <c r="N517" i="4" s="1"/>
  <c r="O517" i="4" s="1"/>
  <c r="D517" i="4"/>
  <c r="N518" i="4" s="1"/>
  <c r="O518" i="4" s="1"/>
  <c r="D518" i="4"/>
  <c r="N519" i="4" s="1"/>
  <c r="O519" i="4" s="1"/>
  <c r="D519" i="4"/>
  <c r="N520" i="4" s="1"/>
  <c r="O520" i="4" s="1"/>
  <c r="D520" i="4"/>
  <c r="N521" i="4" s="1"/>
  <c r="O521" i="4" s="1"/>
  <c r="D521" i="4"/>
  <c r="N522" i="4" s="1"/>
  <c r="O522" i="4" s="1"/>
  <c r="D522" i="4"/>
  <c r="N523" i="4" s="1"/>
  <c r="O523" i="4" s="1"/>
  <c r="D523" i="4"/>
  <c r="N524" i="4" s="1"/>
  <c r="O524" i="4" s="1"/>
  <c r="D524" i="4"/>
  <c r="N525" i="4" s="1"/>
  <c r="O525" i="4" s="1"/>
  <c r="D525" i="4"/>
  <c r="N526" i="4" s="1"/>
  <c r="O526" i="4" s="1"/>
  <c r="D526" i="4"/>
  <c r="N527" i="4" s="1"/>
  <c r="O527" i="4" s="1"/>
  <c r="D527" i="4"/>
  <c r="N528" i="4" s="1"/>
  <c r="O528" i="4" s="1"/>
  <c r="D528" i="4"/>
  <c r="N529" i="4" s="1"/>
  <c r="O529" i="4" s="1"/>
  <c r="D529" i="4"/>
  <c r="N530" i="4" s="1"/>
  <c r="O530" i="4" s="1"/>
  <c r="D530" i="4"/>
  <c r="N531" i="4" s="1"/>
  <c r="O531" i="4" s="1"/>
  <c r="D531" i="4"/>
  <c r="N532" i="4" s="1"/>
  <c r="O532" i="4" s="1"/>
  <c r="D532" i="4"/>
  <c r="N533" i="4" s="1"/>
  <c r="O533" i="4" s="1"/>
  <c r="D533" i="4"/>
  <c r="N534" i="4" s="1"/>
  <c r="O534" i="4" s="1"/>
  <c r="D534" i="4"/>
  <c r="N535" i="4" s="1"/>
  <c r="O535" i="4" s="1"/>
  <c r="D535" i="4"/>
  <c r="N536" i="4" s="1"/>
  <c r="O536" i="4" s="1"/>
  <c r="D536" i="4"/>
  <c r="N537" i="4" s="1"/>
  <c r="O537" i="4" s="1"/>
  <c r="D537" i="4"/>
  <c r="N538" i="4" s="1"/>
  <c r="O538" i="4" s="1"/>
  <c r="D538" i="4"/>
  <c r="N539" i="4" s="1"/>
  <c r="O539" i="4" s="1"/>
  <c r="D539" i="4"/>
  <c r="N540" i="4" s="1"/>
  <c r="O540" i="4" s="1"/>
  <c r="D540" i="4"/>
  <c r="N541" i="4" s="1"/>
  <c r="O541" i="4" s="1"/>
  <c r="D541" i="4"/>
  <c r="N542" i="4" s="1"/>
  <c r="O542" i="4" s="1"/>
  <c r="D542" i="4"/>
  <c r="N543" i="4" s="1"/>
  <c r="O543" i="4" s="1"/>
  <c r="D543" i="4"/>
  <c r="N544" i="4" s="1"/>
  <c r="O544" i="4" s="1"/>
  <c r="D544" i="4"/>
  <c r="N545" i="4" s="1"/>
  <c r="O545" i="4" s="1"/>
  <c r="D545" i="4"/>
  <c r="N546" i="4" s="1"/>
  <c r="O546" i="4" s="1"/>
  <c r="D546" i="4"/>
  <c r="N547" i="4" s="1"/>
  <c r="O547" i="4" s="1"/>
  <c r="D547" i="4"/>
  <c r="N548" i="4" s="1"/>
  <c r="O548" i="4" s="1"/>
  <c r="D548" i="4"/>
  <c r="N549" i="4" s="1"/>
  <c r="O549" i="4" s="1"/>
  <c r="D549" i="4"/>
  <c r="N550" i="4" s="1"/>
  <c r="O550" i="4" s="1"/>
  <c r="D550" i="4"/>
  <c r="N551" i="4" s="1"/>
  <c r="O551" i="4" s="1"/>
  <c r="D551" i="4"/>
  <c r="N552" i="4" s="1"/>
  <c r="O552" i="4" s="1"/>
  <c r="D552" i="4"/>
  <c r="N553" i="4" s="1"/>
  <c r="O553" i="4" s="1"/>
  <c r="D553" i="4"/>
  <c r="N554" i="4" s="1"/>
  <c r="O554" i="4" s="1"/>
  <c r="D554" i="4"/>
  <c r="N555" i="4" s="1"/>
  <c r="O555" i="4" s="1"/>
  <c r="D555" i="4"/>
  <c r="N556" i="4" s="1"/>
  <c r="O556" i="4" s="1"/>
  <c r="D556" i="4"/>
  <c r="N557" i="4" s="1"/>
  <c r="O557" i="4" s="1"/>
  <c r="D557" i="4"/>
  <c r="N558" i="4" s="1"/>
  <c r="O558" i="4" s="1"/>
  <c r="D558" i="4"/>
  <c r="N559" i="4" s="1"/>
  <c r="O559" i="4" s="1"/>
  <c r="D559" i="4"/>
  <c r="N560" i="4" s="1"/>
  <c r="O560" i="4" s="1"/>
  <c r="D560" i="4"/>
  <c r="N561" i="4" s="1"/>
  <c r="O561" i="4" s="1"/>
  <c r="D561" i="4"/>
  <c r="N562" i="4" s="1"/>
  <c r="O562" i="4" s="1"/>
  <c r="D562" i="4"/>
  <c r="N563" i="4" s="1"/>
  <c r="O563" i="4" s="1"/>
  <c r="D563" i="4"/>
  <c r="N564" i="4" s="1"/>
  <c r="O564" i="4" s="1"/>
  <c r="D564" i="4"/>
  <c r="N565" i="4" s="1"/>
  <c r="O565" i="4" s="1"/>
  <c r="D565" i="4"/>
  <c r="N566" i="4" s="1"/>
  <c r="O566" i="4" s="1"/>
  <c r="D566" i="4"/>
  <c r="N567" i="4" s="1"/>
  <c r="O567" i="4" s="1"/>
  <c r="D567" i="4"/>
  <c r="N568" i="4" s="1"/>
  <c r="O568" i="4" s="1"/>
  <c r="D568" i="4"/>
  <c r="N569" i="4" s="1"/>
  <c r="O569" i="4" s="1"/>
  <c r="D569" i="4"/>
  <c r="N570" i="4" s="1"/>
  <c r="O570" i="4" s="1"/>
  <c r="D570" i="4"/>
  <c r="N571" i="4" s="1"/>
  <c r="O571" i="4" s="1"/>
  <c r="D571" i="4"/>
  <c r="N572" i="4" s="1"/>
  <c r="O572" i="4" s="1"/>
  <c r="D572" i="4"/>
  <c r="N573" i="4" s="1"/>
  <c r="O573" i="4" s="1"/>
  <c r="D573" i="4"/>
  <c r="N574" i="4" s="1"/>
  <c r="O574" i="4" s="1"/>
  <c r="D574" i="4"/>
  <c r="N575" i="4" s="1"/>
  <c r="O575" i="4" s="1"/>
  <c r="D575" i="4"/>
  <c r="N576" i="4" s="1"/>
  <c r="O576" i="4" s="1"/>
  <c r="D576" i="4"/>
  <c r="N577" i="4" s="1"/>
  <c r="O577" i="4" s="1"/>
  <c r="D577" i="4"/>
  <c r="N578" i="4" s="1"/>
  <c r="O578" i="4" s="1"/>
  <c r="D578" i="4"/>
  <c r="N579" i="4" s="1"/>
  <c r="O579" i="4" s="1"/>
  <c r="D579" i="4"/>
  <c r="N580" i="4" s="1"/>
  <c r="O580" i="4" s="1"/>
  <c r="D580" i="4"/>
  <c r="N581" i="4" s="1"/>
  <c r="O581" i="4" s="1"/>
  <c r="D581" i="4"/>
  <c r="N582" i="4" s="1"/>
  <c r="O582" i="4" s="1"/>
  <c r="D582" i="4"/>
  <c r="N583" i="4" s="1"/>
  <c r="O583" i="4" s="1"/>
  <c r="D583" i="4"/>
  <c r="N584" i="4" s="1"/>
  <c r="O584" i="4" s="1"/>
  <c r="D584" i="4"/>
  <c r="N585" i="4" s="1"/>
  <c r="O585" i="4" s="1"/>
  <c r="D585" i="4"/>
  <c r="N586" i="4" s="1"/>
  <c r="O586" i="4" s="1"/>
  <c r="D586" i="4"/>
  <c r="N587" i="4" s="1"/>
  <c r="O587" i="4" s="1"/>
  <c r="D587" i="4"/>
  <c r="N588" i="4" s="1"/>
  <c r="O588" i="4" s="1"/>
  <c r="D588" i="4"/>
  <c r="N589" i="4" s="1"/>
  <c r="O589" i="4" s="1"/>
  <c r="D589" i="4"/>
  <c r="N590" i="4" s="1"/>
  <c r="O590" i="4" s="1"/>
  <c r="D590" i="4"/>
  <c r="N591" i="4" s="1"/>
  <c r="O591" i="4" s="1"/>
  <c r="D591" i="4"/>
  <c r="N592" i="4" s="1"/>
  <c r="O592" i="4" s="1"/>
  <c r="D592" i="4"/>
  <c r="N593" i="4" s="1"/>
  <c r="O593" i="4" s="1"/>
  <c r="D593" i="4"/>
  <c r="N594" i="4" s="1"/>
  <c r="O594" i="4" s="1"/>
  <c r="D594" i="4"/>
  <c r="N595" i="4" s="1"/>
  <c r="O595" i="4" s="1"/>
  <c r="D595" i="4"/>
  <c r="N596" i="4" s="1"/>
  <c r="O596" i="4" s="1"/>
  <c r="D596" i="4"/>
  <c r="N597" i="4" s="1"/>
  <c r="O597" i="4" s="1"/>
  <c r="D597" i="4"/>
  <c r="N598" i="4" s="1"/>
  <c r="O598" i="4" s="1"/>
  <c r="D598" i="4"/>
  <c r="N599" i="4" s="1"/>
  <c r="O599" i="4" s="1"/>
  <c r="D599" i="4"/>
  <c r="N600" i="4" s="1"/>
  <c r="O600" i="4" s="1"/>
  <c r="D600" i="4"/>
  <c r="N601" i="4" s="1"/>
  <c r="O601" i="4" s="1"/>
  <c r="D601" i="4"/>
  <c r="N602" i="4" s="1"/>
  <c r="O602" i="4" s="1"/>
  <c r="D602" i="4"/>
  <c r="N603" i="4" s="1"/>
  <c r="O603" i="4" s="1"/>
  <c r="D603" i="4"/>
  <c r="N604" i="4" s="1"/>
  <c r="O604" i="4" s="1"/>
  <c r="D604" i="4"/>
  <c r="N605" i="4" s="1"/>
  <c r="O605" i="4" s="1"/>
  <c r="D605" i="4"/>
  <c r="N606" i="4" s="1"/>
  <c r="O606" i="4" s="1"/>
  <c r="D606" i="4"/>
  <c r="N607" i="4" s="1"/>
  <c r="O607" i="4" s="1"/>
  <c r="D607" i="4"/>
  <c r="N608" i="4" s="1"/>
  <c r="O608" i="4" s="1"/>
  <c r="D608" i="4"/>
  <c r="N609" i="4" s="1"/>
  <c r="O609" i="4" s="1"/>
  <c r="D609" i="4"/>
  <c r="N610" i="4" s="1"/>
  <c r="O610" i="4" s="1"/>
  <c r="D610" i="4"/>
  <c r="N611" i="4" s="1"/>
  <c r="O611" i="4" s="1"/>
  <c r="D611" i="4"/>
  <c r="N612" i="4" s="1"/>
  <c r="O612" i="4" s="1"/>
  <c r="D612" i="4"/>
  <c r="N613" i="4" s="1"/>
  <c r="O613" i="4" s="1"/>
  <c r="D613" i="4"/>
  <c r="N614" i="4" s="1"/>
  <c r="O614" i="4" s="1"/>
  <c r="D614" i="4"/>
  <c r="N615" i="4" s="1"/>
  <c r="O615" i="4" s="1"/>
  <c r="D615" i="4"/>
  <c r="N616" i="4" s="1"/>
  <c r="O616" i="4" s="1"/>
  <c r="D616" i="4"/>
  <c r="N617" i="4" s="1"/>
  <c r="O617" i="4" s="1"/>
  <c r="D617" i="4"/>
  <c r="N618" i="4" s="1"/>
  <c r="O618" i="4" s="1"/>
  <c r="D618" i="4"/>
  <c r="N619" i="4" s="1"/>
  <c r="O619" i="4" s="1"/>
  <c r="D619" i="4"/>
  <c r="N620" i="4" s="1"/>
  <c r="O620" i="4" s="1"/>
  <c r="D620" i="4"/>
  <c r="N621" i="4" s="1"/>
  <c r="O621" i="4" s="1"/>
  <c r="D621" i="4"/>
  <c r="N622" i="4" s="1"/>
  <c r="O622" i="4" s="1"/>
  <c r="D622" i="4"/>
  <c r="N623" i="4" s="1"/>
  <c r="O623" i="4" s="1"/>
  <c r="D623" i="4"/>
  <c r="N624" i="4" s="1"/>
  <c r="O624" i="4" s="1"/>
  <c r="D624" i="4"/>
  <c r="N625" i="4" s="1"/>
  <c r="O625" i="4" s="1"/>
  <c r="D625" i="4"/>
  <c r="N626" i="4" s="1"/>
  <c r="O626" i="4" s="1"/>
  <c r="D626" i="4"/>
  <c r="N627" i="4" s="1"/>
  <c r="O627" i="4" s="1"/>
  <c r="D627" i="4"/>
  <c r="N628" i="4" s="1"/>
  <c r="O628" i="4" s="1"/>
  <c r="D628" i="4"/>
  <c r="N629" i="4" s="1"/>
  <c r="O629" i="4" s="1"/>
  <c r="D629" i="4"/>
  <c r="N630" i="4" s="1"/>
  <c r="O630" i="4" s="1"/>
  <c r="D630" i="4"/>
  <c r="N631" i="4" s="1"/>
  <c r="O631" i="4" s="1"/>
  <c r="D631" i="4"/>
  <c r="N632" i="4" s="1"/>
  <c r="O632" i="4" s="1"/>
  <c r="D632" i="4"/>
  <c r="N633" i="4" s="1"/>
  <c r="O633" i="4" s="1"/>
  <c r="D633" i="4"/>
  <c r="N634" i="4" s="1"/>
  <c r="O634" i="4" s="1"/>
  <c r="D634" i="4"/>
  <c r="N635" i="4" s="1"/>
  <c r="O635" i="4" s="1"/>
  <c r="D635" i="4"/>
  <c r="N636" i="4" s="1"/>
  <c r="O636" i="4" s="1"/>
  <c r="D636" i="4"/>
  <c r="N637" i="4" s="1"/>
  <c r="O637" i="4" s="1"/>
  <c r="D637" i="4"/>
  <c r="N638" i="4" s="1"/>
  <c r="O638" i="4" s="1"/>
  <c r="D638" i="4"/>
  <c r="N639" i="4" s="1"/>
  <c r="O639" i="4" s="1"/>
  <c r="D639" i="4"/>
  <c r="N640" i="4" s="1"/>
  <c r="O640" i="4" s="1"/>
  <c r="D640" i="4"/>
  <c r="N641" i="4" s="1"/>
  <c r="O641" i="4" s="1"/>
  <c r="D641" i="4"/>
  <c r="N642" i="4" s="1"/>
  <c r="O642" i="4" s="1"/>
  <c r="D642" i="4"/>
  <c r="N643" i="4" s="1"/>
  <c r="O643" i="4" s="1"/>
  <c r="D643" i="4"/>
  <c r="N644" i="4" s="1"/>
  <c r="O644" i="4" s="1"/>
  <c r="D644" i="4"/>
  <c r="N645" i="4" s="1"/>
  <c r="O645" i="4" s="1"/>
  <c r="D645" i="4"/>
  <c r="N646" i="4" s="1"/>
  <c r="O646" i="4" s="1"/>
  <c r="D646" i="4"/>
  <c r="N647" i="4" s="1"/>
  <c r="O647" i="4" s="1"/>
  <c r="D647" i="4"/>
  <c r="N648" i="4" s="1"/>
  <c r="O648" i="4" s="1"/>
  <c r="D648" i="4"/>
  <c r="N649" i="4" s="1"/>
  <c r="O649" i="4" s="1"/>
  <c r="D649" i="4"/>
  <c r="N650" i="4" s="1"/>
  <c r="O650" i="4" s="1"/>
  <c r="D650" i="4"/>
  <c r="N651" i="4" s="1"/>
  <c r="O651" i="4" s="1"/>
  <c r="D651" i="4"/>
  <c r="N652" i="4" s="1"/>
  <c r="O652" i="4" s="1"/>
  <c r="D652" i="4"/>
  <c r="N653" i="4" s="1"/>
  <c r="O653" i="4" s="1"/>
  <c r="D653" i="4"/>
  <c r="N654" i="4" s="1"/>
  <c r="O654" i="4" s="1"/>
  <c r="D654" i="4"/>
  <c r="N655" i="4" s="1"/>
  <c r="O655" i="4" s="1"/>
  <c r="D655" i="4"/>
  <c r="N656" i="4" s="1"/>
  <c r="O656" i="4" s="1"/>
  <c r="D656" i="4"/>
  <c r="N657" i="4" s="1"/>
  <c r="O657" i="4" s="1"/>
  <c r="D657" i="4"/>
  <c r="N658" i="4" s="1"/>
  <c r="O658" i="4" s="1"/>
  <c r="D658" i="4"/>
  <c r="N659" i="4" s="1"/>
  <c r="O659" i="4" s="1"/>
  <c r="D659" i="4"/>
  <c r="N660" i="4" s="1"/>
  <c r="O660" i="4" s="1"/>
  <c r="D660" i="4"/>
  <c r="N661" i="4" s="1"/>
  <c r="O661" i="4" s="1"/>
  <c r="D661" i="4"/>
  <c r="N662" i="4" s="1"/>
  <c r="O662" i="4" s="1"/>
  <c r="D662" i="4"/>
  <c r="N663" i="4" s="1"/>
  <c r="O663" i="4" s="1"/>
  <c r="D663" i="4"/>
  <c r="N664" i="4" s="1"/>
  <c r="O664" i="4" s="1"/>
  <c r="D664" i="4"/>
  <c r="N665" i="4" s="1"/>
  <c r="O665" i="4" s="1"/>
  <c r="D665" i="4"/>
  <c r="N666" i="4" s="1"/>
  <c r="O666" i="4" s="1"/>
  <c r="D666" i="4"/>
  <c r="N667" i="4" s="1"/>
  <c r="O667" i="4" s="1"/>
  <c r="D667" i="4"/>
  <c r="N668" i="4" s="1"/>
  <c r="O668" i="4" s="1"/>
  <c r="D668" i="4"/>
  <c r="N669" i="4" s="1"/>
  <c r="O669" i="4" s="1"/>
  <c r="D669" i="4"/>
  <c r="N670" i="4" s="1"/>
  <c r="O670" i="4" s="1"/>
  <c r="D670" i="4"/>
  <c r="N671" i="4" s="1"/>
  <c r="O671" i="4" s="1"/>
  <c r="D671" i="4"/>
  <c r="N672" i="4" s="1"/>
  <c r="O672" i="4" s="1"/>
  <c r="D672" i="4"/>
  <c r="N673" i="4" s="1"/>
  <c r="O673" i="4" s="1"/>
  <c r="D673" i="4"/>
  <c r="N674" i="4" s="1"/>
  <c r="O674" i="4" s="1"/>
  <c r="D674" i="4"/>
  <c r="N675" i="4" s="1"/>
  <c r="O675" i="4" s="1"/>
  <c r="D675" i="4"/>
  <c r="N676" i="4" s="1"/>
  <c r="O676" i="4" s="1"/>
  <c r="D676" i="4"/>
  <c r="N677" i="4" s="1"/>
  <c r="O677" i="4" s="1"/>
  <c r="D677" i="4"/>
  <c r="N678" i="4" s="1"/>
  <c r="O678" i="4" s="1"/>
  <c r="D678" i="4"/>
  <c r="N679" i="4" s="1"/>
  <c r="O679" i="4" s="1"/>
  <c r="D679" i="4"/>
  <c r="N680" i="4" s="1"/>
  <c r="O680" i="4" s="1"/>
  <c r="D680" i="4"/>
  <c r="N681" i="4" s="1"/>
  <c r="O681" i="4" s="1"/>
  <c r="D681" i="4"/>
  <c r="N682" i="4" s="1"/>
  <c r="O682" i="4" s="1"/>
  <c r="D682" i="4"/>
  <c r="N683" i="4" s="1"/>
  <c r="O683" i="4" s="1"/>
  <c r="D683" i="4"/>
  <c r="N684" i="4" s="1"/>
  <c r="O684" i="4" s="1"/>
  <c r="D684" i="4"/>
  <c r="N685" i="4" s="1"/>
  <c r="O685" i="4" s="1"/>
  <c r="D685" i="4"/>
  <c r="N686" i="4" s="1"/>
  <c r="O686" i="4" s="1"/>
  <c r="D686" i="4"/>
  <c r="N687" i="4" s="1"/>
  <c r="O687" i="4" s="1"/>
  <c r="D687" i="4"/>
  <c r="N688" i="4" s="1"/>
  <c r="O688" i="4" s="1"/>
  <c r="D688" i="4"/>
  <c r="N689" i="4" s="1"/>
  <c r="O689" i="4" s="1"/>
  <c r="D689" i="4"/>
  <c r="N690" i="4" s="1"/>
  <c r="O690" i="4" s="1"/>
  <c r="D690" i="4"/>
  <c r="N691" i="4" s="1"/>
  <c r="O691" i="4" s="1"/>
  <c r="D691" i="4"/>
  <c r="N692" i="4" s="1"/>
  <c r="O692" i="4" s="1"/>
  <c r="D692" i="4"/>
  <c r="N693" i="4" s="1"/>
  <c r="O693" i="4" s="1"/>
  <c r="D693" i="4"/>
  <c r="N694" i="4" s="1"/>
  <c r="O694" i="4" s="1"/>
  <c r="D694" i="4"/>
  <c r="N695" i="4" s="1"/>
  <c r="O695" i="4" s="1"/>
  <c r="D695" i="4"/>
  <c r="N696" i="4" s="1"/>
  <c r="O696" i="4" s="1"/>
  <c r="D696" i="4"/>
  <c r="N697" i="4" s="1"/>
  <c r="O697" i="4" s="1"/>
  <c r="D697" i="4"/>
  <c r="N698" i="4" s="1"/>
  <c r="O698" i="4" s="1"/>
  <c r="D698" i="4"/>
  <c r="N699" i="4" s="1"/>
  <c r="O699" i="4" s="1"/>
  <c r="D699" i="4"/>
  <c r="N700" i="4" s="1"/>
  <c r="O700" i="4" s="1"/>
  <c r="D700" i="4"/>
  <c r="N701" i="4" s="1"/>
  <c r="O701" i="4" s="1"/>
  <c r="D701" i="4"/>
  <c r="N702" i="4" s="1"/>
  <c r="O702" i="4" s="1"/>
  <c r="D702" i="4"/>
  <c r="N703" i="4" s="1"/>
  <c r="O703" i="4" s="1"/>
  <c r="D703" i="4"/>
  <c r="N704" i="4" s="1"/>
  <c r="O704" i="4" s="1"/>
  <c r="D704" i="4"/>
  <c r="N705" i="4" s="1"/>
  <c r="O705" i="4" s="1"/>
  <c r="D705" i="4"/>
  <c r="N706" i="4" s="1"/>
  <c r="O706" i="4" s="1"/>
  <c r="D706" i="4"/>
  <c r="N707" i="4" s="1"/>
  <c r="O707" i="4" s="1"/>
  <c r="D707" i="4"/>
  <c r="N708" i="4" s="1"/>
  <c r="O708" i="4" s="1"/>
  <c r="D708" i="4"/>
  <c r="N709" i="4" s="1"/>
  <c r="O709" i="4" s="1"/>
  <c r="D709" i="4"/>
  <c r="N710" i="4" s="1"/>
  <c r="O710" i="4" s="1"/>
  <c r="D710" i="4"/>
  <c r="N711" i="4" s="1"/>
  <c r="O711" i="4" s="1"/>
  <c r="D711" i="4"/>
  <c r="N712" i="4" s="1"/>
  <c r="O712" i="4" s="1"/>
  <c r="D712" i="4"/>
  <c r="N713" i="4" s="1"/>
  <c r="O713" i="4" s="1"/>
  <c r="D713" i="4"/>
  <c r="N714" i="4" s="1"/>
  <c r="O714" i="4" s="1"/>
  <c r="D714" i="4"/>
  <c r="N715" i="4" s="1"/>
  <c r="O715" i="4" s="1"/>
  <c r="D715" i="4"/>
  <c r="N716" i="4" s="1"/>
  <c r="O716" i="4" s="1"/>
  <c r="D716" i="4"/>
  <c r="N717" i="4" s="1"/>
  <c r="O717" i="4" s="1"/>
  <c r="D717" i="4"/>
  <c r="N718" i="4" s="1"/>
  <c r="O718" i="4" s="1"/>
  <c r="D718" i="4"/>
  <c r="N719" i="4" s="1"/>
  <c r="O719" i="4" s="1"/>
  <c r="D719" i="4"/>
  <c r="N720" i="4" s="1"/>
  <c r="O720" i="4" s="1"/>
  <c r="D720" i="4"/>
  <c r="N721" i="4" s="1"/>
  <c r="O721" i="4" s="1"/>
  <c r="D721" i="4"/>
  <c r="N722" i="4" s="1"/>
  <c r="O722" i="4" s="1"/>
  <c r="D722" i="4"/>
  <c r="N723" i="4" s="1"/>
  <c r="O723" i="4" s="1"/>
  <c r="D723" i="4"/>
  <c r="N724" i="4" s="1"/>
  <c r="O724" i="4" s="1"/>
  <c r="D724" i="4"/>
  <c r="N725" i="4" s="1"/>
  <c r="O725" i="4" s="1"/>
  <c r="D725" i="4"/>
  <c r="N726" i="4" s="1"/>
  <c r="O726" i="4" s="1"/>
  <c r="D726" i="4"/>
  <c r="N727" i="4" s="1"/>
  <c r="O727" i="4" s="1"/>
  <c r="D727" i="4"/>
  <c r="N728" i="4" s="1"/>
  <c r="O728" i="4" s="1"/>
  <c r="D728" i="4"/>
  <c r="N729" i="4" s="1"/>
  <c r="O729" i="4" s="1"/>
  <c r="D729" i="4"/>
  <c r="N730" i="4" s="1"/>
  <c r="O730" i="4" s="1"/>
  <c r="D730" i="4"/>
  <c r="N731" i="4" s="1"/>
  <c r="O731" i="4" s="1"/>
  <c r="D731" i="4"/>
  <c r="N732" i="4" s="1"/>
  <c r="O732" i="4" s="1"/>
  <c r="D732" i="4"/>
  <c r="N733" i="4" s="1"/>
  <c r="O733" i="4" s="1"/>
  <c r="D733" i="4"/>
  <c r="N734" i="4" s="1"/>
  <c r="O734" i="4" s="1"/>
  <c r="D734" i="4"/>
  <c r="N735" i="4" s="1"/>
  <c r="O735" i="4" s="1"/>
  <c r="D735" i="4"/>
  <c r="N736" i="4" s="1"/>
  <c r="O736" i="4" s="1"/>
  <c r="D736" i="4"/>
  <c r="N737" i="4" s="1"/>
  <c r="O737" i="4" s="1"/>
  <c r="D737" i="4"/>
  <c r="N738" i="4" s="1"/>
  <c r="O738" i="4" s="1"/>
  <c r="D738" i="4"/>
  <c r="N739" i="4" s="1"/>
  <c r="O739" i="4" s="1"/>
  <c r="D739" i="4"/>
  <c r="N740" i="4" s="1"/>
  <c r="O740" i="4" s="1"/>
  <c r="D740" i="4"/>
  <c r="N741" i="4" s="1"/>
  <c r="O741" i="4" s="1"/>
  <c r="D741" i="4"/>
  <c r="N742" i="4" s="1"/>
  <c r="O742" i="4" s="1"/>
  <c r="D742" i="4"/>
  <c r="N743" i="4" s="1"/>
  <c r="O743" i="4" s="1"/>
  <c r="D743" i="4"/>
  <c r="N744" i="4" s="1"/>
  <c r="O744" i="4" s="1"/>
  <c r="D744" i="4"/>
  <c r="N745" i="4" s="1"/>
  <c r="O745" i="4" s="1"/>
  <c r="D745" i="4"/>
  <c r="N746" i="4" s="1"/>
  <c r="O746" i="4" s="1"/>
  <c r="D746" i="4"/>
  <c r="N747" i="4" s="1"/>
  <c r="O747" i="4" s="1"/>
  <c r="D747" i="4"/>
  <c r="N748" i="4" s="1"/>
  <c r="O748" i="4" s="1"/>
  <c r="D748" i="4"/>
  <c r="N749" i="4" s="1"/>
  <c r="O749" i="4" s="1"/>
  <c r="D749" i="4"/>
  <c r="N750" i="4" s="1"/>
  <c r="O750" i="4" s="1"/>
  <c r="D750" i="4"/>
  <c r="N751" i="4" s="1"/>
  <c r="O751" i="4" s="1"/>
  <c r="D751" i="4"/>
  <c r="N752" i="4" s="1"/>
  <c r="O752" i="4" s="1"/>
  <c r="D752" i="4"/>
  <c r="N753" i="4" s="1"/>
  <c r="O753" i="4" s="1"/>
  <c r="D753" i="4"/>
  <c r="N754" i="4" s="1"/>
  <c r="O754" i="4" s="1"/>
  <c r="D754" i="4"/>
  <c r="N755" i="4" s="1"/>
  <c r="O755" i="4" s="1"/>
  <c r="D755" i="4"/>
  <c r="N756" i="4" s="1"/>
  <c r="O756" i="4" s="1"/>
  <c r="D756" i="4"/>
  <c r="N757" i="4" s="1"/>
  <c r="O757" i="4" s="1"/>
  <c r="D757" i="4"/>
  <c r="N758" i="4" s="1"/>
  <c r="O758" i="4" s="1"/>
  <c r="D758" i="4"/>
  <c r="N759" i="4" s="1"/>
  <c r="O759" i="4" s="1"/>
  <c r="D759" i="4"/>
  <c r="N760" i="4" s="1"/>
  <c r="O760" i="4" s="1"/>
  <c r="D760" i="4"/>
  <c r="N761" i="4" s="1"/>
  <c r="O761" i="4" s="1"/>
  <c r="D761" i="4"/>
  <c r="N762" i="4" s="1"/>
  <c r="O762" i="4" s="1"/>
  <c r="D762" i="4"/>
  <c r="N763" i="4" s="1"/>
  <c r="O763" i="4" s="1"/>
  <c r="D763" i="4"/>
  <c r="N764" i="4" s="1"/>
  <c r="O764" i="4" s="1"/>
  <c r="D764" i="4"/>
  <c r="N765" i="4" s="1"/>
  <c r="O765" i="4" s="1"/>
  <c r="D765" i="4"/>
  <c r="N766" i="4" s="1"/>
  <c r="O766" i="4" s="1"/>
  <c r="D766" i="4"/>
  <c r="N767" i="4" s="1"/>
  <c r="O767" i="4" s="1"/>
  <c r="D767" i="4"/>
  <c r="N768" i="4" s="1"/>
  <c r="O768" i="4" s="1"/>
  <c r="D768" i="4"/>
  <c r="N769" i="4" s="1"/>
  <c r="O769" i="4" s="1"/>
  <c r="D769" i="4"/>
  <c r="N770" i="4" s="1"/>
  <c r="O770" i="4" s="1"/>
  <c r="D770" i="4"/>
  <c r="N771" i="4" s="1"/>
  <c r="O771" i="4" s="1"/>
  <c r="D771" i="4"/>
  <c r="N772" i="4" s="1"/>
  <c r="O772" i="4" s="1"/>
  <c r="D772" i="4"/>
  <c r="N773" i="4" s="1"/>
  <c r="O773" i="4" s="1"/>
  <c r="D773" i="4"/>
  <c r="N774" i="4" s="1"/>
  <c r="O774" i="4" s="1"/>
  <c r="D774" i="4"/>
  <c r="N775" i="4" s="1"/>
  <c r="O775" i="4" s="1"/>
  <c r="D775" i="4"/>
  <c r="N776" i="4" s="1"/>
  <c r="O776" i="4" s="1"/>
  <c r="D776" i="4"/>
  <c r="N777" i="4" s="1"/>
  <c r="O777" i="4" s="1"/>
  <c r="D777" i="4"/>
  <c r="N778" i="4" s="1"/>
  <c r="O778" i="4" s="1"/>
  <c r="D778" i="4"/>
  <c r="N779" i="4" s="1"/>
  <c r="O779" i="4" s="1"/>
  <c r="D779" i="4"/>
  <c r="N780" i="4" s="1"/>
  <c r="O780" i="4" s="1"/>
  <c r="D780" i="4"/>
  <c r="N781" i="4" s="1"/>
  <c r="O781" i="4" s="1"/>
  <c r="D781" i="4"/>
  <c r="N782" i="4" s="1"/>
  <c r="O782" i="4" s="1"/>
  <c r="D782" i="4"/>
  <c r="N783" i="4" s="1"/>
  <c r="O783" i="4" s="1"/>
  <c r="D783" i="4"/>
  <c r="N784" i="4" s="1"/>
  <c r="O784" i="4" s="1"/>
  <c r="D784" i="4"/>
  <c r="N785" i="4" s="1"/>
  <c r="O785" i="4" s="1"/>
  <c r="D785" i="4"/>
  <c r="N786" i="4" s="1"/>
  <c r="O786" i="4" s="1"/>
  <c r="D786" i="4"/>
  <c r="N787" i="4" s="1"/>
  <c r="O787" i="4" s="1"/>
  <c r="D787" i="4"/>
  <c r="N788" i="4" s="1"/>
  <c r="O788" i="4" s="1"/>
  <c r="D788" i="4"/>
  <c r="N789" i="4" s="1"/>
  <c r="O789" i="4" s="1"/>
  <c r="D789" i="4"/>
  <c r="N790" i="4" s="1"/>
  <c r="O790" i="4" s="1"/>
  <c r="D790" i="4"/>
  <c r="N791" i="4" s="1"/>
  <c r="O791" i="4" s="1"/>
  <c r="D791" i="4"/>
  <c r="N792" i="4" s="1"/>
  <c r="O792" i="4" s="1"/>
  <c r="D792" i="4"/>
  <c r="N793" i="4" s="1"/>
  <c r="O793" i="4" s="1"/>
  <c r="D793" i="4"/>
  <c r="N794" i="4" s="1"/>
  <c r="O794" i="4" s="1"/>
  <c r="D794" i="4"/>
  <c r="N795" i="4" s="1"/>
  <c r="O795" i="4" s="1"/>
  <c r="D795" i="4"/>
  <c r="N796" i="4" s="1"/>
  <c r="O796" i="4" s="1"/>
  <c r="D796" i="4"/>
  <c r="N797" i="4" s="1"/>
  <c r="O797" i="4" s="1"/>
  <c r="D797" i="4"/>
  <c r="N798" i="4" s="1"/>
  <c r="O798" i="4" s="1"/>
  <c r="D798" i="4"/>
  <c r="N799" i="4" s="1"/>
  <c r="O799" i="4" s="1"/>
  <c r="D799" i="4"/>
  <c r="N800" i="4" s="1"/>
  <c r="O800" i="4" s="1"/>
  <c r="D800" i="4"/>
  <c r="N801" i="4" s="1"/>
  <c r="O801" i="4" s="1"/>
  <c r="D801" i="4"/>
  <c r="N802" i="4" s="1"/>
  <c r="O802" i="4" s="1"/>
  <c r="D802" i="4"/>
  <c r="N803" i="4" s="1"/>
  <c r="O803" i="4" s="1"/>
  <c r="D803" i="4"/>
  <c r="N804" i="4" s="1"/>
  <c r="O804" i="4" s="1"/>
  <c r="D804" i="4"/>
  <c r="N805" i="4" s="1"/>
  <c r="O805" i="4" s="1"/>
  <c r="D805" i="4"/>
  <c r="N806" i="4" s="1"/>
  <c r="O806" i="4" s="1"/>
  <c r="D806" i="4"/>
  <c r="N807" i="4" s="1"/>
  <c r="O807" i="4" s="1"/>
  <c r="D807" i="4"/>
  <c r="N808" i="4" s="1"/>
  <c r="O808" i="4" s="1"/>
  <c r="D808" i="4"/>
  <c r="N809" i="4" s="1"/>
  <c r="O809" i="4" s="1"/>
  <c r="D809" i="4"/>
  <c r="N810" i="4" s="1"/>
  <c r="O810" i="4" s="1"/>
  <c r="D810" i="4"/>
  <c r="N811" i="4" s="1"/>
  <c r="O811" i="4" s="1"/>
  <c r="D811" i="4"/>
  <c r="N812" i="4" s="1"/>
  <c r="O812" i="4" s="1"/>
  <c r="D812" i="4"/>
  <c r="N813" i="4" s="1"/>
  <c r="O813" i="4" s="1"/>
  <c r="D813" i="4"/>
  <c r="N814" i="4" s="1"/>
  <c r="O814" i="4" s="1"/>
  <c r="D814" i="4"/>
  <c r="N815" i="4" s="1"/>
  <c r="O815" i="4" s="1"/>
  <c r="D815" i="4"/>
  <c r="N816" i="4" s="1"/>
  <c r="O816" i="4" s="1"/>
  <c r="D816" i="4"/>
  <c r="N817" i="4" s="1"/>
  <c r="O817" i="4" s="1"/>
  <c r="D817" i="4"/>
  <c r="N818" i="4" s="1"/>
  <c r="O818" i="4" s="1"/>
  <c r="D818" i="4"/>
  <c r="N819" i="4" s="1"/>
  <c r="O819" i="4" s="1"/>
  <c r="D819" i="4"/>
  <c r="N820" i="4" s="1"/>
  <c r="O820" i="4" s="1"/>
  <c r="D820" i="4"/>
  <c r="N821" i="4" s="1"/>
  <c r="O821" i="4" s="1"/>
  <c r="D821" i="4"/>
  <c r="N822" i="4" s="1"/>
  <c r="O822" i="4" s="1"/>
  <c r="D822" i="4"/>
  <c r="N823" i="4" s="1"/>
  <c r="O823" i="4" s="1"/>
  <c r="D823" i="4"/>
  <c r="N824" i="4" s="1"/>
  <c r="O824" i="4" s="1"/>
  <c r="D824" i="4"/>
  <c r="N825" i="4" s="1"/>
  <c r="O825" i="4" s="1"/>
  <c r="D825" i="4"/>
  <c r="N826" i="4" s="1"/>
  <c r="O826" i="4" s="1"/>
  <c r="D826" i="4"/>
  <c r="N827" i="4" s="1"/>
  <c r="O827" i="4" s="1"/>
  <c r="D827" i="4"/>
  <c r="N828" i="4" s="1"/>
  <c r="O828" i="4" s="1"/>
  <c r="D828" i="4"/>
  <c r="N829" i="4" s="1"/>
  <c r="O829" i="4" s="1"/>
  <c r="D829" i="4"/>
  <c r="N830" i="4" s="1"/>
  <c r="O830" i="4" s="1"/>
  <c r="D830" i="4"/>
  <c r="N831" i="4" s="1"/>
  <c r="O831" i="4" s="1"/>
  <c r="D831" i="4"/>
  <c r="N832" i="4" s="1"/>
  <c r="O832" i="4" s="1"/>
  <c r="D832" i="4"/>
  <c r="N833" i="4" s="1"/>
  <c r="O833" i="4" s="1"/>
  <c r="D833" i="4"/>
  <c r="N834" i="4" s="1"/>
  <c r="O834" i="4" s="1"/>
  <c r="D834" i="4"/>
  <c r="N835" i="4" s="1"/>
  <c r="O835" i="4" s="1"/>
  <c r="D835" i="4"/>
  <c r="N836" i="4" s="1"/>
  <c r="O836" i="4" s="1"/>
  <c r="D836" i="4"/>
  <c r="N837" i="4" s="1"/>
  <c r="O837" i="4" s="1"/>
  <c r="D837" i="4"/>
  <c r="N838" i="4" s="1"/>
  <c r="O838" i="4" s="1"/>
  <c r="D838" i="4"/>
  <c r="N839" i="4" s="1"/>
  <c r="O839" i="4" s="1"/>
  <c r="D839" i="4"/>
  <c r="N840" i="4" s="1"/>
  <c r="O840" i="4" s="1"/>
  <c r="D840" i="4"/>
  <c r="N841" i="4" s="1"/>
  <c r="O841" i="4" s="1"/>
  <c r="D841" i="4"/>
  <c r="N842" i="4" s="1"/>
  <c r="O842" i="4" s="1"/>
  <c r="D842" i="4"/>
  <c r="N843" i="4" s="1"/>
  <c r="O843" i="4" s="1"/>
  <c r="D843" i="4"/>
  <c r="N844" i="4" s="1"/>
  <c r="O844" i="4" s="1"/>
  <c r="D844" i="4"/>
  <c r="N845" i="4" s="1"/>
  <c r="O845" i="4" s="1"/>
  <c r="D845" i="4"/>
  <c r="N846" i="4" s="1"/>
  <c r="O846" i="4" s="1"/>
  <c r="D846" i="4"/>
  <c r="N847" i="4" s="1"/>
  <c r="O847" i="4" s="1"/>
  <c r="D847" i="4"/>
  <c r="N848" i="4" s="1"/>
  <c r="O848" i="4" s="1"/>
  <c r="D848" i="4"/>
  <c r="N849" i="4" s="1"/>
  <c r="O849" i="4" s="1"/>
  <c r="D849" i="4"/>
  <c r="N850" i="4" s="1"/>
  <c r="O850" i="4" s="1"/>
  <c r="D850" i="4"/>
  <c r="N851" i="4" s="1"/>
  <c r="O851" i="4" s="1"/>
  <c r="D851" i="4"/>
  <c r="N852" i="4" s="1"/>
  <c r="O852" i="4" s="1"/>
  <c r="D852" i="4"/>
  <c r="N853" i="4" s="1"/>
  <c r="O853" i="4" s="1"/>
  <c r="D853" i="4"/>
  <c r="N854" i="4" s="1"/>
  <c r="O854" i="4" s="1"/>
  <c r="D854" i="4"/>
  <c r="N855" i="4" s="1"/>
  <c r="O855" i="4" s="1"/>
  <c r="D855" i="4"/>
  <c r="N856" i="4" s="1"/>
  <c r="O856" i="4" s="1"/>
  <c r="D856" i="4"/>
  <c r="N857" i="4" s="1"/>
  <c r="O857" i="4" s="1"/>
  <c r="D857" i="4"/>
  <c r="N858" i="4" s="1"/>
  <c r="O858" i="4" s="1"/>
  <c r="D858" i="4"/>
  <c r="N859" i="4" s="1"/>
  <c r="O859" i="4" s="1"/>
  <c r="D859" i="4"/>
  <c r="N860" i="4" s="1"/>
  <c r="O860" i="4" s="1"/>
  <c r="D860" i="4"/>
  <c r="N861" i="4" s="1"/>
  <c r="O861" i="4" s="1"/>
  <c r="D861" i="4"/>
  <c r="N862" i="4" s="1"/>
  <c r="O862" i="4" s="1"/>
  <c r="D862" i="4"/>
  <c r="N863" i="4" s="1"/>
  <c r="O863" i="4" s="1"/>
  <c r="D863" i="4"/>
  <c r="N864" i="4" s="1"/>
  <c r="O864" i="4" s="1"/>
  <c r="D864" i="4"/>
  <c r="N865" i="4" s="1"/>
  <c r="O865" i="4" s="1"/>
  <c r="D865" i="4"/>
  <c r="N866" i="4" s="1"/>
  <c r="O866" i="4" s="1"/>
  <c r="D866" i="4"/>
  <c r="N867" i="4" s="1"/>
  <c r="O867" i="4" s="1"/>
  <c r="D867" i="4"/>
  <c r="N868" i="4" s="1"/>
  <c r="O868" i="4" s="1"/>
  <c r="D868" i="4"/>
  <c r="N869" i="4" s="1"/>
  <c r="O869" i="4" s="1"/>
  <c r="D869" i="4"/>
  <c r="N870" i="4" s="1"/>
  <c r="O870" i="4" s="1"/>
  <c r="D870" i="4"/>
  <c r="N871" i="4" s="1"/>
  <c r="O871" i="4" s="1"/>
  <c r="D871" i="4"/>
  <c r="N872" i="4" s="1"/>
  <c r="O872" i="4" s="1"/>
  <c r="D872" i="4"/>
  <c r="N873" i="4" s="1"/>
  <c r="O873" i="4" s="1"/>
  <c r="D873" i="4"/>
  <c r="N874" i="4" s="1"/>
  <c r="O874" i="4" s="1"/>
  <c r="D874" i="4"/>
  <c r="N875" i="4" s="1"/>
  <c r="O875" i="4" s="1"/>
  <c r="D875" i="4"/>
  <c r="N876" i="4" s="1"/>
  <c r="O876" i="4" s="1"/>
  <c r="D876" i="4"/>
  <c r="N877" i="4" s="1"/>
  <c r="O877" i="4" s="1"/>
  <c r="D877" i="4"/>
  <c r="N878" i="4" s="1"/>
  <c r="O878" i="4" s="1"/>
  <c r="D878" i="4"/>
  <c r="N879" i="4" s="1"/>
  <c r="O879" i="4" s="1"/>
  <c r="D879" i="4"/>
  <c r="N880" i="4" s="1"/>
  <c r="O880" i="4" s="1"/>
  <c r="D880" i="4"/>
  <c r="N881" i="4" s="1"/>
  <c r="O881" i="4" s="1"/>
  <c r="D881" i="4"/>
  <c r="N882" i="4" s="1"/>
  <c r="O882" i="4" s="1"/>
  <c r="D882" i="4"/>
  <c r="N883" i="4" s="1"/>
  <c r="O883" i="4" s="1"/>
  <c r="D883" i="4"/>
  <c r="N884" i="4" s="1"/>
  <c r="O884" i="4" s="1"/>
  <c r="D884" i="4"/>
  <c r="N885" i="4" s="1"/>
  <c r="O885" i="4" s="1"/>
  <c r="D885" i="4"/>
  <c r="N886" i="4" s="1"/>
  <c r="O886" i="4" s="1"/>
  <c r="D886" i="4"/>
  <c r="N887" i="4" s="1"/>
  <c r="O887" i="4" s="1"/>
  <c r="D887" i="4"/>
  <c r="N888" i="4" s="1"/>
  <c r="O888" i="4" s="1"/>
  <c r="D888" i="4"/>
  <c r="N889" i="4" s="1"/>
  <c r="O889" i="4" s="1"/>
  <c r="D889" i="4"/>
  <c r="N890" i="4" s="1"/>
  <c r="O890" i="4" s="1"/>
  <c r="D890" i="4"/>
  <c r="N891" i="4" s="1"/>
  <c r="O891" i="4" s="1"/>
  <c r="D891" i="4"/>
  <c r="N892" i="4" s="1"/>
  <c r="O892" i="4" s="1"/>
  <c r="D892" i="4"/>
  <c r="N893" i="4" s="1"/>
  <c r="O893" i="4" s="1"/>
  <c r="D893" i="4"/>
  <c r="N894" i="4" s="1"/>
  <c r="O894" i="4" s="1"/>
  <c r="D894" i="4"/>
  <c r="N895" i="4" s="1"/>
  <c r="O895" i="4" s="1"/>
  <c r="D895" i="4"/>
  <c r="N896" i="4" s="1"/>
  <c r="O896" i="4" s="1"/>
  <c r="D896" i="4"/>
  <c r="N897" i="4" s="1"/>
  <c r="O897" i="4" s="1"/>
  <c r="D897" i="4"/>
  <c r="N898" i="4" s="1"/>
  <c r="O898" i="4" s="1"/>
  <c r="D898" i="4"/>
  <c r="N899" i="4" s="1"/>
  <c r="O899" i="4" s="1"/>
  <c r="D899" i="4"/>
  <c r="N900" i="4" s="1"/>
  <c r="O900" i="4" s="1"/>
  <c r="D900" i="4"/>
  <c r="N901" i="4" s="1"/>
  <c r="O901" i="4" s="1"/>
  <c r="D901" i="4"/>
  <c r="N902" i="4" s="1"/>
  <c r="O902" i="4" s="1"/>
  <c r="D902" i="4"/>
  <c r="N903" i="4" s="1"/>
  <c r="O903" i="4" s="1"/>
  <c r="D903" i="4"/>
  <c r="N904" i="4" s="1"/>
  <c r="O904" i="4" s="1"/>
  <c r="D904" i="4"/>
  <c r="N905" i="4" s="1"/>
  <c r="O905" i="4" s="1"/>
  <c r="D905" i="4"/>
  <c r="N906" i="4" s="1"/>
  <c r="O906" i="4" s="1"/>
  <c r="D906" i="4"/>
  <c r="N907" i="4" s="1"/>
  <c r="O907" i="4" s="1"/>
  <c r="D907" i="4"/>
  <c r="N908" i="4" s="1"/>
  <c r="O908" i="4" s="1"/>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3" i="4"/>
  <c r="E4" i="4" s="1"/>
  <c r="W100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T100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9" i="2"/>
  <c r="AK26" i="2"/>
  <c r="AK25" i="2"/>
  <c r="AK19" i="2"/>
  <c r="AK18" i="2"/>
  <c r="AK16" i="2"/>
  <c r="AG25" i="2"/>
  <c r="AG24" i="2"/>
  <c r="AG23" i="2"/>
  <c r="S100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9" i="2"/>
  <c r="R100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9" i="2"/>
  <c r="Q100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9" i="2"/>
  <c r="P1009" i="2"/>
  <c r="O100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9" i="2"/>
  <c r="AG21" i="2"/>
  <c r="AG20" i="2"/>
  <c r="AG19" i="2"/>
  <c r="N1009"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 i="2"/>
  <c r="N11" i="2"/>
  <c r="N9" i="2"/>
  <c r="AG17" i="2"/>
  <c r="AG16" i="2"/>
  <c r="AG15" i="2"/>
  <c r="AG14" i="2"/>
  <c r="AG13" i="2"/>
  <c r="AG12" i="2"/>
  <c r="AG11" i="2"/>
  <c r="L100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9" i="2"/>
  <c r="K1009" i="2"/>
  <c r="J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9" i="2"/>
  <c r="J100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I100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9" i="2"/>
  <c r="H100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9" i="2"/>
  <c r="AG10" i="2"/>
  <c r="AG9" i="2"/>
  <c r="G100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9" i="2"/>
  <c r="F100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9" i="2"/>
  <c r="E100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D1009" i="2"/>
  <c r="C1009" i="2"/>
  <c r="E9" i="2"/>
  <c r="AG8" i="2"/>
  <c r="K11" i="4" l="1"/>
  <c r="L8" i="4"/>
  <c r="K12" i="4"/>
  <c r="L9" i="4"/>
  <c r="K13" i="4"/>
  <c r="L10" i="4"/>
  <c r="L11" i="4"/>
  <c r="K14" i="4"/>
  <c r="K15" i="4"/>
  <c r="L12" i="4"/>
  <c r="K16" i="4"/>
  <c r="L13" i="4"/>
  <c r="K17" i="4"/>
  <c r="L14" i="4"/>
  <c r="K18" i="4"/>
  <c r="L15" i="4"/>
  <c r="L16" i="4"/>
  <c r="K19" i="4"/>
  <c r="K20" i="4"/>
  <c r="L17" i="4"/>
  <c r="K21" i="4"/>
  <c r="L18" i="4"/>
  <c r="K22" i="4"/>
  <c r="L19" i="4"/>
  <c r="K23" i="4"/>
  <c r="L20" i="4"/>
  <c r="K24" i="4"/>
  <c r="L21" i="4"/>
  <c r="K25" i="4"/>
  <c r="L22" i="4"/>
  <c r="K26" i="4"/>
  <c r="L23" i="4"/>
  <c r="K27" i="4"/>
  <c r="L24" i="4"/>
  <c r="K28" i="4"/>
  <c r="L25" i="4"/>
  <c r="L26" i="4"/>
  <c r="K29" i="4"/>
  <c r="K30" i="4"/>
  <c r="L27" i="4"/>
  <c r="K31" i="4"/>
  <c r="L28" i="4"/>
  <c r="K32" i="4"/>
  <c r="L29" i="4"/>
  <c r="K33" i="4"/>
  <c r="L30" i="4"/>
  <c r="K34" i="4"/>
  <c r="L31" i="4"/>
  <c r="K35" i="4"/>
  <c r="L32" i="4"/>
  <c r="K36" i="4"/>
  <c r="L33" i="4"/>
  <c r="K37" i="4"/>
  <c r="L34" i="4"/>
  <c r="K38" i="4"/>
  <c r="L35" i="4"/>
  <c r="K39" i="4"/>
  <c r="L36" i="4"/>
  <c r="L37" i="4"/>
  <c r="K40" i="4"/>
  <c r="L38" i="4"/>
  <c r="K41" i="4"/>
  <c r="L39" i="4"/>
  <c r="K42" i="4"/>
  <c r="L40" i="4"/>
  <c r="K43" i="4"/>
  <c r="K44" i="4"/>
  <c r="L41" i="4"/>
  <c r="K45" i="4"/>
  <c r="L42" i="4"/>
  <c r="K46" i="4"/>
  <c r="L43" i="4"/>
  <c r="L44" i="4"/>
  <c r="K47" i="4"/>
  <c r="L45" i="4"/>
  <c r="K48" i="4"/>
  <c r="L46" i="4"/>
  <c r="K49" i="4"/>
  <c r="L47" i="4"/>
  <c r="K50" i="4"/>
  <c r="L48" i="4"/>
  <c r="K51" i="4"/>
  <c r="L49" i="4"/>
  <c r="K52" i="4"/>
  <c r="K53" i="4"/>
  <c r="L50" i="4"/>
  <c r="K54" i="4"/>
  <c r="L51" i="4"/>
  <c r="L52" i="4"/>
  <c r="K55" i="4"/>
  <c r="L53" i="4"/>
  <c r="K56" i="4"/>
  <c r="K57" i="4"/>
  <c r="L54" i="4"/>
  <c r="K58" i="4"/>
  <c r="L55" i="4"/>
  <c r="L56" i="4"/>
  <c r="K59" i="4"/>
  <c r="L57" i="4"/>
  <c r="K60" i="4"/>
  <c r="K61" i="4"/>
  <c r="L58" i="4"/>
  <c r="L59" i="4"/>
  <c r="K62" i="4"/>
  <c r="L60" i="4"/>
  <c r="K63" i="4"/>
  <c r="K64" i="4"/>
  <c r="L61" i="4"/>
  <c r="K65" i="4"/>
  <c r="L62" i="4"/>
  <c r="K66" i="4"/>
  <c r="L63" i="4"/>
  <c r="K67" i="4"/>
  <c r="L64" i="4"/>
  <c r="K68" i="4"/>
  <c r="L65" i="4"/>
  <c r="L66" i="4"/>
  <c r="K69" i="4"/>
  <c r="L67" i="4"/>
  <c r="K70" i="4"/>
  <c r="L68" i="4"/>
  <c r="K71" i="4"/>
  <c r="L69" i="4"/>
  <c r="K72" i="4"/>
  <c r="K73" i="4"/>
  <c r="L70" i="4"/>
  <c r="L71" i="4"/>
  <c r="K74" i="4"/>
  <c r="L72" i="4"/>
  <c r="K75" i="4"/>
  <c r="L73" i="4"/>
  <c r="K76" i="4"/>
  <c r="L74" i="4"/>
  <c r="K77" i="4"/>
  <c r="K78" i="4"/>
  <c r="L75" i="4"/>
  <c r="K79" i="4"/>
  <c r="L76" i="4"/>
  <c r="K80" i="4"/>
  <c r="L77" i="4"/>
  <c r="K81" i="4"/>
  <c r="L78" i="4"/>
  <c r="K82" i="4"/>
  <c r="L79" i="4"/>
  <c r="K83" i="4"/>
  <c r="L80" i="4"/>
  <c r="K84" i="4"/>
  <c r="L81" i="4"/>
  <c r="K85" i="4"/>
  <c r="L82" i="4"/>
  <c r="L83" i="4"/>
  <c r="K86" i="4"/>
  <c r="K87" i="4"/>
  <c r="L84" i="4"/>
  <c r="K88" i="4"/>
  <c r="L85" i="4"/>
  <c r="L86" i="4"/>
  <c r="K89" i="4"/>
  <c r="L87" i="4"/>
  <c r="K90" i="4"/>
  <c r="K91" i="4"/>
  <c r="L88" i="4"/>
  <c r="K92" i="4"/>
  <c r="L89" i="4"/>
  <c r="K93" i="4"/>
  <c r="L90" i="4"/>
  <c r="L91" i="4"/>
  <c r="K94" i="4"/>
  <c r="L92" i="4"/>
  <c r="K95" i="4"/>
  <c r="L93" i="4"/>
  <c r="K96" i="4"/>
  <c r="K97" i="4"/>
  <c r="L94" i="4"/>
  <c r="L95" i="4"/>
  <c r="K98" i="4"/>
  <c r="L96" i="4"/>
  <c r="K99" i="4"/>
  <c r="L97" i="4"/>
  <c r="K100" i="4"/>
  <c r="K101" i="4"/>
  <c r="L98" i="4"/>
  <c r="L99" i="4"/>
  <c r="K102" i="4"/>
  <c r="L100" i="4"/>
  <c r="K103" i="4"/>
  <c r="L101" i="4"/>
  <c r="K104" i="4"/>
  <c r="L102" i="4"/>
  <c r="K105" i="4"/>
  <c r="L103" i="4"/>
  <c r="K106" i="4"/>
  <c r="L104" i="4"/>
  <c r="K107" i="4"/>
  <c r="L105" i="4"/>
  <c r="K108" i="4"/>
  <c r="L106" i="4"/>
  <c r="K109" i="4"/>
  <c r="L107" i="4"/>
  <c r="K110" i="4"/>
  <c r="L108" i="4"/>
  <c r="K111" i="4"/>
  <c r="L109" i="4"/>
  <c r="K112" i="4"/>
  <c r="L110" i="4"/>
  <c r="K113" i="4"/>
  <c r="L111" i="4"/>
  <c r="K114" i="4"/>
  <c r="K115" i="4"/>
  <c r="L112" i="4"/>
  <c r="K116" i="4"/>
  <c r="L113" i="4"/>
  <c r="K117" i="4"/>
  <c r="L114" i="4"/>
  <c r="L115" i="4"/>
  <c r="K118" i="4"/>
  <c r="L116" i="4"/>
  <c r="K119" i="4"/>
  <c r="L117" i="4"/>
  <c r="K120" i="4"/>
  <c r="L118" i="4"/>
  <c r="K121" i="4"/>
  <c r="L119" i="4"/>
  <c r="K122" i="4"/>
  <c r="K123" i="4"/>
  <c r="L120" i="4"/>
  <c r="K124" i="4"/>
  <c r="L121" i="4"/>
  <c r="L122" i="4"/>
  <c r="K125" i="4"/>
  <c r="K126" i="4"/>
  <c r="L123" i="4"/>
  <c r="K127" i="4"/>
  <c r="L124" i="4"/>
  <c r="K128" i="4"/>
  <c r="L125" i="4"/>
  <c r="K129" i="4"/>
  <c r="L126" i="4"/>
  <c r="K130" i="4"/>
  <c r="L127" i="4"/>
  <c r="L128" i="4"/>
  <c r="K131" i="4"/>
  <c r="L129" i="4"/>
  <c r="K132" i="4"/>
  <c r="K133" i="4"/>
  <c r="L130" i="4"/>
  <c r="L131" i="4"/>
  <c r="K134" i="4"/>
  <c r="K135" i="4"/>
  <c r="L132" i="4"/>
  <c r="K136" i="4"/>
  <c r="L133" i="4"/>
  <c r="K137" i="4"/>
  <c r="L134" i="4"/>
  <c r="K138" i="4"/>
  <c r="L135" i="4"/>
  <c r="L136" i="4"/>
  <c r="K139" i="4"/>
  <c r="K140" i="4"/>
  <c r="L137" i="4"/>
  <c r="L138" i="4"/>
  <c r="K141" i="4"/>
  <c r="L139" i="4"/>
  <c r="K142" i="4"/>
  <c r="L140" i="4"/>
  <c r="K143" i="4"/>
  <c r="L141" i="4"/>
  <c r="K144" i="4"/>
  <c r="K145" i="4"/>
  <c r="L142" i="4"/>
  <c r="K146" i="4"/>
  <c r="L143" i="4"/>
  <c r="K147" i="4"/>
  <c r="L144" i="4"/>
  <c r="K148" i="4"/>
  <c r="L145" i="4"/>
  <c r="K149" i="4"/>
  <c r="L146" i="4"/>
  <c r="K150" i="4"/>
  <c r="L147" i="4"/>
  <c r="L148" i="4"/>
  <c r="K151" i="4"/>
  <c r="L149" i="4"/>
  <c r="K152" i="4"/>
  <c r="L150" i="4"/>
  <c r="K153" i="4"/>
  <c r="L151" i="4"/>
  <c r="K154" i="4"/>
  <c r="L152" i="4"/>
  <c r="K155" i="4"/>
  <c r="L153" i="4"/>
  <c r="K156" i="4"/>
  <c r="K157" i="4"/>
  <c r="L154" i="4"/>
  <c r="L155" i="4"/>
  <c r="K158" i="4"/>
  <c r="L156" i="4"/>
  <c r="K159" i="4"/>
  <c r="L157" i="4"/>
  <c r="K160" i="4"/>
  <c r="L158" i="4"/>
  <c r="K161" i="4"/>
  <c r="L159" i="4"/>
  <c r="K162" i="4"/>
  <c r="K163" i="4"/>
  <c r="L160" i="4"/>
  <c r="L161" i="4"/>
  <c r="K164" i="4"/>
  <c r="L162" i="4"/>
  <c r="K165" i="4"/>
  <c r="L163" i="4"/>
  <c r="K166" i="4"/>
  <c r="K167" i="4"/>
  <c r="L164" i="4"/>
  <c r="L165" i="4"/>
  <c r="K168" i="4"/>
  <c r="L166" i="4"/>
  <c r="K169" i="4"/>
  <c r="L167" i="4"/>
  <c r="K170" i="4"/>
  <c r="L168" i="4"/>
  <c r="K171" i="4"/>
  <c r="L169" i="4"/>
  <c r="K172" i="4"/>
  <c r="K173" i="4"/>
  <c r="L170" i="4"/>
  <c r="L171" i="4"/>
  <c r="K174" i="4"/>
  <c r="L172" i="4"/>
  <c r="K175" i="4"/>
  <c r="K176" i="4"/>
  <c r="L173" i="4"/>
  <c r="K177" i="4"/>
  <c r="L174" i="4"/>
  <c r="K178" i="4"/>
  <c r="L175" i="4"/>
  <c r="K179" i="4"/>
  <c r="L176" i="4"/>
  <c r="K180" i="4"/>
  <c r="L177" i="4"/>
  <c r="K181" i="4"/>
  <c r="L178" i="4"/>
  <c r="L179" i="4"/>
  <c r="K182" i="4"/>
  <c r="L180" i="4"/>
  <c r="K183" i="4"/>
  <c r="L181" i="4"/>
  <c r="K184" i="4"/>
  <c r="L182" i="4"/>
  <c r="K185" i="4"/>
  <c r="K186" i="4"/>
  <c r="L183" i="4"/>
  <c r="K187" i="4"/>
  <c r="L184" i="4"/>
  <c r="L185" i="4"/>
  <c r="K188" i="4"/>
  <c r="K189" i="4"/>
  <c r="L186" i="4"/>
  <c r="K190" i="4"/>
  <c r="L187" i="4"/>
  <c r="K191" i="4"/>
  <c r="L188" i="4"/>
  <c r="K192" i="4"/>
  <c r="L189" i="4"/>
  <c r="L190" i="4"/>
  <c r="K193" i="4"/>
  <c r="L191" i="4"/>
  <c r="K194" i="4"/>
  <c r="L192" i="4"/>
  <c r="K195" i="4"/>
  <c r="L193" i="4"/>
  <c r="K196" i="4"/>
  <c r="L194" i="4"/>
  <c r="K197" i="4"/>
  <c r="K198" i="4"/>
  <c r="L195" i="4"/>
  <c r="L196" i="4"/>
  <c r="K199" i="4"/>
  <c r="L197" i="4"/>
  <c r="K200" i="4"/>
  <c r="L198" i="4"/>
  <c r="K201" i="4"/>
  <c r="L199" i="4"/>
  <c r="K202" i="4"/>
  <c r="L200" i="4"/>
  <c r="K203" i="4"/>
  <c r="L201" i="4"/>
  <c r="K204" i="4"/>
  <c r="L202" i="4"/>
  <c r="K205" i="4"/>
  <c r="L203" i="4"/>
  <c r="K206" i="4"/>
  <c r="L204" i="4"/>
  <c r="K207" i="4"/>
  <c r="L205" i="4"/>
  <c r="K208" i="4"/>
  <c r="L206" i="4"/>
  <c r="K209" i="4"/>
  <c r="L207" i="4"/>
  <c r="K210" i="4"/>
  <c r="L208" i="4"/>
  <c r="K211" i="4"/>
  <c r="L209" i="4"/>
  <c r="K212" i="4"/>
  <c r="L210" i="4"/>
  <c r="K213" i="4"/>
  <c r="L211" i="4"/>
  <c r="K214" i="4"/>
  <c r="L212" i="4"/>
  <c r="K215" i="4"/>
  <c r="L213" i="4"/>
  <c r="K216" i="4"/>
  <c r="L214" i="4"/>
  <c r="K217" i="4"/>
  <c r="K218" i="4"/>
  <c r="L215" i="4"/>
  <c r="L216" i="4"/>
  <c r="K219" i="4"/>
  <c r="K220" i="4"/>
  <c r="L217" i="4"/>
  <c r="L218" i="4"/>
  <c r="K221" i="4"/>
  <c r="K222" i="4"/>
  <c r="L219" i="4"/>
  <c r="L220" i="4"/>
  <c r="K223" i="4"/>
  <c r="L221" i="4"/>
  <c r="K224" i="4"/>
  <c r="K225" i="4"/>
  <c r="L222" i="4"/>
  <c r="L223" i="4"/>
  <c r="K226" i="4"/>
  <c r="L224" i="4"/>
  <c r="K227" i="4"/>
  <c r="L225" i="4"/>
  <c r="K228" i="4"/>
  <c r="L226" i="4"/>
  <c r="K229" i="4"/>
  <c r="L227" i="4"/>
  <c r="K230" i="4"/>
  <c r="L228" i="4"/>
  <c r="K231" i="4"/>
  <c r="L229" i="4"/>
  <c r="K232" i="4"/>
  <c r="L230" i="4"/>
  <c r="K233" i="4"/>
  <c r="L231" i="4"/>
  <c r="K234" i="4"/>
  <c r="L232" i="4"/>
  <c r="K235" i="4"/>
  <c r="L233" i="4"/>
  <c r="K236" i="4"/>
  <c r="L234" i="4"/>
  <c r="K237" i="4"/>
  <c r="L235" i="4"/>
  <c r="K238" i="4"/>
  <c r="K239" i="4"/>
  <c r="L236" i="4"/>
  <c r="L237" i="4"/>
  <c r="K240" i="4"/>
  <c r="L238" i="4"/>
  <c r="K241" i="4"/>
  <c r="L239" i="4"/>
  <c r="K242" i="4"/>
  <c r="L240" i="4"/>
  <c r="K243" i="4"/>
  <c r="L241" i="4"/>
  <c r="K244" i="4"/>
  <c r="K245" i="4"/>
  <c r="L242" i="4"/>
  <c r="K246" i="4"/>
  <c r="L243" i="4"/>
  <c r="K247" i="4"/>
  <c r="L244" i="4"/>
  <c r="K248" i="4"/>
  <c r="L245" i="4"/>
  <c r="K249" i="4"/>
  <c r="L246" i="4"/>
  <c r="L247" i="4"/>
  <c r="K250" i="4"/>
  <c r="K251" i="4"/>
  <c r="L248" i="4"/>
  <c r="K252" i="4"/>
  <c r="L249" i="4"/>
  <c r="K253" i="4"/>
  <c r="L250" i="4"/>
  <c r="K254" i="4"/>
  <c r="L251" i="4"/>
  <c r="K255" i="4"/>
  <c r="L252" i="4"/>
  <c r="K256" i="4"/>
  <c r="L253" i="4"/>
  <c r="K257" i="4"/>
  <c r="L254" i="4"/>
  <c r="K258" i="4"/>
  <c r="L255" i="4"/>
  <c r="K259" i="4"/>
  <c r="L256" i="4"/>
  <c r="K260" i="4"/>
  <c r="L257" i="4"/>
  <c r="K261" i="4"/>
  <c r="L258" i="4"/>
  <c r="K262" i="4"/>
  <c r="L259" i="4"/>
  <c r="K263" i="4"/>
  <c r="L260" i="4"/>
  <c r="L261" i="4"/>
  <c r="K264" i="4"/>
  <c r="L262" i="4"/>
  <c r="K265" i="4"/>
  <c r="L263" i="4"/>
  <c r="K266" i="4"/>
  <c r="K267" i="4"/>
  <c r="L264" i="4"/>
  <c r="L265" i="4"/>
  <c r="K268" i="4"/>
  <c r="K269" i="4"/>
  <c r="L266" i="4"/>
  <c r="K270" i="4"/>
  <c r="L267" i="4"/>
  <c r="K271" i="4"/>
  <c r="L268" i="4"/>
  <c r="K272" i="4"/>
  <c r="L269" i="4"/>
  <c r="K273" i="4"/>
  <c r="L270" i="4"/>
  <c r="K274" i="4"/>
  <c r="L271" i="4"/>
  <c r="K275" i="4"/>
  <c r="L272" i="4"/>
  <c r="K276" i="4"/>
  <c r="L273" i="4"/>
  <c r="K277" i="4"/>
  <c r="L274" i="4"/>
  <c r="K278" i="4"/>
  <c r="L275" i="4"/>
  <c r="K279" i="4"/>
  <c r="L276" i="4"/>
  <c r="K280" i="4"/>
  <c r="L277" i="4"/>
  <c r="L278" i="4"/>
  <c r="K281" i="4"/>
  <c r="L279" i="4"/>
  <c r="K282" i="4"/>
  <c r="L280" i="4"/>
  <c r="K283" i="4"/>
  <c r="L281" i="4"/>
  <c r="K284" i="4"/>
  <c r="K285" i="4"/>
  <c r="L282" i="4"/>
  <c r="K286" i="4"/>
  <c r="L283" i="4"/>
  <c r="L284" i="4"/>
  <c r="K287" i="4"/>
  <c r="L285" i="4"/>
  <c r="K288" i="4"/>
  <c r="L286" i="4"/>
  <c r="K289" i="4"/>
  <c r="K290" i="4"/>
  <c r="L287" i="4"/>
  <c r="L288" i="4"/>
  <c r="K291" i="4"/>
  <c r="L289" i="4"/>
  <c r="K292" i="4"/>
  <c r="K293" i="4"/>
  <c r="L290" i="4"/>
  <c r="L291" i="4"/>
  <c r="K294" i="4"/>
  <c r="L292" i="4"/>
  <c r="K295" i="4"/>
  <c r="L293" i="4"/>
  <c r="K296" i="4"/>
  <c r="K297" i="4"/>
  <c r="L294" i="4"/>
  <c r="K298" i="4"/>
  <c r="L295" i="4"/>
  <c r="K299" i="4"/>
  <c r="L296" i="4"/>
  <c r="K300" i="4"/>
  <c r="L297" i="4"/>
  <c r="K301" i="4"/>
  <c r="L298" i="4"/>
  <c r="L299" i="4"/>
  <c r="K302" i="4"/>
  <c r="L300" i="4"/>
  <c r="K303" i="4"/>
  <c r="L301" i="4"/>
  <c r="K304" i="4"/>
  <c r="L302" i="4"/>
  <c r="K305" i="4"/>
  <c r="K306" i="4"/>
  <c r="L303" i="4"/>
  <c r="K307" i="4"/>
  <c r="L304" i="4"/>
  <c r="L305" i="4"/>
  <c r="K308" i="4"/>
  <c r="L306" i="4"/>
  <c r="K309" i="4"/>
  <c r="L307" i="4"/>
  <c r="K310" i="4"/>
  <c r="L308" i="4"/>
  <c r="K311" i="4"/>
  <c r="L309" i="4"/>
  <c r="K312" i="4"/>
  <c r="L310" i="4"/>
  <c r="K313" i="4"/>
  <c r="L311" i="4"/>
  <c r="K314" i="4"/>
  <c r="L312" i="4"/>
  <c r="K315" i="4"/>
  <c r="L313" i="4"/>
  <c r="K316" i="4"/>
  <c r="L314" i="4"/>
  <c r="K317" i="4"/>
  <c r="L315" i="4"/>
  <c r="K318" i="4"/>
  <c r="K319" i="4"/>
  <c r="L316" i="4"/>
  <c r="L317" i="4"/>
  <c r="K320" i="4"/>
  <c r="L318" i="4"/>
  <c r="K321" i="4"/>
  <c r="K322" i="4"/>
  <c r="L319" i="4"/>
  <c r="L320" i="4"/>
  <c r="K323" i="4"/>
  <c r="L321" i="4"/>
  <c r="K324" i="4"/>
  <c r="K325" i="4"/>
  <c r="L322" i="4"/>
  <c r="K326" i="4"/>
  <c r="L323" i="4"/>
  <c r="K327" i="4"/>
  <c r="L324" i="4"/>
  <c r="K328" i="4"/>
  <c r="L325" i="4"/>
  <c r="L326" i="4"/>
  <c r="K329" i="4"/>
  <c r="K330" i="4"/>
  <c r="L327" i="4"/>
  <c r="L328" i="4"/>
  <c r="K331" i="4"/>
  <c r="L329" i="4"/>
  <c r="K332" i="4"/>
  <c r="L330" i="4"/>
  <c r="K333" i="4"/>
  <c r="L331" i="4"/>
  <c r="K334" i="4"/>
  <c r="L332" i="4"/>
  <c r="K335" i="4"/>
  <c r="L333" i="4"/>
  <c r="K336" i="4"/>
  <c r="L334" i="4"/>
  <c r="K337" i="4"/>
  <c r="L335" i="4"/>
  <c r="K338" i="4"/>
  <c r="L336" i="4"/>
  <c r="K339" i="4"/>
  <c r="L337" i="4"/>
  <c r="K340" i="4"/>
  <c r="K341" i="4"/>
  <c r="L338" i="4"/>
  <c r="L339" i="4"/>
  <c r="K342" i="4"/>
  <c r="K343" i="4"/>
  <c r="L340" i="4"/>
  <c r="L341" i="4"/>
  <c r="K344" i="4"/>
  <c r="L342" i="4"/>
  <c r="K345" i="4"/>
  <c r="K346" i="4"/>
  <c r="L343" i="4"/>
  <c r="K347" i="4"/>
  <c r="L344" i="4"/>
  <c r="K348" i="4"/>
  <c r="L345" i="4"/>
  <c r="K349" i="4"/>
  <c r="L346" i="4"/>
  <c r="K350" i="4"/>
  <c r="L347" i="4"/>
  <c r="K351" i="4"/>
  <c r="L348" i="4"/>
  <c r="K352" i="4"/>
  <c r="L349" i="4"/>
  <c r="K353" i="4"/>
  <c r="L350" i="4"/>
  <c r="L351" i="4"/>
  <c r="K354" i="4"/>
  <c r="L352" i="4"/>
  <c r="K355" i="4"/>
  <c r="L353" i="4"/>
  <c r="K356" i="4"/>
  <c r="L354" i="4"/>
  <c r="K357" i="4"/>
  <c r="L355" i="4"/>
  <c r="K358" i="4"/>
  <c r="L356" i="4"/>
  <c r="K359" i="4"/>
  <c r="L357" i="4"/>
  <c r="K360" i="4"/>
  <c r="L358" i="4"/>
  <c r="K361" i="4"/>
  <c r="L359" i="4"/>
  <c r="K362" i="4"/>
  <c r="L360" i="4"/>
  <c r="K363" i="4"/>
  <c r="L361" i="4"/>
  <c r="K364" i="4"/>
  <c r="L362" i="4"/>
  <c r="K365" i="4"/>
  <c r="L363" i="4"/>
  <c r="K366" i="4"/>
  <c r="L364" i="4"/>
  <c r="K367" i="4"/>
  <c r="L365" i="4"/>
  <c r="K368" i="4"/>
  <c r="L366" i="4"/>
  <c r="K369" i="4"/>
  <c r="L367" i="4"/>
  <c r="K370" i="4"/>
  <c r="L368" i="4"/>
  <c r="K371" i="4"/>
  <c r="L369" i="4"/>
  <c r="K372" i="4"/>
  <c r="L370" i="4"/>
  <c r="K373" i="4"/>
  <c r="L371" i="4"/>
  <c r="K374" i="4"/>
  <c r="L372" i="4"/>
  <c r="K375" i="4"/>
  <c r="L373" i="4"/>
  <c r="K376" i="4"/>
  <c r="L374" i="4"/>
  <c r="K377" i="4"/>
  <c r="L375" i="4"/>
  <c r="K378" i="4"/>
  <c r="K379" i="4"/>
  <c r="L376" i="4"/>
  <c r="L377" i="4"/>
  <c r="K380" i="4"/>
  <c r="L378" i="4"/>
  <c r="K381" i="4"/>
  <c r="L379" i="4"/>
  <c r="K382" i="4"/>
  <c r="K383" i="4"/>
  <c r="L380" i="4"/>
  <c r="L381" i="4"/>
  <c r="K384" i="4"/>
  <c r="L382" i="4"/>
  <c r="K385" i="4"/>
  <c r="L383" i="4"/>
  <c r="K386" i="4"/>
  <c r="K387" i="4"/>
  <c r="L384" i="4"/>
  <c r="K388" i="4"/>
  <c r="L385" i="4"/>
  <c r="K389" i="4"/>
  <c r="L386" i="4"/>
  <c r="K390" i="4"/>
  <c r="L387" i="4"/>
  <c r="L388" i="4"/>
  <c r="K391" i="4"/>
  <c r="L389" i="4"/>
  <c r="K392" i="4"/>
  <c r="K393" i="4"/>
  <c r="L390" i="4"/>
  <c r="L391" i="4"/>
  <c r="K394" i="4"/>
  <c r="K395" i="4"/>
  <c r="L392" i="4"/>
  <c r="L393" i="4"/>
  <c r="K396" i="4"/>
  <c r="L394" i="4"/>
  <c r="K397" i="4"/>
  <c r="L395" i="4"/>
  <c r="K398" i="4"/>
  <c r="L396" i="4"/>
  <c r="K399" i="4"/>
  <c r="K400" i="4"/>
  <c r="L397" i="4"/>
  <c r="K401" i="4"/>
  <c r="L398" i="4"/>
  <c r="K402" i="4"/>
  <c r="L399" i="4"/>
  <c r="K403" i="4"/>
  <c r="L400" i="4"/>
  <c r="L401" i="4"/>
  <c r="K404" i="4"/>
  <c r="K405" i="4"/>
  <c r="L402" i="4"/>
  <c r="L403" i="4"/>
  <c r="K406" i="4"/>
  <c r="K407" i="4"/>
  <c r="L404" i="4"/>
  <c r="L405" i="4"/>
  <c r="K408" i="4"/>
  <c r="L406" i="4"/>
  <c r="K409" i="4"/>
  <c r="L407" i="4"/>
  <c r="K410" i="4"/>
  <c r="L408" i="4"/>
  <c r="K411" i="4"/>
  <c r="L409" i="4"/>
  <c r="K412" i="4"/>
  <c r="L410" i="4"/>
  <c r="K413" i="4"/>
  <c r="L411" i="4"/>
  <c r="K414" i="4"/>
  <c r="K415" i="4"/>
  <c r="L412" i="4"/>
  <c r="K416" i="4"/>
  <c r="L413" i="4"/>
  <c r="K417" i="4"/>
  <c r="L414" i="4"/>
  <c r="L415" i="4"/>
  <c r="K418" i="4"/>
  <c r="L416" i="4"/>
  <c r="K419" i="4"/>
  <c r="L417" i="4"/>
  <c r="K420" i="4"/>
  <c r="L418" i="4"/>
  <c r="K421" i="4"/>
  <c r="L419" i="4"/>
  <c r="K422" i="4"/>
  <c r="L420" i="4"/>
  <c r="K423" i="4"/>
  <c r="L421" i="4"/>
  <c r="K424" i="4"/>
  <c r="K425" i="4"/>
  <c r="L422" i="4"/>
  <c r="L423" i="4"/>
  <c r="K426" i="4"/>
  <c r="L424" i="4"/>
  <c r="K427" i="4"/>
  <c r="L425" i="4"/>
  <c r="K428" i="4"/>
  <c r="L426" i="4"/>
  <c r="K429" i="4"/>
  <c r="K430" i="4"/>
  <c r="L427" i="4"/>
  <c r="L428" i="4"/>
  <c r="K431" i="4"/>
  <c r="L429" i="4"/>
  <c r="K432" i="4"/>
  <c r="L430" i="4"/>
  <c r="K433" i="4"/>
  <c r="K434" i="4"/>
  <c r="L431" i="4"/>
  <c r="L432" i="4"/>
  <c r="K435" i="4"/>
  <c r="K436" i="4"/>
  <c r="L433" i="4"/>
  <c r="L434" i="4"/>
  <c r="K437" i="4"/>
  <c r="K438" i="4"/>
  <c r="L435" i="4"/>
  <c r="L436" i="4"/>
  <c r="K439" i="4"/>
  <c r="K440" i="4"/>
  <c r="L437" i="4"/>
  <c r="L438" i="4"/>
  <c r="K441" i="4"/>
  <c r="K442" i="4"/>
  <c r="L439" i="4"/>
  <c r="L440" i="4"/>
  <c r="K443" i="4"/>
  <c r="K444" i="4"/>
  <c r="L441" i="4"/>
  <c r="K445" i="4"/>
  <c r="L442" i="4"/>
  <c r="L443" i="4"/>
  <c r="K446" i="4"/>
  <c r="K447" i="4"/>
  <c r="L444" i="4"/>
  <c r="L445" i="4"/>
  <c r="K448" i="4"/>
  <c r="L446" i="4"/>
  <c r="K449" i="4"/>
  <c r="K450" i="4"/>
  <c r="L447" i="4"/>
  <c r="L448" i="4"/>
  <c r="K451" i="4"/>
  <c r="K452" i="4"/>
  <c r="L449" i="4"/>
  <c r="K453" i="4"/>
  <c r="L450" i="4"/>
  <c r="K454" i="4"/>
  <c r="L451" i="4"/>
  <c r="K455" i="4"/>
  <c r="L452" i="4"/>
  <c r="L453" i="4"/>
  <c r="K456" i="4"/>
  <c r="K457" i="4"/>
  <c r="L454" i="4"/>
  <c r="K458" i="4"/>
  <c r="L455" i="4"/>
  <c r="K459" i="4"/>
  <c r="L456" i="4"/>
  <c r="L457" i="4"/>
  <c r="K460" i="4"/>
  <c r="L458" i="4"/>
  <c r="K461" i="4"/>
  <c r="L459" i="4"/>
  <c r="K462" i="4"/>
  <c r="L460" i="4"/>
  <c r="K463" i="4"/>
  <c r="L461" i="4"/>
  <c r="K464" i="4"/>
  <c r="L462" i="4"/>
  <c r="K465" i="4"/>
  <c r="L463" i="4"/>
  <c r="K466" i="4"/>
  <c r="K467" i="4"/>
  <c r="L464" i="4"/>
  <c r="K468" i="4"/>
  <c r="L465" i="4"/>
  <c r="K469" i="4"/>
  <c r="L466" i="4"/>
  <c r="L467" i="4"/>
  <c r="K470" i="4"/>
  <c r="L468" i="4"/>
  <c r="K471" i="4"/>
  <c r="K472" i="4"/>
  <c r="L469" i="4"/>
  <c r="K473" i="4"/>
  <c r="L470" i="4"/>
  <c r="K474" i="4"/>
  <c r="L471" i="4"/>
  <c r="K475" i="4"/>
  <c r="L472" i="4"/>
  <c r="L473" i="4"/>
  <c r="K476" i="4"/>
  <c r="K477" i="4"/>
  <c r="L474" i="4"/>
  <c r="K478" i="4"/>
  <c r="L475" i="4"/>
  <c r="K479" i="4"/>
  <c r="L476" i="4"/>
  <c r="K480" i="4"/>
  <c r="L477" i="4"/>
  <c r="K481" i="4"/>
  <c r="L478" i="4"/>
  <c r="K482" i="4"/>
  <c r="L479" i="4"/>
  <c r="K483" i="4"/>
  <c r="L480" i="4"/>
  <c r="L481" i="4"/>
  <c r="K484" i="4"/>
  <c r="K485" i="4"/>
  <c r="L482" i="4"/>
  <c r="K486" i="4"/>
  <c r="L483" i="4"/>
  <c r="K487" i="4"/>
  <c r="L484" i="4"/>
  <c r="L485" i="4"/>
  <c r="K488" i="4"/>
  <c r="K489" i="4"/>
  <c r="L486" i="4"/>
  <c r="L487" i="4"/>
  <c r="K490" i="4"/>
  <c r="L488" i="4"/>
  <c r="K491" i="4"/>
  <c r="K492" i="4"/>
  <c r="L489" i="4"/>
  <c r="K493" i="4"/>
  <c r="L490" i="4"/>
  <c r="L491" i="4"/>
  <c r="K494" i="4"/>
  <c r="K495" i="4"/>
  <c r="L492" i="4"/>
  <c r="L493" i="4"/>
  <c r="K496" i="4"/>
  <c r="K497" i="4"/>
  <c r="L494" i="4"/>
  <c r="L495" i="4"/>
  <c r="K498" i="4"/>
  <c r="L496" i="4"/>
  <c r="K499" i="4"/>
  <c r="L497" i="4"/>
  <c r="K500" i="4"/>
  <c r="L498" i="4"/>
  <c r="K501" i="4"/>
  <c r="L499" i="4"/>
  <c r="K502" i="4"/>
  <c r="L500" i="4"/>
  <c r="K503" i="4"/>
  <c r="L501" i="4"/>
  <c r="K504" i="4"/>
  <c r="L502" i="4"/>
  <c r="K505" i="4"/>
  <c r="L503" i="4"/>
  <c r="K506" i="4"/>
  <c r="L504" i="4"/>
  <c r="K507" i="4"/>
  <c r="L505" i="4"/>
  <c r="K508" i="4"/>
  <c r="L506" i="4"/>
  <c r="K509" i="4"/>
  <c r="L507" i="4"/>
  <c r="K510" i="4"/>
  <c r="L508" i="4"/>
  <c r="K511" i="4"/>
  <c r="L509" i="4"/>
  <c r="K512" i="4"/>
  <c r="L510" i="4"/>
  <c r="K513" i="4"/>
  <c r="L511" i="4"/>
  <c r="K514" i="4"/>
  <c r="K515" i="4"/>
  <c r="L512" i="4"/>
  <c r="K516" i="4"/>
  <c r="L513" i="4"/>
  <c r="L514" i="4"/>
  <c r="K517" i="4"/>
  <c r="K518" i="4"/>
  <c r="L515" i="4"/>
  <c r="L516" i="4"/>
  <c r="K519" i="4"/>
  <c r="K520" i="4"/>
  <c r="L517" i="4"/>
  <c r="L518" i="4"/>
  <c r="K521" i="4"/>
  <c r="K522" i="4"/>
  <c r="L519" i="4"/>
  <c r="L520" i="4"/>
  <c r="K523" i="4"/>
  <c r="L521" i="4"/>
  <c r="K524" i="4"/>
  <c r="K525" i="4"/>
  <c r="L522" i="4"/>
  <c r="L523" i="4"/>
  <c r="K526" i="4"/>
  <c r="K527" i="4"/>
  <c r="L524" i="4"/>
  <c r="L525" i="4"/>
  <c r="K528" i="4"/>
  <c r="L526" i="4"/>
  <c r="K529" i="4"/>
  <c r="K530" i="4"/>
  <c r="L527" i="4"/>
  <c r="K531" i="4"/>
  <c r="L528" i="4"/>
  <c r="K532" i="4"/>
  <c r="L529" i="4"/>
  <c r="K533" i="4"/>
  <c r="L530" i="4"/>
  <c r="L531" i="4"/>
  <c r="K534" i="4"/>
  <c r="L532" i="4"/>
  <c r="K535" i="4"/>
  <c r="K536" i="4"/>
  <c r="L533" i="4"/>
  <c r="L534" i="4"/>
  <c r="K537" i="4"/>
  <c r="L535" i="4"/>
  <c r="K538" i="4"/>
  <c r="L536" i="4"/>
  <c r="K539" i="4"/>
  <c r="L537" i="4"/>
  <c r="K540" i="4"/>
  <c r="L538" i="4"/>
  <c r="K541" i="4"/>
  <c r="L539" i="4"/>
  <c r="K542" i="4"/>
  <c r="L540" i="4"/>
  <c r="K543" i="4"/>
  <c r="L541" i="4"/>
  <c r="K544" i="4"/>
  <c r="L542" i="4"/>
  <c r="K545" i="4"/>
  <c r="L543" i="4"/>
  <c r="K546" i="4"/>
  <c r="L544" i="4"/>
  <c r="K547" i="4"/>
  <c r="L545" i="4"/>
  <c r="K548" i="4"/>
  <c r="K549" i="4"/>
  <c r="L546" i="4"/>
  <c r="L547" i="4"/>
  <c r="K550" i="4"/>
  <c r="L548" i="4"/>
  <c r="K551" i="4"/>
  <c r="K552" i="4"/>
  <c r="L549" i="4"/>
  <c r="L550" i="4"/>
  <c r="K553" i="4"/>
  <c r="L551" i="4"/>
  <c r="K554" i="4"/>
  <c r="L552" i="4"/>
  <c r="K555" i="4"/>
  <c r="L553" i="4"/>
  <c r="K556" i="4"/>
  <c r="K557" i="4"/>
  <c r="L554" i="4"/>
  <c r="L555" i="4"/>
  <c r="K558" i="4"/>
  <c r="K559" i="4"/>
  <c r="L556" i="4"/>
  <c r="L557" i="4"/>
  <c r="K560" i="4"/>
  <c r="L558" i="4"/>
  <c r="K561" i="4"/>
  <c r="L559" i="4"/>
  <c r="K562" i="4"/>
  <c r="K563" i="4"/>
  <c r="L560" i="4"/>
  <c r="K564" i="4"/>
  <c r="L561" i="4"/>
  <c r="L562" i="4"/>
  <c r="K565" i="4"/>
  <c r="K566" i="4"/>
  <c r="L563" i="4"/>
  <c r="L564" i="4"/>
  <c r="K567" i="4"/>
  <c r="K568" i="4"/>
  <c r="L565" i="4"/>
  <c r="K569" i="4"/>
  <c r="L566" i="4"/>
  <c r="L567" i="4"/>
  <c r="K570" i="4"/>
  <c r="L568" i="4"/>
  <c r="K571" i="4"/>
  <c r="L569" i="4"/>
  <c r="K572" i="4"/>
  <c r="K573" i="4"/>
  <c r="L570" i="4"/>
  <c r="K574" i="4"/>
  <c r="L571" i="4"/>
  <c r="L572" i="4"/>
  <c r="K575" i="4"/>
  <c r="K576" i="4"/>
  <c r="L573" i="4"/>
  <c r="K577" i="4"/>
  <c r="L574" i="4"/>
  <c r="L575" i="4"/>
  <c r="K578" i="4"/>
  <c r="L576" i="4"/>
  <c r="K579" i="4"/>
  <c r="L577" i="4"/>
  <c r="K580" i="4"/>
  <c r="K581" i="4"/>
  <c r="L578" i="4"/>
  <c r="K582" i="4"/>
  <c r="L579" i="4"/>
  <c r="L580" i="4"/>
  <c r="K583" i="4"/>
  <c r="L581" i="4"/>
  <c r="K584" i="4"/>
  <c r="L582" i="4"/>
  <c r="K585" i="4"/>
  <c r="L583" i="4"/>
  <c r="K586" i="4"/>
  <c r="L584" i="4"/>
  <c r="K587" i="4"/>
  <c r="L585" i="4"/>
  <c r="K588" i="4"/>
  <c r="L586" i="4"/>
  <c r="K589" i="4"/>
  <c r="L587" i="4"/>
  <c r="K590" i="4"/>
  <c r="K591" i="4"/>
  <c r="L588" i="4"/>
  <c r="L589" i="4"/>
  <c r="K592" i="4"/>
  <c r="K593" i="4"/>
  <c r="L590" i="4"/>
  <c r="L591" i="4"/>
  <c r="K594" i="4"/>
  <c r="L592" i="4"/>
  <c r="K595" i="4"/>
  <c r="K596" i="4"/>
  <c r="L593" i="4"/>
  <c r="K597" i="4"/>
  <c r="L594" i="4"/>
  <c r="K598" i="4"/>
  <c r="L595" i="4"/>
  <c r="K599" i="4"/>
  <c r="L596" i="4"/>
  <c r="K600" i="4"/>
  <c r="L597" i="4"/>
  <c r="K601" i="4"/>
  <c r="L598" i="4"/>
  <c r="K602" i="4"/>
  <c r="L599" i="4"/>
  <c r="K603" i="4"/>
  <c r="L600" i="4"/>
  <c r="K604" i="4"/>
  <c r="L601" i="4"/>
  <c r="K605" i="4"/>
  <c r="L602" i="4"/>
  <c r="K606" i="4"/>
  <c r="L603" i="4"/>
  <c r="K607" i="4"/>
  <c r="L604" i="4"/>
  <c r="L605" i="4"/>
  <c r="K608" i="4"/>
  <c r="K609" i="4"/>
  <c r="L606" i="4"/>
  <c r="K610" i="4"/>
  <c r="L607" i="4"/>
  <c r="L608" i="4"/>
  <c r="K611" i="4"/>
  <c r="L609" i="4"/>
  <c r="K612" i="4"/>
  <c r="L610" i="4"/>
  <c r="K613" i="4"/>
  <c r="K614" i="4"/>
  <c r="L611" i="4"/>
  <c r="L612" i="4"/>
  <c r="K615" i="4"/>
  <c r="L613" i="4"/>
  <c r="K616" i="4"/>
  <c r="L614" i="4"/>
  <c r="K617" i="4"/>
  <c r="L615" i="4"/>
  <c r="K618" i="4"/>
  <c r="L616" i="4"/>
  <c r="K619" i="4"/>
  <c r="L617" i="4"/>
  <c r="K620" i="4"/>
  <c r="L618" i="4"/>
  <c r="K621" i="4"/>
  <c r="L619" i="4"/>
  <c r="K622" i="4"/>
  <c r="L620" i="4"/>
  <c r="K623" i="4"/>
  <c r="K624" i="4"/>
  <c r="L621" i="4"/>
  <c r="K625" i="4"/>
  <c r="L622" i="4"/>
  <c r="L623" i="4"/>
  <c r="K626" i="4"/>
  <c r="K627" i="4"/>
  <c r="L624" i="4"/>
  <c r="L625" i="4"/>
  <c r="K628" i="4"/>
  <c r="L626" i="4"/>
  <c r="K629" i="4"/>
  <c r="K630" i="4"/>
  <c r="L627" i="4"/>
  <c r="K631" i="4"/>
  <c r="L628" i="4"/>
  <c r="K632" i="4"/>
  <c r="L629" i="4"/>
  <c r="K633" i="4"/>
  <c r="L630" i="4"/>
  <c r="K634" i="4"/>
  <c r="L631" i="4"/>
  <c r="L632" i="4"/>
  <c r="K635" i="4"/>
  <c r="K636" i="4"/>
  <c r="L633" i="4"/>
  <c r="K637" i="4"/>
  <c r="L634" i="4"/>
  <c r="K638" i="4"/>
  <c r="L635" i="4"/>
  <c r="K639" i="4"/>
  <c r="L636" i="4"/>
  <c r="L637" i="4"/>
  <c r="K640" i="4"/>
  <c r="L638" i="4"/>
  <c r="K641" i="4"/>
  <c r="L639" i="4"/>
  <c r="K642" i="4"/>
  <c r="K643" i="4"/>
  <c r="L640" i="4"/>
  <c r="L641" i="4"/>
  <c r="K644" i="4"/>
  <c r="L642" i="4"/>
  <c r="K645" i="4"/>
  <c r="L643" i="4"/>
  <c r="K646" i="4"/>
  <c r="K647" i="4"/>
  <c r="L644" i="4"/>
  <c r="K648" i="4"/>
  <c r="L645" i="4"/>
  <c r="K649" i="4"/>
  <c r="L646" i="4"/>
  <c r="L647" i="4"/>
  <c r="K650" i="4"/>
  <c r="K651" i="4"/>
  <c r="L648" i="4"/>
  <c r="L649" i="4"/>
  <c r="K652" i="4"/>
  <c r="L650" i="4"/>
  <c r="K653" i="4"/>
  <c r="L651" i="4"/>
  <c r="K654" i="4"/>
  <c r="L652" i="4"/>
  <c r="K655" i="4"/>
  <c r="L653" i="4"/>
  <c r="K656" i="4"/>
  <c r="L654" i="4"/>
  <c r="K657" i="4"/>
  <c r="L655" i="4"/>
  <c r="K658" i="4"/>
  <c r="L656" i="4"/>
  <c r="K659" i="4"/>
  <c r="L657" i="4"/>
  <c r="K660" i="4"/>
  <c r="L658" i="4"/>
  <c r="K661" i="4"/>
  <c r="K662" i="4"/>
  <c r="L659" i="4"/>
  <c r="L660" i="4"/>
  <c r="K663" i="4"/>
  <c r="K664" i="4"/>
  <c r="L661" i="4"/>
  <c r="K665" i="4"/>
  <c r="L662" i="4"/>
  <c r="K666" i="4"/>
  <c r="L663" i="4"/>
  <c r="L664" i="4"/>
  <c r="K667" i="4"/>
  <c r="K668" i="4"/>
  <c r="L665" i="4"/>
  <c r="K669" i="4"/>
  <c r="L666" i="4"/>
  <c r="L667" i="4"/>
  <c r="K670" i="4"/>
  <c r="K671" i="4"/>
  <c r="L668" i="4"/>
  <c r="K672" i="4"/>
  <c r="L669" i="4"/>
  <c r="L670" i="4"/>
  <c r="K673" i="4"/>
  <c r="L671" i="4"/>
  <c r="K674" i="4"/>
  <c r="K675" i="4"/>
  <c r="L672" i="4"/>
  <c r="L673" i="4"/>
  <c r="K676" i="4"/>
  <c r="K677" i="4"/>
  <c r="L674" i="4"/>
  <c r="L675" i="4"/>
  <c r="K678" i="4"/>
  <c r="K679" i="4"/>
  <c r="L676" i="4"/>
  <c r="L677" i="4"/>
  <c r="K680" i="4"/>
  <c r="K681" i="4"/>
  <c r="L678" i="4"/>
  <c r="L679" i="4"/>
  <c r="K682" i="4"/>
  <c r="L680" i="4"/>
  <c r="K683" i="4"/>
  <c r="L681" i="4"/>
  <c r="K684" i="4"/>
  <c r="K685" i="4"/>
  <c r="L682" i="4"/>
  <c r="L683" i="4"/>
  <c r="K686" i="4"/>
  <c r="K687" i="4"/>
  <c r="L684" i="4"/>
  <c r="L685" i="4"/>
  <c r="K688" i="4"/>
  <c r="L686" i="4"/>
  <c r="K689" i="4"/>
  <c r="K690" i="4"/>
  <c r="L687" i="4"/>
  <c r="K691" i="4"/>
  <c r="L688" i="4"/>
  <c r="K692" i="4"/>
  <c r="L689" i="4"/>
  <c r="K693" i="4"/>
  <c r="L690" i="4"/>
  <c r="K694" i="4"/>
  <c r="L691" i="4"/>
  <c r="K695" i="4"/>
  <c r="L692" i="4"/>
  <c r="K696" i="4"/>
  <c r="L693" i="4"/>
  <c r="L694" i="4"/>
  <c r="K697" i="4"/>
  <c r="L695" i="4"/>
  <c r="K698" i="4"/>
  <c r="K699" i="4"/>
  <c r="L696" i="4"/>
  <c r="K700" i="4"/>
  <c r="L697" i="4"/>
  <c r="K701" i="4"/>
  <c r="L698" i="4"/>
  <c r="K702" i="4"/>
  <c r="L699" i="4"/>
  <c r="K703" i="4"/>
  <c r="L700" i="4"/>
  <c r="K704" i="4"/>
  <c r="L701" i="4"/>
  <c r="K705" i="4"/>
  <c r="L702" i="4"/>
  <c r="K706" i="4"/>
  <c r="L703" i="4"/>
  <c r="K707" i="4"/>
  <c r="L704" i="4"/>
  <c r="K708" i="4"/>
  <c r="L705" i="4"/>
  <c r="K709" i="4"/>
  <c r="L706" i="4"/>
  <c r="K710" i="4"/>
  <c r="L707" i="4"/>
  <c r="L708" i="4"/>
  <c r="K711" i="4"/>
  <c r="L709" i="4"/>
  <c r="K712" i="4"/>
  <c r="L710" i="4"/>
  <c r="K713" i="4"/>
  <c r="K714" i="4"/>
  <c r="L711" i="4"/>
  <c r="K715" i="4"/>
  <c r="L712" i="4"/>
  <c r="K716" i="4"/>
  <c r="L713" i="4"/>
  <c r="L714" i="4"/>
  <c r="K717" i="4"/>
  <c r="K718" i="4"/>
  <c r="L715" i="4"/>
  <c r="L716" i="4"/>
  <c r="K719" i="4"/>
  <c r="K720" i="4"/>
  <c r="L717" i="4"/>
  <c r="L718" i="4"/>
  <c r="K721" i="4"/>
  <c r="K722" i="4"/>
  <c r="L719" i="4"/>
  <c r="K723" i="4"/>
  <c r="L720" i="4"/>
  <c r="L721" i="4"/>
  <c r="K724" i="4"/>
  <c r="K725" i="4"/>
  <c r="L722" i="4"/>
  <c r="L723" i="4"/>
  <c r="K726" i="4"/>
  <c r="L724" i="4"/>
  <c r="K727" i="4"/>
  <c r="L725" i="4"/>
  <c r="K728" i="4"/>
  <c r="L726" i="4"/>
  <c r="K729" i="4"/>
  <c r="L727" i="4"/>
  <c r="K730" i="4"/>
  <c r="L728" i="4"/>
  <c r="K731" i="4"/>
  <c r="K732" i="4"/>
  <c r="L729" i="4"/>
  <c r="L730" i="4"/>
  <c r="K733" i="4"/>
  <c r="L731" i="4"/>
  <c r="K734" i="4"/>
  <c r="L732" i="4"/>
  <c r="K735" i="4"/>
  <c r="L733" i="4"/>
  <c r="K736" i="4"/>
  <c r="K737" i="4"/>
  <c r="L734" i="4"/>
  <c r="K738" i="4"/>
  <c r="L735" i="4"/>
  <c r="K739" i="4"/>
  <c r="L736" i="4"/>
  <c r="K740" i="4"/>
  <c r="L737" i="4"/>
  <c r="L738" i="4"/>
  <c r="K741" i="4"/>
  <c r="L739" i="4"/>
  <c r="K742" i="4"/>
  <c r="L740" i="4"/>
  <c r="K743" i="4"/>
  <c r="L741" i="4"/>
  <c r="K744" i="4"/>
  <c r="L742" i="4"/>
  <c r="K745" i="4"/>
  <c r="L743" i="4"/>
  <c r="K746" i="4"/>
  <c r="L744" i="4"/>
  <c r="K747" i="4"/>
  <c r="L745" i="4"/>
  <c r="K748" i="4"/>
  <c r="L746" i="4"/>
  <c r="K749" i="4"/>
  <c r="L747" i="4"/>
  <c r="K750" i="4"/>
  <c r="L748" i="4"/>
  <c r="K751" i="4"/>
  <c r="K752" i="4"/>
  <c r="L749" i="4"/>
  <c r="L750" i="4"/>
  <c r="K753" i="4"/>
  <c r="K754" i="4"/>
  <c r="L751" i="4"/>
  <c r="L752" i="4"/>
  <c r="K755" i="4"/>
  <c r="L753" i="4"/>
  <c r="K756" i="4"/>
  <c r="L754" i="4"/>
  <c r="K757" i="4"/>
  <c r="K758" i="4"/>
  <c r="L755" i="4"/>
  <c r="K759" i="4"/>
  <c r="L756" i="4"/>
  <c r="K760" i="4"/>
  <c r="L757" i="4"/>
  <c r="K761" i="4"/>
  <c r="L758" i="4"/>
  <c r="K762" i="4"/>
  <c r="L759" i="4"/>
  <c r="K763" i="4"/>
  <c r="L760" i="4"/>
  <c r="K764" i="4"/>
  <c r="L761" i="4"/>
  <c r="K765" i="4"/>
  <c r="L762" i="4"/>
  <c r="K766" i="4"/>
  <c r="L763" i="4"/>
  <c r="K767" i="4"/>
  <c r="L764" i="4"/>
  <c r="K768" i="4"/>
  <c r="L765" i="4"/>
  <c r="K769" i="4"/>
  <c r="L766" i="4"/>
  <c r="K770" i="4"/>
  <c r="L767" i="4"/>
  <c r="K771" i="4"/>
  <c r="L768" i="4"/>
  <c r="L769" i="4"/>
  <c r="K772" i="4"/>
  <c r="L770" i="4"/>
  <c r="K773" i="4"/>
  <c r="K774" i="4"/>
  <c r="L771" i="4"/>
  <c r="L772" i="4"/>
  <c r="K775" i="4"/>
  <c r="K776" i="4"/>
  <c r="L773" i="4"/>
  <c r="L774" i="4"/>
  <c r="K777" i="4"/>
  <c r="K778" i="4"/>
  <c r="L775" i="4"/>
  <c r="L776" i="4"/>
  <c r="K779" i="4"/>
  <c r="K780" i="4"/>
  <c r="L777" i="4"/>
  <c r="L778" i="4"/>
  <c r="K781" i="4"/>
  <c r="K782" i="4"/>
  <c r="L779" i="4"/>
  <c r="L780" i="4"/>
  <c r="K783" i="4"/>
  <c r="K784" i="4"/>
  <c r="L781" i="4"/>
  <c r="L782" i="4"/>
  <c r="K785" i="4"/>
  <c r="K786" i="4"/>
  <c r="L783" i="4"/>
  <c r="K787" i="4"/>
  <c r="L784" i="4"/>
  <c r="K788" i="4"/>
  <c r="L785" i="4"/>
  <c r="L786" i="4"/>
  <c r="K789" i="4"/>
  <c r="K790" i="4"/>
  <c r="L787" i="4"/>
  <c r="L788" i="4"/>
  <c r="K791" i="4"/>
  <c r="K792" i="4"/>
  <c r="L789" i="4"/>
  <c r="L790" i="4"/>
  <c r="K793" i="4"/>
  <c r="L791" i="4"/>
  <c r="K794" i="4"/>
  <c r="L792" i="4"/>
  <c r="K795" i="4"/>
  <c r="L793" i="4"/>
  <c r="K796" i="4"/>
  <c r="L794" i="4"/>
  <c r="K797" i="4"/>
  <c r="K798" i="4"/>
  <c r="L795" i="4"/>
  <c r="L796" i="4"/>
  <c r="K799" i="4"/>
  <c r="K800" i="4"/>
  <c r="L797" i="4"/>
  <c r="L798" i="4"/>
  <c r="K801" i="4"/>
  <c r="K802" i="4"/>
  <c r="L799" i="4"/>
  <c r="K803" i="4"/>
  <c r="L800" i="4"/>
  <c r="L801" i="4"/>
  <c r="K804" i="4"/>
  <c r="K805" i="4"/>
  <c r="L802" i="4"/>
  <c r="K806" i="4"/>
  <c r="L803" i="4"/>
  <c r="L804" i="4"/>
  <c r="K807" i="4"/>
  <c r="K808" i="4"/>
  <c r="L805" i="4"/>
  <c r="L806" i="4"/>
  <c r="K809" i="4"/>
  <c r="K810" i="4"/>
  <c r="L807" i="4"/>
  <c r="K811" i="4"/>
  <c r="L808" i="4"/>
  <c r="L809" i="4"/>
  <c r="K812" i="4"/>
  <c r="K813" i="4"/>
  <c r="L810" i="4"/>
  <c r="L811" i="4"/>
  <c r="K814" i="4"/>
  <c r="K815" i="4"/>
  <c r="L812" i="4"/>
  <c r="L813" i="4"/>
  <c r="K816" i="4"/>
  <c r="L814" i="4"/>
  <c r="K817" i="4"/>
  <c r="L815" i="4"/>
  <c r="K818" i="4"/>
  <c r="L816" i="4"/>
  <c r="K819" i="4"/>
  <c r="L817" i="4"/>
  <c r="K820" i="4"/>
  <c r="L818" i="4"/>
  <c r="K821" i="4"/>
  <c r="L819" i="4"/>
  <c r="K822" i="4"/>
  <c r="L820" i="4"/>
  <c r="K823" i="4"/>
  <c r="L821" i="4"/>
  <c r="K824" i="4"/>
  <c r="L822" i="4"/>
  <c r="K825" i="4"/>
  <c r="K826" i="4"/>
  <c r="L823" i="4"/>
  <c r="L824" i="4"/>
  <c r="K827" i="4"/>
  <c r="K828" i="4"/>
  <c r="L825" i="4"/>
  <c r="K829" i="4"/>
  <c r="L826" i="4"/>
  <c r="K830" i="4"/>
  <c r="L827" i="4"/>
  <c r="L828" i="4"/>
  <c r="K831" i="4"/>
  <c r="K832" i="4"/>
  <c r="L829" i="4"/>
  <c r="K833" i="4"/>
  <c r="L830" i="4"/>
  <c r="L831" i="4"/>
  <c r="K834" i="4"/>
  <c r="K835" i="4"/>
  <c r="L832" i="4"/>
  <c r="K836" i="4"/>
  <c r="L833" i="4"/>
  <c r="K837" i="4"/>
  <c r="L834" i="4"/>
  <c r="K838" i="4"/>
  <c r="L835" i="4"/>
  <c r="K839" i="4"/>
  <c r="L836" i="4"/>
  <c r="K840" i="4"/>
  <c r="L837" i="4"/>
  <c r="K841" i="4"/>
  <c r="L838" i="4"/>
  <c r="K842" i="4"/>
  <c r="L839" i="4"/>
  <c r="K843" i="4"/>
  <c r="L840" i="4"/>
  <c r="K844" i="4"/>
  <c r="L841" i="4"/>
  <c r="K845" i="4"/>
  <c r="L842" i="4"/>
  <c r="L843" i="4"/>
  <c r="K846" i="4"/>
  <c r="K847" i="4"/>
  <c r="L844" i="4"/>
  <c r="K848" i="4"/>
  <c r="L845" i="4"/>
  <c r="K849" i="4"/>
  <c r="L846" i="4"/>
  <c r="L847" i="4"/>
  <c r="K850" i="4"/>
  <c r="K851" i="4"/>
  <c r="L848" i="4"/>
  <c r="L849" i="4"/>
  <c r="K852" i="4"/>
  <c r="K853" i="4"/>
  <c r="L850" i="4"/>
  <c r="K854" i="4"/>
  <c r="L851" i="4"/>
  <c r="L852" i="4"/>
  <c r="K855" i="4"/>
  <c r="L853" i="4"/>
  <c r="K856" i="4"/>
  <c r="L854" i="4"/>
  <c r="K857" i="4"/>
  <c r="L855" i="4"/>
  <c r="K858" i="4"/>
  <c r="K859" i="4"/>
  <c r="L856" i="4"/>
  <c r="K860" i="4"/>
  <c r="L857" i="4"/>
  <c r="L858" i="4"/>
  <c r="K861" i="4"/>
  <c r="K862" i="4"/>
  <c r="L859" i="4"/>
  <c r="K863" i="4"/>
  <c r="L860" i="4"/>
  <c r="K864" i="4"/>
  <c r="L861" i="4"/>
  <c r="K865" i="4"/>
  <c r="L862" i="4"/>
  <c r="K866" i="4"/>
  <c r="L863" i="4"/>
  <c r="K867" i="4"/>
  <c r="L864" i="4"/>
  <c r="K868" i="4"/>
  <c r="L865" i="4"/>
  <c r="L866" i="4"/>
  <c r="K869" i="4"/>
  <c r="L867" i="4"/>
  <c r="K870" i="4"/>
  <c r="L868" i="4"/>
  <c r="K871" i="4"/>
  <c r="K872" i="4"/>
  <c r="L869" i="4"/>
  <c r="K873" i="4"/>
  <c r="L870" i="4"/>
  <c r="L871" i="4"/>
  <c r="K874" i="4"/>
  <c r="L872" i="4"/>
  <c r="K875" i="4"/>
  <c r="L873" i="4"/>
  <c r="K876" i="4"/>
  <c r="K877" i="4"/>
  <c r="L874" i="4"/>
  <c r="L875" i="4"/>
  <c r="K878" i="4"/>
  <c r="K879" i="4"/>
  <c r="L876" i="4"/>
  <c r="L877" i="4"/>
  <c r="K880" i="4"/>
  <c r="L878" i="4"/>
  <c r="K881" i="4"/>
  <c r="K882" i="4"/>
  <c r="L879" i="4"/>
  <c r="K883" i="4"/>
  <c r="L880" i="4"/>
  <c r="L881" i="4"/>
  <c r="K884" i="4"/>
  <c r="L882" i="4"/>
  <c r="K885" i="4"/>
  <c r="K886" i="4"/>
  <c r="L883" i="4"/>
  <c r="L884" i="4"/>
  <c r="K887" i="4"/>
  <c r="K888" i="4"/>
  <c r="L885" i="4"/>
  <c r="K889" i="4"/>
  <c r="L886" i="4"/>
  <c r="K890" i="4"/>
  <c r="L887" i="4"/>
  <c r="L888" i="4"/>
  <c r="K891" i="4"/>
  <c r="L889" i="4"/>
  <c r="K892" i="4"/>
  <c r="L890" i="4"/>
  <c r="K893" i="4"/>
  <c r="L891" i="4"/>
  <c r="K894" i="4"/>
  <c r="L892" i="4"/>
  <c r="K895" i="4"/>
  <c r="K896" i="4"/>
  <c r="L893" i="4"/>
  <c r="K897" i="4"/>
  <c r="L894" i="4"/>
  <c r="L895" i="4"/>
  <c r="K898" i="4"/>
  <c r="K899" i="4"/>
  <c r="L896" i="4"/>
  <c r="L897" i="4"/>
  <c r="K900" i="4"/>
  <c r="L898" i="4"/>
  <c r="K901" i="4"/>
  <c r="L899" i="4"/>
  <c r="K902" i="4"/>
  <c r="L900" i="4"/>
  <c r="K903" i="4"/>
  <c r="L901" i="4"/>
  <c r="K904" i="4"/>
  <c r="L902" i="4"/>
  <c r="K905" i="4"/>
  <c r="L903" i="4"/>
  <c r="K906" i="4"/>
  <c r="L904" i="4"/>
  <c r="K907" i="4"/>
  <c r="L905" i="4"/>
  <c r="K908" i="4"/>
  <c r="L906" i="4"/>
  <c r="K909" i="4"/>
  <c r="L907" i="4"/>
  <c r="K910" i="4"/>
  <c r="K911" i="4"/>
  <c r="L908" i="4"/>
  <c r="K912" i="4"/>
  <c r="L909" i="4"/>
  <c r="K913" i="4"/>
  <c r="L910" i="4"/>
  <c r="K914" i="4"/>
  <c r="L911" i="4"/>
  <c r="K915" i="4"/>
  <c r="L912" i="4"/>
  <c r="K916" i="4"/>
  <c r="L913" i="4"/>
  <c r="K917" i="4"/>
  <c r="L914" i="4"/>
  <c r="L915" i="4"/>
  <c r="K918" i="4"/>
  <c r="L916" i="4"/>
  <c r="K919" i="4"/>
  <c r="L917" i="4"/>
  <c r="K920" i="4"/>
  <c r="L918" i="4"/>
  <c r="K921" i="4"/>
  <c r="K922" i="4"/>
  <c r="L919" i="4"/>
  <c r="K923" i="4"/>
  <c r="L920" i="4"/>
  <c r="K924" i="4"/>
  <c r="L921" i="4"/>
  <c r="L922" i="4"/>
  <c r="K925" i="4"/>
  <c r="L923" i="4"/>
  <c r="K926" i="4"/>
  <c r="L924" i="4"/>
  <c r="K927" i="4"/>
  <c r="L925" i="4"/>
  <c r="K928" i="4"/>
  <c r="K929" i="4"/>
  <c r="L926" i="4"/>
  <c r="K930" i="4"/>
  <c r="L927" i="4"/>
  <c r="K931" i="4"/>
  <c r="L928" i="4"/>
  <c r="L929" i="4"/>
  <c r="K932" i="4"/>
  <c r="L930" i="4"/>
  <c r="K933" i="4"/>
  <c r="L931" i="4"/>
  <c r="K934" i="4"/>
  <c r="K935" i="4"/>
  <c r="L932" i="4"/>
  <c r="L933" i="4"/>
  <c r="K936" i="4"/>
  <c r="K937" i="4"/>
  <c r="L934" i="4"/>
  <c r="L935" i="4"/>
  <c r="K938" i="4"/>
  <c r="K939" i="4"/>
  <c r="L936" i="4"/>
  <c r="L937" i="4"/>
  <c r="K940" i="4"/>
  <c r="L938" i="4"/>
  <c r="K941" i="4"/>
  <c r="L939" i="4"/>
  <c r="K942" i="4"/>
  <c r="L940" i="4"/>
  <c r="K943" i="4"/>
  <c r="L941" i="4"/>
  <c r="K944" i="4"/>
  <c r="L942" i="4"/>
  <c r="K945" i="4"/>
  <c r="L943" i="4"/>
  <c r="K946" i="4"/>
  <c r="L944" i="4"/>
  <c r="K947" i="4"/>
  <c r="L945" i="4"/>
  <c r="K948" i="4"/>
  <c r="L946" i="4"/>
  <c r="K949" i="4"/>
  <c r="L947" i="4"/>
  <c r="K950" i="4"/>
  <c r="L948" i="4"/>
  <c r="K951" i="4"/>
  <c r="L949" i="4"/>
  <c r="K952" i="4"/>
  <c r="L950" i="4"/>
  <c r="K953" i="4"/>
  <c r="L951" i="4"/>
  <c r="K954" i="4"/>
  <c r="L952" i="4"/>
  <c r="K955" i="4"/>
  <c r="L953" i="4"/>
  <c r="K956" i="4"/>
  <c r="L954" i="4"/>
  <c r="K957" i="4"/>
  <c r="L955" i="4"/>
  <c r="K958" i="4"/>
  <c r="L956" i="4"/>
  <c r="K959" i="4"/>
  <c r="L957" i="4"/>
  <c r="K960" i="4"/>
  <c r="L958" i="4"/>
  <c r="K961" i="4"/>
  <c r="L959" i="4"/>
  <c r="K962" i="4"/>
  <c r="L960" i="4"/>
  <c r="K963" i="4"/>
  <c r="K964" i="4"/>
  <c r="L961" i="4"/>
  <c r="L962" i="4"/>
  <c r="K965" i="4"/>
  <c r="K966" i="4"/>
  <c r="L963" i="4"/>
  <c r="L964" i="4"/>
  <c r="K967" i="4"/>
  <c r="K968" i="4"/>
  <c r="L965" i="4"/>
  <c r="K969" i="4"/>
  <c r="L966" i="4"/>
  <c r="L967" i="4"/>
  <c r="K970" i="4"/>
  <c r="K971" i="4"/>
  <c r="L968" i="4"/>
  <c r="K972" i="4"/>
  <c r="L969" i="4"/>
  <c r="K973" i="4"/>
  <c r="L970" i="4"/>
  <c r="K974" i="4"/>
  <c r="L971" i="4"/>
  <c r="L972" i="4"/>
  <c r="K975" i="4"/>
  <c r="L973" i="4"/>
  <c r="K976" i="4"/>
  <c r="L974" i="4"/>
  <c r="K977" i="4"/>
  <c r="L975" i="4"/>
  <c r="K978" i="4"/>
  <c r="K979" i="4"/>
  <c r="L976" i="4"/>
  <c r="L977" i="4"/>
  <c r="K980" i="4"/>
  <c r="L978" i="4"/>
  <c r="K981" i="4"/>
  <c r="K982" i="4"/>
  <c r="L979" i="4"/>
  <c r="L980" i="4"/>
  <c r="K983" i="4"/>
  <c r="K984" i="4"/>
  <c r="L981" i="4"/>
  <c r="L982" i="4"/>
  <c r="K985" i="4"/>
  <c r="L983" i="4"/>
  <c r="K986" i="4"/>
  <c r="L984" i="4"/>
  <c r="K987" i="4"/>
  <c r="L985" i="4"/>
  <c r="K988" i="4"/>
  <c r="L986" i="4"/>
  <c r="K989" i="4"/>
  <c r="L987" i="4"/>
  <c r="K990" i="4"/>
  <c r="L988" i="4"/>
  <c r="K991" i="4"/>
  <c r="L989" i="4"/>
  <c r="K992" i="4"/>
  <c r="K993" i="4"/>
  <c r="L990" i="4"/>
  <c r="K994" i="4"/>
  <c r="L991" i="4"/>
  <c r="L992" i="4"/>
  <c r="K995" i="4"/>
  <c r="K996" i="4"/>
  <c r="L993" i="4"/>
  <c r="K997" i="4"/>
  <c r="L994" i="4"/>
  <c r="K998" i="4"/>
  <c r="L995" i="4"/>
  <c r="K999" i="4"/>
  <c r="L996" i="4"/>
  <c r="K1000" i="4"/>
  <c r="L997" i="4"/>
  <c r="L998" i="4"/>
  <c r="K1001" i="4"/>
  <c r="I6" i="4"/>
  <c r="H8" i="4"/>
  <c r="I7" i="4"/>
  <c r="H9" i="4"/>
  <c r="I8" i="4"/>
  <c r="H10" i="4"/>
  <c r="I9" i="4"/>
  <c r="H11" i="4"/>
  <c r="I10" i="4"/>
  <c r="H12" i="4"/>
  <c r="I11" i="4"/>
  <c r="H13" i="4"/>
  <c r="I12" i="4"/>
  <c r="H14" i="4"/>
  <c r="I13" i="4"/>
  <c r="H15" i="4"/>
  <c r="I14" i="4"/>
  <c r="H16" i="4"/>
  <c r="I15" i="4"/>
  <c r="H17" i="4"/>
  <c r="I16" i="4"/>
  <c r="H18" i="4"/>
  <c r="I17" i="4"/>
  <c r="H19" i="4"/>
  <c r="I18" i="4"/>
  <c r="H20" i="4"/>
  <c r="I19" i="4"/>
  <c r="H21" i="4"/>
  <c r="H22" i="4"/>
  <c r="I20" i="4"/>
  <c r="H23" i="4"/>
  <c r="I21" i="4"/>
  <c r="H24" i="4"/>
  <c r="I22" i="4"/>
  <c r="H25" i="4"/>
  <c r="I23" i="4"/>
  <c r="H26" i="4"/>
  <c r="I24" i="4"/>
  <c r="H27" i="4"/>
  <c r="I25" i="4"/>
  <c r="H28" i="4"/>
  <c r="I26" i="4"/>
  <c r="H29" i="4"/>
  <c r="I27" i="4"/>
  <c r="H30" i="4"/>
  <c r="I28" i="4"/>
  <c r="H31" i="4"/>
  <c r="I29" i="4"/>
  <c r="H32" i="4"/>
  <c r="I30" i="4"/>
  <c r="H33" i="4"/>
  <c r="I31" i="4"/>
  <c r="H34" i="4"/>
  <c r="I32" i="4"/>
  <c r="H35" i="4"/>
  <c r="I33" i="4"/>
  <c r="H36" i="4"/>
  <c r="I34" i="4"/>
  <c r="H37" i="4"/>
  <c r="I35" i="4"/>
  <c r="I36" i="4"/>
  <c r="H38" i="4"/>
  <c r="H39" i="4"/>
  <c r="I37" i="4"/>
  <c r="I38" i="4"/>
  <c r="H40" i="4"/>
  <c r="I39" i="4"/>
  <c r="H41" i="4"/>
  <c r="H42" i="4"/>
  <c r="I40" i="4"/>
  <c r="H43" i="4"/>
  <c r="I41" i="4"/>
  <c r="H44" i="4"/>
  <c r="I42" i="4"/>
  <c r="H45" i="4"/>
  <c r="I43" i="4"/>
  <c r="H46" i="4"/>
  <c r="I44" i="4"/>
  <c r="I45" i="4"/>
  <c r="H47" i="4"/>
  <c r="H48" i="4"/>
  <c r="I46" i="4"/>
  <c r="H49" i="4"/>
  <c r="I47" i="4"/>
  <c r="I48" i="4"/>
  <c r="H50" i="4"/>
  <c r="H51" i="4"/>
  <c r="I49" i="4"/>
  <c r="H52" i="4"/>
  <c r="I50" i="4"/>
  <c r="I51" i="4"/>
  <c r="H53" i="4"/>
  <c r="I52" i="4"/>
  <c r="H54" i="4"/>
  <c r="H55" i="4"/>
  <c r="I53" i="4"/>
  <c r="I54" i="4"/>
  <c r="H56" i="4"/>
  <c r="H57" i="4"/>
  <c r="I55" i="4"/>
  <c r="H58" i="4"/>
  <c r="I56" i="4"/>
  <c r="H59" i="4"/>
  <c r="I57" i="4"/>
  <c r="H60" i="4"/>
  <c r="I58" i="4"/>
  <c r="H61" i="4"/>
  <c r="I59" i="4"/>
  <c r="I60" i="4"/>
  <c r="H62" i="4"/>
  <c r="H63" i="4"/>
  <c r="I61" i="4"/>
  <c r="H64" i="4"/>
  <c r="I62" i="4"/>
  <c r="I63" i="4"/>
  <c r="H65" i="4"/>
  <c r="H66" i="4"/>
  <c r="I64" i="4"/>
  <c r="H67" i="4"/>
  <c r="I65" i="4"/>
  <c r="H68" i="4"/>
  <c r="I66" i="4"/>
  <c r="I67" i="4"/>
  <c r="H69" i="4"/>
  <c r="I68" i="4"/>
  <c r="H70" i="4"/>
  <c r="I69" i="4"/>
  <c r="H71" i="4"/>
  <c r="I70" i="4"/>
  <c r="H72" i="4"/>
  <c r="H73" i="4"/>
  <c r="I71" i="4"/>
  <c r="H74" i="4"/>
  <c r="I72" i="4"/>
  <c r="H75" i="4"/>
  <c r="I73" i="4"/>
  <c r="H76" i="4"/>
  <c r="I74" i="4"/>
  <c r="H77" i="4"/>
  <c r="I75" i="4"/>
  <c r="H78" i="4"/>
  <c r="I76" i="4"/>
  <c r="I77" i="4"/>
  <c r="H79" i="4"/>
  <c r="H80" i="4"/>
  <c r="I78" i="4"/>
  <c r="I79" i="4"/>
  <c r="H81" i="4"/>
  <c r="H82" i="4"/>
  <c r="I80" i="4"/>
  <c r="I81" i="4"/>
  <c r="H83" i="4"/>
  <c r="I82" i="4"/>
  <c r="H84" i="4"/>
  <c r="I83" i="4"/>
  <c r="H85" i="4"/>
  <c r="I84" i="4"/>
  <c r="H86" i="4"/>
  <c r="I85" i="4"/>
  <c r="H87" i="4"/>
  <c r="H88" i="4"/>
  <c r="I86" i="4"/>
  <c r="I87" i="4"/>
  <c r="H89" i="4"/>
  <c r="I88" i="4"/>
  <c r="H90" i="4"/>
  <c r="I89" i="4"/>
  <c r="H91" i="4"/>
  <c r="H92" i="4"/>
  <c r="I90" i="4"/>
  <c r="H93" i="4"/>
  <c r="I91" i="4"/>
  <c r="H94" i="4"/>
  <c r="I92" i="4"/>
  <c r="H95" i="4"/>
  <c r="I93" i="4"/>
  <c r="H96" i="4"/>
  <c r="I94" i="4"/>
  <c r="H97" i="4"/>
  <c r="I95" i="4"/>
  <c r="H98" i="4"/>
  <c r="I96" i="4"/>
  <c r="H99" i="4"/>
  <c r="I97" i="4"/>
  <c r="H100" i="4"/>
  <c r="I98" i="4"/>
  <c r="H101" i="4"/>
  <c r="I99" i="4"/>
  <c r="I100" i="4"/>
  <c r="H102" i="4"/>
  <c r="H103" i="4"/>
  <c r="I101" i="4"/>
  <c r="H104" i="4"/>
  <c r="I102" i="4"/>
  <c r="H105" i="4"/>
  <c r="I103" i="4"/>
  <c r="I104" i="4"/>
  <c r="H106" i="4"/>
  <c r="I105" i="4"/>
  <c r="H107" i="4"/>
  <c r="I106" i="4"/>
  <c r="H108" i="4"/>
  <c r="I107" i="4"/>
  <c r="H109" i="4"/>
  <c r="I108" i="4"/>
  <c r="H110" i="4"/>
  <c r="I109" i="4"/>
  <c r="H111" i="4"/>
  <c r="I110" i="4"/>
  <c r="H112" i="4"/>
  <c r="I111" i="4"/>
  <c r="H113" i="4"/>
  <c r="I112" i="4"/>
  <c r="H114" i="4"/>
  <c r="H115" i="4"/>
  <c r="I113" i="4"/>
  <c r="I114" i="4"/>
  <c r="H116" i="4"/>
  <c r="H117" i="4"/>
  <c r="I115" i="4"/>
  <c r="I116" i="4"/>
  <c r="H118" i="4"/>
  <c r="I117" i="4"/>
  <c r="H119" i="4"/>
  <c r="I118" i="4"/>
  <c r="H120" i="4"/>
  <c r="H121" i="4"/>
  <c r="I119" i="4"/>
  <c r="H122" i="4"/>
  <c r="I120" i="4"/>
  <c r="H123" i="4"/>
  <c r="I121" i="4"/>
  <c r="H124" i="4"/>
  <c r="I122" i="4"/>
  <c r="I123" i="4"/>
  <c r="H125" i="4"/>
  <c r="H126" i="4"/>
  <c r="I124" i="4"/>
  <c r="H127" i="4"/>
  <c r="I125" i="4"/>
  <c r="I126" i="4"/>
  <c r="H128" i="4"/>
  <c r="H129" i="4"/>
  <c r="I127" i="4"/>
  <c r="I128" i="4"/>
  <c r="H130" i="4"/>
  <c r="I129" i="4"/>
  <c r="H131" i="4"/>
  <c r="H132" i="4"/>
  <c r="I130" i="4"/>
  <c r="H133" i="4"/>
  <c r="I131" i="4"/>
  <c r="H134" i="4"/>
  <c r="I132" i="4"/>
  <c r="H135" i="4"/>
  <c r="I133" i="4"/>
  <c r="H136" i="4"/>
  <c r="I134" i="4"/>
  <c r="H137" i="4"/>
  <c r="I135" i="4"/>
  <c r="H138" i="4"/>
  <c r="I136" i="4"/>
  <c r="I137" i="4"/>
  <c r="H139" i="4"/>
  <c r="H140" i="4"/>
  <c r="I138" i="4"/>
  <c r="I139" i="4"/>
  <c r="H141" i="4"/>
  <c r="H142" i="4"/>
  <c r="I140" i="4"/>
  <c r="H143" i="4"/>
  <c r="I141" i="4"/>
  <c r="H144" i="4"/>
  <c r="I142" i="4"/>
  <c r="I143" i="4"/>
  <c r="H145" i="4"/>
  <c r="H146" i="4"/>
  <c r="I144" i="4"/>
  <c r="H147" i="4"/>
  <c r="I145" i="4"/>
  <c r="H148" i="4"/>
  <c r="I146" i="4"/>
  <c r="I147" i="4"/>
  <c r="H149" i="4"/>
  <c r="I148" i="4"/>
  <c r="H150" i="4"/>
  <c r="I149" i="4"/>
  <c r="H151" i="4"/>
  <c r="I150" i="4"/>
  <c r="H152" i="4"/>
  <c r="H153" i="4"/>
  <c r="I151" i="4"/>
  <c r="I152" i="4"/>
  <c r="H154" i="4"/>
  <c r="H155" i="4"/>
  <c r="I153" i="4"/>
  <c r="I154" i="4"/>
  <c r="H156" i="4"/>
  <c r="H157" i="4"/>
  <c r="I155" i="4"/>
  <c r="H158" i="4"/>
  <c r="I156" i="4"/>
  <c r="I157" i="4"/>
  <c r="H159" i="4"/>
  <c r="I158" i="4"/>
  <c r="H160" i="4"/>
  <c r="H161" i="4"/>
  <c r="I159" i="4"/>
  <c r="H162" i="4"/>
  <c r="I160" i="4"/>
  <c r="I161" i="4"/>
  <c r="H163" i="4"/>
  <c r="I162" i="4"/>
  <c r="H164" i="4"/>
  <c r="I163" i="4"/>
  <c r="H165" i="4"/>
  <c r="I164" i="4"/>
  <c r="H166" i="4"/>
  <c r="I165" i="4"/>
  <c r="H167" i="4"/>
  <c r="I166" i="4"/>
  <c r="H168" i="4"/>
  <c r="I167" i="4"/>
  <c r="H169" i="4"/>
  <c r="I168" i="4"/>
  <c r="H170" i="4"/>
  <c r="H171" i="4"/>
  <c r="I169" i="4"/>
  <c r="I170" i="4"/>
  <c r="H172" i="4"/>
  <c r="I171" i="4"/>
  <c r="H173" i="4"/>
  <c r="H174" i="4"/>
  <c r="I172" i="4"/>
  <c r="H175" i="4"/>
  <c r="I173" i="4"/>
  <c r="I174" i="4"/>
  <c r="H176" i="4"/>
  <c r="H177" i="4"/>
  <c r="I175" i="4"/>
  <c r="H178" i="4"/>
  <c r="I176" i="4"/>
  <c r="H179" i="4"/>
  <c r="I177" i="4"/>
  <c r="I178" i="4"/>
  <c r="H180" i="4"/>
  <c r="H181" i="4"/>
  <c r="I179" i="4"/>
  <c r="I180" i="4"/>
  <c r="H182" i="4"/>
  <c r="H183" i="4"/>
  <c r="I181" i="4"/>
  <c r="I182" i="4"/>
  <c r="H184" i="4"/>
  <c r="H185" i="4"/>
  <c r="I183" i="4"/>
  <c r="H186" i="4"/>
  <c r="I184" i="4"/>
  <c r="I185" i="4"/>
  <c r="H187" i="4"/>
  <c r="H188" i="4"/>
  <c r="I186" i="4"/>
  <c r="I187" i="4"/>
  <c r="H189" i="4"/>
  <c r="H190" i="4"/>
  <c r="I188" i="4"/>
  <c r="I189" i="4"/>
  <c r="H191" i="4"/>
  <c r="I190" i="4"/>
  <c r="H192" i="4"/>
  <c r="I191" i="4"/>
  <c r="H193" i="4"/>
  <c r="I192" i="4"/>
  <c r="H194" i="4"/>
  <c r="I193" i="4"/>
  <c r="H195" i="4"/>
  <c r="I194" i="4"/>
  <c r="H196" i="4"/>
  <c r="I195" i="4"/>
  <c r="H197" i="4"/>
  <c r="I196" i="4"/>
  <c r="H198" i="4"/>
  <c r="I197" i="4"/>
  <c r="H199" i="4"/>
  <c r="I198" i="4"/>
  <c r="H200" i="4"/>
  <c r="I199" i="4"/>
  <c r="H201" i="4"/>
  <c r="H202" i="4"/>
  <c r="I200" i="4"/>
  <c r="H203" i="4"/>
  <c r="I201" i="4"/>
  <c r="H204" i="4"/>
  <c r="I202" i="4"/>
  <c r="I203" i="4"/>
  <c r="H205" i="4"/>
  <c r="H206" i="4"/>
  <c r="I204" i="4"/>
  <c r="I205" i="4"/>
  <c r="H207" i="4"/>
  <c r="I206" i="4"/>
  <c r="H208" i="4"/>
  <c r="H209" i="4"/>
  <c r="I207" i="4"/>
  <c r="H210" i="4"/>
  <c r="I208" i="4"/>
  <c r="H211" i="4"/>
  <c r="I209" i="4"/>
  <c r="I210" i="4"/>
  <c r="H212" i="4"/>
  <c r="H213" i="4"/>
  <c r="I211" i="4"/>
  <c r="I212" i="4"/>
  <c r="H214" i="4"/>
  <c r="H215" i="4"/>
  <c r="I213" i="4"/>
  <c r="I214" i="4"/>
  <c r="H216" i="4"/>
  <c r="H217" i="4"/>
  <c r="I215" i="4"/>
  <c r="I216" i="4"/>
  <c r="H218" i="4"/>
  <c r="H219" i="4"/>
  <c r="I217" i="4"/>
  <c r="I218" i="4"/>
  <c r="H220" i="4"/>
  <c r="H221" i="4"/>
  <c r="I219" i="4"/>
  <c r="I220" i="4"/>
  <c r="H222" i="4"/>
  <c r="H223" i="4"/>
  <c r="I221" i="4"/>
  <c r="H224" i="4"/>
  <c r="I222" i="4"/>
  <c r="H225" i="4"/>
  <c r="I223" i="4"/>
  <c r="I224" i="4"/>
  <c r="H226" i="4"/>
  <c r="H227" i="4"/>
  <c r="I225" i="4"/>
  <c r="H228" i="4"/>
  <c r="I226" i="4"/>
  <c r="I227" i="4"/>
  <c r="H229" i="4"/>
  <c r="I228" i="4"/>
  <c r="H230" i="4"/>
  <c r="I229" i="4"/>
  <c r="H231" i="4"/>
  <c r="I230" i="4"/>
  <c r="H232" i="4"/>
  <c r="I231" i="4"/>
  <c r="H233" i="4"/>
  <c r="I232" i="4"/>
  <c r="H234" i="4"/>
  <c r="I233" i="4"/>
  <c r="H235" i="4"/>
  <c r="I234" i="4"/>
  <c r="H236" i="4"/>
  <c r="I235" i="4"/>
  <c r="H237" i="4"/>
  <c r="I236" i="4"/>
  <c r="H238" i="4"/>
  <c r="I237" i="4"/>
  <c r="H239" i="4"/>
  <c r="I238" i="4"/>
  <c r="H240" i="4"/>
  <c r="I239" i="4"/>
  <c r="H241" i="4"/>
  <c r="I240" i="4"/>
  <c r="H242" i="4"/>
  <c r="I241" i="4"/>
  <c r="H243" i="4"/>
  <c r="I242" i="4"/>
  <c r="H244" i="4"/>
  <c r="I243" i="4"/>
  <c r="H245" i="4"/>
  <c r="I244" i="4"/>
  <c r="H246" i="4"/>
  <c r="I245" i="4"/>
  <c r="H247" i="4"/>
  <c r="I246" i="4"/>
  <c r="H248" i="4"/>
  <c r="I247" i="4"/>
  <c r="H249" i="4"/>
  <c r="I248" i="4"/>
  <c r="H250" i="4"/>
  <c r="I249" i="4"/>
  <c r="H251" i="4"/>
  <c r="I250" i="4"/>
  <c r="H252" i="4"/>
  <c r="I251" i="4"/>
  <c r="H253" i="4"/>
  <c r="I252" i="4"/>
  <c r="H254" i="4"/>
  <c r="I253" i="4"/>
  <c r="H255" i="4"/>
  <c r="I254" i="4"/>
  <c r="H256" i="4"/>
  <c r="I255" i="4"/>
  <c r="H257" i="4"/>
  <c r="I256" i="4"/>
  <c r="H258" i="4"/>
  <c r="I257" i="4"/>
  <c r="H259" i="4"/>
  <c r="I258" i="4"/>
  <c r="H260" i="4"/>
  <c r="I259" i="4"/>
  <c r="H261" i="4"/>
  <c r="I260" i="4"/>
  <c r="H262" i="4"/>
  <c r="H263" i="4"/>
  <c r="I261" i="4"/>
  <c r="H264" i="4"/>
  <c r="I262" i="4"/>
  <c r="H265" i="4"/>
  <c r="I263" i="4"/>
  <c r="H266" i="4"/>
  <c r="I264" i="4"/>
  <c r="H267" i="4"/>
  <c r="I265" i="4"/>
  <c r="H268" i="4"/>
  <c r="I266" i="4"/>
  <c r="I267" i="4"/>
  <c r="H269" i="4"/>
  <c r="I268" i="4"/>
  <c r="H270" i="4"/>
  <c r="H271" i="4"/>
  <c r="I269" i="4"/>
  <c r="I270" i="4"/>
  <c r="H272" i="4"/>
  <c r="I271" i="4"/>
  <c r="H273" i="4"/>
  <c r="H274" i="4"/>
  <c r="I272" i="4"/>
  <c r="I273" i="4"/>
  <c r="H275" i="4"/>
  <c r="I274" i="4"/>
  <c r="H276" i="4"/>
  <c r="I275" i="4"/>
  <c r="H277" i="4"/>
  <c r="I276" i="4"/>
  <c r="H278" i="4"/>
  <c r="H279" i="4"/>
  <c r="I277" i="4"/>
  <c r="H280" i="4"/>
  <c r="I278" i="4"/>
  <c r="I279" i="4"/>
  <c r="H281" i="4"/>
  <c r="I280" i="4"/>
  <c r="H282" i="4"/>
  <c r="I281" i="4"/>
  <c r="H283" i="4"/>
  <c r="I282" i="4"/>
  <c r="H284" i="4"/>
  <c r="I283" i="4"/>
  <c r="H285" i="4"/>
  <c r="I284" i="4"/>
  <c r="H286" i="4"/>
  <c r="I285" i="4"/>
  <c r="H287" i="4"/>
  <c r="I286" i="4"/>
  <c r="H288" i="4"/>
  <c r="I287" i="4"/>
  <c r="H289" i="4"/>
  <c r="I288" i="4"/>
  <c r="H290" i="4"/>
  <c r="I289" i="4"/>
  <c r="H291" i="4"/>
  <c r="I290" i="4"/>
  <c r="H292" i="4"/>
  <c r="I291" i="4"/>
  <c r="H293" i="4"/>
  <c r="I292" i="4"/>
  <c r="H294" i="4"/>
  <c r="I293" i="4"/>
  <c r="H295" i="4"/>
  <c r="I294" i="4"/>
  <c r="H296" i="4"/>
  <c r="I295" i="4"/>
  <c r="H297" i="4"/>
  <c r="I296" i="4"/>
  <c r="H298" i="4"/>
  <c r="I297" i="4"/>
  <c r="H299" i="4"/>
  <c r="I298" i="4"/>
  <c r="H300" i="4"/>
  <c r="I299" i="4"/>
  <c r="H301" i="4"/>
  <c r="I300" i="4"/>
  <c r="H302" i="4"/>
  <c r="I301" i="4"/>
  <c r="H303" i="4"/>
  <c r="H304" i="4"/>
  <c r="I302" i="4"/>
  <c r="H305" i="4"/>
  <c r="I303" i="4"/>
  <c r="H306" i="4"/>
  <c r="I304" i="4"/>
  <c r="H307" i="4"/>
  <c r="I305" i="4"/>
  <c r="I306" i="4"/>
  <c r="H308" i="4"/>
  <c r="H309" i="4"/>
  <c r="I307" i="4"/>
  <c r="H310" i="4"/>
  <c r="I308" i="4"/>
  <c r="I309" i="4"/>
  <c r="H311" i="4"/>
  <c r="I310" i="4"/>
  <c r="H312" i="4"/>
  <c r="H313" i="4"/>
  <c r="I311" i="4"/>
  <c r="I312" i="4"/>
  <c r="H314" i="4"/>
  <c r="I313" i="4"/>
  <c r="H315" i="4"/>
  <c r="I314" i="4"/>
  <c r="H316" i="4"/>
  <c r="H317" i="4"/>
  <c r="I315" i="4"/>
  <c r="H318" i="4"/>
  <c r="I316" i="4"/>
  <c r="I317" i="4"/>
  <c r="H319" i="4"/>
  <c r="H320" i="4"/>
  <c r="I318" i="4"/>
  <c r="I319" i="4"/>
  <c r="H321" i="4"/>
  <c r="I320" i="4"/>
  <c r="H322" i="4"/>
  <c r="H323" i="4"/>
  <c r="I321" i="4"/>
  <c r="I322" i="4"/>
  <c r="H324" i="4"/>
  <c r="I323" i="4"/>
  <c r="H325" i="4"/>
  <c r="I324" i="4"/>
  <c r="H326" i="4"/>
  <c r="I325" i="4"/>
  <c r="H327" i="4"/>
  <c r="I326" i="4"/>
  <c r="H328" i="4"/>
  <c r="I327" i="4"/>
  <c r="H329" i="4"/>
  <c r="I328" i="4"/>
  <c r="H330" i="4"/>
  <c r="I329" i="4"/>
  <c r="H331" i="4"/>
  <c r="I330" i="4"/>
  <c r="H332" i="4"/>
  <c r="I331" i="4"/>
  <c r="H333" i="4"/>
  <c r="I332" i="4"/>
  <c r="H334" i="4"/>
  <c r="H335" i="4"/>
  <c r="I333" i="4"/>
  <c r="I334" i="4"/>
  <c r="H336" i="4"/>
  <c r="I335" i="4"/>
  <c r="H337" i="4"/>
  <c r="I336" i="4"/>
  <c r="H338" i="4"/>
  <c r="I337" i="4"/>
  <c r="H339" i="4"/>
  <c r="I338" i="4"/>
  <c r="H340" i="4"/>
  <c r="H341" i="4"/>
  <c r="I339" i="4"/>
  <c r="I340" i="4"/>
  <c r="H342" i="4"/>
  <c r="H343" i="4"/>
  <c r="I341" i="4"/>
  <c r="I342" i="4"/>
  <c r="H344" i="4"/>
  <c r="I343" i="4"/>
  <c r="H345" i="4"/>
  <c r="I344" i="4"/>
  <c r="H346" i="4"/>
  <c r="I345" i="4"/>
  <c r="H347" i="4"/>
  <c r="I346" i="4"/>
  <c r="H348" i="4"/>
  <c r="I347" i="4"/>
  <c r="H349" i="4"/>
  <c r="I348" i="4"/>
  <c r="H350" i="4"/>
  <c r="H351" i="4"/>
  <c r="I349" i="4"/>
  <c r="I350" i="4"/>
  <c r="H352" i="4"/>
  <c r="H353" i="4"/>
  <c r="I351" i="4"/>
  <c r="I352" i="4"/>
  <c r="H354" i="4"/>
  <c r="I353" i="4"/>
  <c r="H355" i="4"/>
  <c r="H356" i="4"/>
  <c r="I354" i="4"/>
  <c r="I355" i="4"/>
  <c r="H357" i="4"/>
  <c r="I356" i="4"/>
  <c r="H358" i="4"/>
  <c r="H359" i="4"/>
  <c r="I357" i="4"/>
  <c r="I358" i="4"/>
  <c r="H360" i="4"/>
  <c r="I359" i="4"/>
  <c r="H361" i="4"/>
  <c r="H362" i="4"/>
  <c r="I360" i="4"/>
  <c r="H363" i="4"/>
  <c r="I361" i="4"/>
  <c r="I362" i="4"/>
  <c r="H364" i="4"/>
  <c r="I363" i="4"/>
  <c r="H365" i="4"/>
  <c r="H366" i="4"/>
  <c r="I364" i="4"/>
  <c r="H367" i="4"/>
  <c r="I365" i="4"/>
  <c r="I366" i="4"/>
  <c r="H368" i="4"/>
  <c r="H369" i="4"/>
  <c r="I367" i="4"/>
  <c r="I368" i="4"/>
  <c r="H370" i="4"/>
  <c r="I369" i="4"/>
  <c r="H371" i="4"/>
  <c r="H372" i="4"/>
  <c r="I370" i="4"/>
  <c r="I371" i="4"/>
  <c r="H373" i="4"/>
  <c r="H374" i="4"/>
  <c r="I372" i="4"/>
  <c r="I373" i="4"/>
  <c r="H375" i="4"/>
  <c r="H376" i="4"/>
  <c r="I374" i="4"/>
  <c r="I375" i="4"/>
  <c r="H377" i="4"/>
  <c r="I376" i="4"/>
  <c r="H378" i="4"/>
  <c r="I377" i="4"/>
  <c r="H379" i="4"/>
  <c r="I378" i="4"/>
  <c r="H380" i="4"/>
  <c r="I379" i="4"/>
  <c r="H381" i="4"/>
  <c r="I380" i="4"/>
  <c r="H382" i="4"/>
  <c r="I381" i="4"/>
  <c r="H383" i="4"/>
  <c r="H384" i="4"/>
  <c r="I382" i="4"/>
  <c r="I383" i="4"/>
  <c r="H385" i="4"/>
  <c r="H386" i="4"/>
  <c r="I384" i="4"/>
  <c r="H387" i="4"/>
  <c r="I385" i="4"/>
  <c r="I386" i="4"/>
  <c r="H388" i="4"/>
  <c r="I387" i="4"/>
  <c r="H389" i="4"/>
  <c r="I388" i="4"/>
  <c r="H390" i="4"/>
  <c r="I389" i="4"/>
  <c r="H391" i="4"/>
  <c r="I390" i="4"/>
  <c r="H392" i="4"/>
  <c r="H393" i="4"/>
  <c r="I391" i="4"/>
  <c r="H394" i="4"/>
  <c r="I392" i="4"/>
  <c r="I393" i="4"/>
  <c r="H395" i="4"/>
  <c r="H396" i="4"/>
  <c r="I394" i="4"/>
  <c r="H397" i="4"/>
  <c r="I395" i="4"/>
  <c r="H398" i="4"/>
  <c r="I396" i="4"/>
  <c r="H399" i="4"/>
  <c r="I397" i="4"/>
  <c r="H400" i="4"/>
  <c r="I398" i="4"/>
  <c r="I399" i="4"/>
  <c r="H401" i="4"/>
  <c r="I400" i="4"/>
  <c r="H402" i="4"/>
  <c r="I401" i="4"/>
  <c r="H403" i="4"/>
  <c r="H404" i="4"/>
  <c r="I402" i="4"/>
  <c r="I403" i="4"/>
  <c r="H405" i="4"/>
  <c r="H406" i="4"/>
  <c r="I404" i="4"/>
  <c r="H407" i="4"/>
  <c r="I405" i="4"/>
  <c r="H408" i="4"/>
  <c r="I406" i="4"/>
  <c r="I407" i="4"/>
  <c r="H409" i="4"/>
  <c r="I408" i="4"/>
  <c r="H410" i="4"/>
  <c r="I409" i="4"/>
  <c r="H411" i="4"/>
  <c r="I410" i="4"/>
  <c r="H412" i="4"/>
  <c r="H413" i="4"/>
  <c r="I411" i="4"/>
  <c r="I412" i="4"/>
  <c r="H414" i="4"/>
  <c r="I413" i="4"/>
  <c r="H415" i="4"/>
  <c r="I414" i="4"/>
  <c r="H416" i="4"/>
  <c r="H417" i="4"/>
  <c r="I415" i="4"/>
  <c r="H418" i="4"/>
  <c r="I416" i="4"/>
  <c r="I417" i="4"/>
  <c r="H419" i="4"/>
  <c r="I418" i="4"/>
  <c r="H420" i="4"/>
  <c r="H421" i="4"/>
  <c r="I419" i="4"/>
  <c r="I420" i="4"/>
  <c r="H422" i="4"/>
  <c r="I421" i="4"/>
  <c r="H423" i="4"/>
  <c r="I422" i="4"/>
  <c r="H424" i="4"/>
  <c r="I423" i="4"/>
  <c r="H425" i="4"/>
  <c r="I424" i="4"/>
  <c r="H426" i="4"/>
  <c r="I425" i="4"/>
  <c r="H427" i="4"/>
  <c r="I426" i="4"/>
  <c r="H428" i="4"/>
  <c r="I427" i="4"/>
  <c r="H429" i="4"/>
  <c r="I428" i="4"/>
  <c r="H430" i="4"/>
  <c r="H431" i="4"/>
  <c r="I429" i="4"/>
  <c r="I430" i="4"/>
  <c r="H432" i="4"/>
  <c r="H433" i="4"/>
  <c r="I431" i="4"/>
  <c r="H434" i="4"/>
  <c r="I432" i="4"/>
  <c r="H435" i="4"/>
  <c r="I433" i="4"/>
  <c r="H436" i="4"/>
  <c r="I434" i="4"/>
  <c r="H437" i="4"/>
  <c r="I435" i="4"/>
  <c r="H438" i="4"/>
  <c r="I436" i="4"/>
  <c r="H439" i="4"/>
  <c r="I437" i="4"/>
  <c r="H440" i="4"/>
  <c r="I438" i="4"/>
  <c r="H441" i="4"/>
  <c r="I439" i="4"/>
  <c r="H442" i="4"/>
  <c r="I440" i="4"/>
  <c r="H443" i="4"/>
  <c r="I441" i="4"/>
  <c r="H444" i="4"/>
  <c r="I442" i="4"/>
  <c r="H445" i="4"/>
  <c r="I443" i="4"/>
  <c r="H446" i="4"/>
  <c r="I444" i="4"/>
  <c r="H447" i="4"/>
  <c r="I445" i="4"/>
  <c r="H448" i="4"/>
  <c r="I446" i="4"/>
  <c r="H449" i="4"/>
  <c r="I447" i="4"/>
  <c r="H450" i="4"/>
  <c r="I448" i="4"/>
  <c r="H451" i="4"/>
  <c r="I449" i="4"/>
  <c r="H452" i="4"/>
  <c r="I450" i="4"/>
  <c r="H453" i="4"/>
  <c r="I451" i="4"/>
  <c r="I452" i="4"/>
  <c r="H454" i="4"/>
  <c r="H455" i="4"/>
  <c r="I453" i="4"/>
  <c r="I454" i="4"/>
  <c r="H456" i="4"/>
  <c r="H457" i="4"/>
  <c r="I455" i="4"/>
  <c r="I456" i="4"/>
  <c r="H458" i="4"/>
  <c r="H459" i="4"/>
  <c r="I457" i="4"/>
  <c r="H460" i="4"/>
  <c r="I458" i="4"/>
  <c r="I459" i="4"/>
  <c r="H461" i="4"/>
  <c r="H462" i="4"/>
  <c r="I460" i="4"/>
  <c r="H463" i="4"/>
  <c r="I461" i="4"/>
  <c r="H464" i="4"/>
  <c r="I462" i="4"/>
  <c r="I463" i="4"/>
  <c r="H465" i="4"/>
  <c r="H466" i="4"/>
  <c r="I464" i="4"/>
  <c r="H467" i="4"/>
  <c r="I465" i="4"/>
  <c r="I466" i="4"/>
  <c r="H468" i="4"/>
  <c r="H469" i="4"/>
  <c r="I467" i="4"/>
  <c r="H470" i="4"/>
  <c r="I468" i="4"/>
  <c r="H471" i="4"/>
  <c r="I469" i="4"/>
  <c r="H472" i="4"/>
  <c r="I470" i="4"/>
  <c r="H473" i="4"/>
  <c r="I471" i="4"/>
  <c r="H474" i="4"/>
  <c r="I472" i="4"/>
  <c r="H475" i="4"/>
  <c r="I473" i="4"/>
  <c r="H476" i="4"/>
  <c r="I474" i="4"/>
  <c r="I475" i="4"/>
  <c r="H477" i="4"/>
  <c r="I476" i="4"/>
  <c r="H478" i="4"/>
  <c r="H479" i="4"/>
  <c r="I477" i="4"/>
  <c r="H480" i="4"/>
  <c r="I478" i="4"/>
  <c r="H481" i="4"/>
  <c r="I479" i="4"/>
  <c r="I480" i="4"/>
  <c r="H482" i="4"/>
  <c r="H483" i="4"/>
  <c r="I481" i="4"/>
  <c r="I482" i="4"/>
  <c r="H484" i="4"/>
  <c r="H485" i="4"/>
  <c r="I483" i="4"/>
  <c r="I484" i="4"/>
  <c r="H486" i="4"/>
  <c r="I485" i="4"/>
  <c r="H487" i="4"/>
  <c r="H488" i="4"/>
  <c r="I486" i="4"/>
  <c r="I487" i="4"/>
  <c r="H489" i="4"/>
  <c r="I488" i="4"/>
  <c r="H490" i="4"/>
  <c r="I489" i="4"/>
  <c r="H491" i="4"/>
  <c r="H492" i="4"/>
  <c r="I490" i="4"/>
  <c r="H493" i="4"/>
  <c r="I491" i="4"/>
  <c r="I492" i="4"/>
  <c r="H494" i="4"/>
  <c r="I493" i="4"/>
  <c r="H495" i="4"/>
  <c r="I494" i="4"/>
  <c r="H496" i="4"/>
  <c r="I495" i="4"/>
  <c r="H497" i="4"/>
  <c r="I496" i="4"/>
  <c r="H498" i="4"/>
  <c r="H499" i="4"/>
  <c r="I497" i="4"/>
  <c r="I498" i="4"/>
  <c r="H500" i="4"/>
  <c r="I499" i="4"/>
  <c r="H501" i="4"/>
  <c r="I500" i="4"/>
  <c r="H502" i="4"/>
  <c r="I501" i="4"/>
  <c r="H503" i="4"/>
  <c r="I502" i="4"/>
  <c r="H504" i="4"/>
  <c r="I503" i="4"/>
  <c r="H505" i="4"/>
  <c r="I504" i="4"/>
  <c r="H506" i="4"/>
  <c r="I505" i="4"/>
  <c r="H507" i="4"/>
  <c r="I506" i="4"/>
  <c r="H508" i="4"/>
  <c r="H509" i="4"/>
  <c r="I507" i="4"/>
  <c r="H510" i="4"/>
  <c r="I508" i="4"/>
  <c r="H511" i="4"/>
  <c r="I509" i="4"/>
  <c r="H512" i="4"/>
  <c r="I510" i="4"/>
  <c r="I511" i="4"/>
  <c r="H513" i="4"/>
  <c r="H514" i="4"/>
  <c r="I512" i="4"/>
  <c r="H515" i="4"/>
  <c r="I513" i="4"/>
  <c r="I514" i="4"/>
  <c r="H516" i="4"/>
  <c r="H517" i="4"/>
  <c r="I515" i="4"/>
  <c r="H518" i="4"/>
  <c r="I516" i="4"/>
  <c r="I517" i="4"/>
  <c r="H519" i="4"/>
  <c r="I518" i="4"/>
  <c r="H520" i="4"/>
  <c r="H521" i="4"/>
  <c r="I519" i="4"/>
  <c r="I520" i="4"/>
  <c r="H522" i="4"/>
  <c r="I521" i="4"/>
  <c r="H523" i="4"/>
  <c r="I522" i="4"/>
  <c r="H524" i="4"/>
  <c r="H525" i="4"/>
  <c r="I523" i="4"/>
  <c r="H526" i="4"/>
  <c r="I524" i="4"/>
  <c r="H527" i="4"/>
  <c r="I525" i="4"/>
  <c r="H528" i="4"/>
  <c r="I526" i="4"/>
  <c r="I527" i="4"/>
  <c r="H529" i="4"/>
  <c r="I528" i="4"/>
  <c r="H530" i="4"/>
  <c r="I529" i="4"/>
  <c r="H531" i="4"/>
  <c r="H532" i="4"/>
  <c r="I530" i="4"/>
  <c r="I531" i="4"/>
  <c r="H533" i="4"/>
  <c r="H534" i="4"/>
  <c r="I532" i="4"/>
  <c r="H535" i="4"/>
  <c r="I533" i="4"/>
  <c r="I534" i="4"/>
  <c r="H536" i="4"/>
  <c r="I535" i="4"/>
  <c r="H537" i="4"/>
  <c r="I536" i="4"/>
  <c r="H538" i="4"/>
  <c r="I537" i="4"/>
  <c r="H539" i="4"/>
  <c r="I538" i="4"/>
  <c r="H540" i="4"/>
  <c r="H541" i="4"/>
  <c r="I539" i="4"/>
  <c r="H542" i="4"/>
  <c r="I540" i="4"/>
  <c r="H543" i="4"/>
  <c r="I541" i="4"/>
  <c r="I542" i="4"/>
  <c r="H544" i="4"/>
  <c r="I543" i="4"/>
  <c r="H545" i="4"/>
  <c r="I544" i="4"/>
  <c r="H546" i="4"/>
  <c r="H547" i="4"/>
  <c r="I545" i="4"/>
  <c r="I546" i="4"/>
  <c r="H548" i="4"/>
  <c r="I547" i="4"/>
  <c r="H549" i="4"/>
  <c r="H550" i="4"/>
  <c r="I548" i="4"/>
  <c r="H551" i="4"/>
  <c r="I549" i="4"/>
  <c r="H552" i="4"/>
  <c r="I550" i="4"/>
  <c r="I551" i="4"/>
  <c r="H553" i="4"/>
  <c r="H554" i="4"/>
  <c r="I552" i="4"/>
  <c r="I553" i="4"/>
  <c r="H555" i="4"/>
  <c r="I554" i="4"/>
  <c r="H556" i="4"/>
  <c r="I555" i="4"/>
  <c r="H557" i="4"/>
  <c r="I556" i="4"/>
  <c r="H558" i="4"/>
  <c r="I557" i="4"/>
  <c r="H559" i="4"/>
  <c r="I558" i="4"/>
  <c r="H560" i="4"/>
  <c r="I559" i="4"/>
  <c r="H561" i="4"/>
  <c r="I560" i="4"/>
  <c r="H562" i="4"/>
  <c r="H563" i="4"/>
  <c r="I561" i="4"/>
  <c r="I562" i="4"/>
  <c r="H564" i="4"/>
  <c r="H565" i="4"/>
  <c r="I563" i="4"/>
  <c r="I564" i="4"/>
  <c r="H566" i="4"/>
  <c r="H567" i="4"/>
  <c r="I565" i="4"/>
  <c r="I566" i="4"/>
  <c r="H568" i="4"/>
  <c r="H569" i="4"/>
  <c r="I567" i="4"/>
  <c r="H570" i="4"/>
  <c r="I568" i="4"/>
  <c r="H571" i="4"/>
  <c r="I569" i="4"/>
  <c r="H572" i="4"/>
  <c r="I570" i="4"/>
  <c r="I571" i="4"/>
  <c r="H573" i="4"/>
  <c r="H574" i="4"/>
  <c r="I572" i="4"/>
  <c r="H575" i="4"/>
  <c r="I573" i="4"/>
  <c r="H576" i="4"/>
  <c r="I574" i="4"/>
  <c r="H577" i="4"/>
  <c r="I575" i="4"/>
  <c r="H578" i="4"/>
  <c r="I576" i="4"/>
  <c r="I577" i="4"/>
  <c r="H579" i="4"/>
  <c r="I578" i="4"/>
  <c r="H580" i="4"/>
  <c r="I579" i="4"/>
  <c r="H581" i="4"/>
  <c r="H582" i="4"/>
  <c r="I580" i="4"/>
  <c r="I581" i="4"/>
  <c r="H583" i="4"/>
  <c r="I582" i="4"/>
  <c r="H584" i="4"/>
  <c r="I583" i="4"/>
  <c r="H585" i="4"/>
  <c r="H586" i="4"/>
  <c r="I584" i="4"/>
  <c r="I585" i="4"/>
  <c r="H587" i="4"/>
  <c r="I586" i="4"/>
  <c r="H588" i="4"/>
  <c r="I587" i="4"/>
  <c r="H589" i="4"/>
  <c r="H590" i="4"/>
  <c r="I588" i="4"/>
  <c r="I589" i="4"/>
  <c r="H591" i="4"/>
  <c r="I590" i="4"/>
  <c r="H592" i="4"/>
  <c r="I591" i="4"/>
  <c r="H593" i="4"/>
  <c r="H594" i="4"/>
  <c r="I592" i="4"/>
  <c r="I593" i="4"/>
  <c r="H595" i="4"/>
  <c r="H596" i="4"/>
  <c r="I594" i="4"/>
  <c r="I595" i="4"/>
  <c r="H597" i="4"/>
  <c r="I596" i="4"/>
  <c r="H598" i="4"/>
  <c r="I597" i="4"/>
  <c r="H599" i="4"/>
  <c r="I598" i="4"/>
  <c r="H600" i="4"/>
  <c r="I599" i="4"/>
  <c r="H601" i="4"/>
  <c r="I600" i="4"/>
  <c r="H602" i="4"/>
  <c r="I601" i="4"/>
  <c r="H603" i="4"/>
  <c r="I602" i="4"/>
  <c r="H604" i="4"/>
  <c r="I603" i="4"/>
  <c r="H605" i="4"/>
  <c r="I604" i="4"/>
  <c r="H606" i="4"/>
  <c r="I605" i="4"/>
  <c r="H607" i="4"/>
  <c r="H608" i="4"/>
  <c r="I606" i="4"/>
  <c r="I607" i="4"/>
  <c r="H609" i="4"/>
  <c r="H610" i="4"/>
  <c r="I608" i="4"/>
  <c r="I609" i="4"/>
  <c r="H611" i="4"/>
  <c r="H612" i="4"/>
  <c r="I610" i="4"/>
  <c r="H613" i="4"/>
  <c r="I611" i="4"/>
  <c r="I612" i="4"/>
  <c r="H614" i="4"/>
  <c r="I613" i="4"/>
  <c r="H615" i="4"/>
  <c r="H616" i="4"/>
  <c r="I614" i="4"/>
  <c r="H617" i="4"/>
  <c r="I615" i="4"/>
  <c r="H618" i="4"/>
  <c r="I616" i="4"/>
  <c r="I617" i="4"/>
  <c r="H619" i="4"/>
  <c r="I618" i="4"/>
  <c r="H620" i="4"/>
  <c r="I619" i="4"/>
  <c r="H621" i="4"/>
  <c r="I620" i="4"/>
  <c r="H622" i="4"/>
  <c r="I621" i="4"/>
  <c r="H623" i="4"/>
  <c r="I622" i="4"/>
  <c r="H624" i="4"/>
  <c r="I623" i="4"/>
  <c r="H625" i="4"/>
  <c r="I624" i="4"/>
  <c r="H626" i="4"/>
  <c r="I625" i="4"/>
  <c r="H627" i="4"/>
  <c r="I626" i="4"/>
  <c r="H628" i="4"/>
  <c r="I627" i="4"/>
  <c r="H629" i="4"/>
  <c r="I628" i="4"/>
  <c r="H630" i="4"/>
  <c r="H631" i="4"/>
  <c r="I629" i="4"/>
  <c r="H632" i="4"/>
  <c r="I630" i="4"/>
  <c r="H633" i="4"/>
  <c r="I631" i="4"/>
  <c r="H634" i="4"/>
  <c r="I632" i="4"/>
  <c r="I633" i="4"/>
  <c r="H635" i="4"/>
  <c r="H636" i="4"/>
  <c r="I634" i="4"/>
  <c r="H637" i="4"/>
  <c r="I635" i="4"/>
  <c r="I636" i="4"/>
  <c r="H638" i="4"/>
  <c r="I637" i="4"/>
  <c r="H639" i="4"/>
  <c r="I638" i="4"/>
  <c r="H640" i="4"/>
  <c r="H641" i="4"/>
  <c r="I639" i="4"/>
  <c r="I640" i="4"/>
  <c r="H642" i="4"/>
  <c r="I641" i="4"/>
  <c r="H643" i="4"/>
  <c r="I642" i="4"/>
  <c r="H644" i="4"/>
  <c r="H645" i="4"/>
  <c r="I643" i="4"/>
  <c r="I644" i="4"/>
  <c r="H646" i="4"/>
  <c r="I645" i="4"/>
  <c r="H647" i="4"/>
  <c r="H648" i="4"/>
  <c r="I646" i="4"/>
  <c r="I647" i="4"/>
  <c r="H649" i="4"/>
  <c r="H650" i="4"/>
  <c r="I648" i="4"/>
  <c r="I649" i="4"/>
  <c r="H651" i="4"/>
  <c r="I650" i="4"/>
  <c r="H652" i="4"/>
  <c r="I651" i="4"/>
  <c r="H653" i="4"/>
  <c r="I652" i="4"/>
  <c r="H654" i="4"/>
  <c r="I653" i="4"/>
  <c r="H655" i="4"/>
  <c r="I654" i="4"/>
  <c r="H656" i="4"/>
  <c r="H657" i="4"/>
  <c r="I655" i="4"/>
  <c r="H658" i="4"/>
  <c r="I656" i="4"/>
  <c r="H659" i="4"/>
  <c r="I657" i="4"/>
  <c r="H660" i="4"/>
  <c r="I658" i="4"/>
  <c r="H661" i="4"/>
  <c r="I659" i="4"/>
  <c r="H662" i="4"/>
  <c r="I660" i="4"/>
  <c r="H663" i="4"/>
  <c r="I661" i="4"/>
  <c r="H664" i="4"/>
  <c r="I662" i="4"/>
  <c r="I663" i="4"/>
  <c r="H665" i="4"/>
  <c r="H666" i="4"/>
  <c r="I664" i="4"/>
  <c r="I665" i="4"/>
  <c r="H667" i="4"/>
  <c r="H668" i="4"/>
  <c r="I666" i="4"/>
  <c r="H669" i="4"/>
  <c r="I667" i="4"/>
  <c r="H670" i="4"/>
  <c r="I668" i="4"/>
  <c r="H671" i="4"/>
  <c r="I669" i="4"/>
  <c r="H672" i="4"/>
  <c r="I670" i="4"/>
  <c r="H673" i="4"/>
  <c r="I671" i="4"/>
  <c r="H674" i="4"/>
  <c r="I672" i="4"/>
  <c r="H675" i="4"/>
  <c r="I673" i="4"/>
  <c r="H676" i="4"/>
  <c r="I674" i="4"/>
  <c r="H677" i="4"/>
  <c r="I675" i="4"/>
  <c r="H678" i="4"/>
  <c r="I676" i="4"/>
  <c r="H679" i="4"/>
  <c r="I677" i="4"/>
  <c r="H680" i="4"/>
  <c r="I678" i="4"/>
  <c r="H681" i="4"/>
  <c r="I679" i="4"/>
  <c r="H682" i="4"/>
  <c r="I680" i="4"/>
  <c r="H683" i="4"/>
  <c r="I681" i="4"/>
  <c r="H684" i="4"/>
  <c r="I682" i="4"/>
  <c r="H685" i="4"/>
  <c r="I683" i="4"/>
  <c r="H686" i="4"/>
  <c r="I684" i="4"/>
  <c r="H687" i="4"/>
  <c r="I685" i="4"/>
  <c r="I686" i="4"/>
  <c r="H688" i="4"/>
  <c r="H689" i="4"/>
  <c r="I687" i="4"/>
  <c r="I688" i="4"/>
  <c r="H690" i="4"/>
  <c r="H691" i="4"/>
  <c r="I689" i="4"/>
  <c r="I690" i="4"/>
  <c r="H692" i="4"/>
  <c r="I691" i="4"/>
  <c r="H693" i="4"/>
  <c r="I692" i="4"/>
  <c r="H694" i="4"/>
  <c r="I693" i="4"/>
  <c r="H695" i="4"/>
  <c r="H696" i="4"/>
  <c r="I694" i="4"/>
  <c r="H697" i="4"/>
  <c r="I695" i="4"/>
  <c r="H698" i="4"/>
  <c r="I696" i="4"/>
  <c r="I697" i="4"/>
  <c r="H699" i="4"/>
  <c r="H700" i="4"/>
  <c r="I698" i="4"/>
  <c r="H701" i="4"/>
  <c r="I699" i="4"/>
  <c r="H702" i="4"/>
  <c r="I700" i="4"/>
  <c r="I701" i="4"/>
  <c r="H703" i="4"/>
  <c r="H704" i="4"/>
  <c r="I702" i="4"/>
  <c r="I703" i="4"/>
  <c r="H705" i="4"/>
  <c r="I704" i="4"/>
  <c r="H706" i="4"/>
  <c r="I705" i="4"/>
  <c r="H707" i="4"/>
  <c r="I706" i="4"/>
  <c r="H708" i="4"/>
  <c r="I707" i="4"/>
  <c r="H709" i="4"/>
  <c r="I708" i="4"/>
  <c r="H710" i="4"/>
  <c r="I709" i="4"/>
  <c r="H711" i="4"/>
  <c r="I710" i="4"/>
  <c r="H712" i="4"/>
  <c r="I711" i="4"/>
  <c r="H713" i="4"/>
  <c r="I712" i="4"/>
  <c r="H714" i="4"/>
  <c r="I713" i="4"/>
  <c r="H715" i="4"/>
  <c r="I714" i="4"/>
  <c r="H716" i="4"/>
  <c r="I715" i="4"/>
  <c r="H717" i="4"/>
  <c r="I716" i="4"/>
  <c r="H718" i="4"/>
  <c r="I717" i="4"/>
  <c r="H719" i="4"/>
  <c r="I718" i="4"/>
  <c r="H720" i="4"/>
  <c r="I719" i="4"/>
  <c r="H721" i="4"/>
  <c r="I720" i="4"/>
  <c r="H722" i="4"/>
  <c r="H723" i="4"/>
  <c r="I721" i="4"/>
  <c r="H724" i="4"/>
  <c r="I722" i="4"/>
  <c r="I723" i="4"/>
  <c r="H725" i="4"/>
  <c r="H726" i="4"/>
  <c r="I724" i="4"/>
  <c r="I725" i="4"/>
  <c r="H727" i="4"/>
  <c r="H728" i="4"/>
  <c r="I726" i="4"/>
  <c r="H729" i="4"/>
  <c r="I727" i="4"/>
  <c r="I728" i="4"/>
  <c r="H730" i="4"/>
  <c r="I729" i="4"/>
  <c r="H731" i="4"/>
  <c r="I730" i="4"/>
  <c r="H732" i="4"/>
  <c r="I731" i="4"/>
  <c r="H733" i="4"/>
  <c r="I732" i="4"/>
  <c r="H734" i="4"/>
  <c r="I733" i="4"/>
  <c r="H735" i="4"/>
  <c r="I734" i="4"/>
  <c r="H736" i="4"/>
  <c r="I735" i="4"/>
  <c r="H737" i="4"/>
  <c r="I736" i="4"/>
  <c r="H738" i="4"/>
  <c r="I737" i="4"/>
  <c r="H739" i="4"/>
  <c r="I738" i="4"/>
  <c r="H740" i="4"/>
  <c r="I739" i="4"/>
  <c r="H741" i="4"/>
  <c r="I740" i="4"/>
  <c r="H742" i="4"/>
  <c r="H743" i="4"/>
  <c r="I741" i="4"/>
  <c r="I742" i="4"/>
  <c r="H744" i="4"/>
  <c r="H745" i="4"/>
  <c r="I743" i="4"/>
  <c r="I744" i="4"/>
  <c r="H746" i="4"/>
  <c r="H747" i="4"/>
  <c r="I745" i="4"/>
  <c r="I746" i="4"/>
  <c r="H748" i="4"/>
  <c r="I747" i="4"/>
  <c r="H749" i="4"/>
  <c r="I748" i="4"/>
  <c r="H750" i="4"/>
  <c r="I749" i="4"/>
  <c r="H751" i="4"/>
  <c r="I750" i="4"/>
  <c r="H752" i="4"/>
  <c r="I751" i="4"/>
  <c r="H753" i="4"/>
  <c r="I752" i="4"/>
  <c r="H754" i="4"/>
  <c r="I753" i="4"/>
  <c r="H755" i="4"/>
  <c r="I754" i="4"/>
  <c r="H756" i="4"/>
  <c r="I755" i="4"/>
  <c r="H757" i="4"/>
  <c r="I756" i="4"/>
  <c r="H758" i="4"/>
  <c r="I757" i="4"/>
  <c r="H759" i="4"/>
  <c r="I758" i="4"/>
  <c r="H760" i="4"/>
  <c r="I759" i="4"/>
  <c r="H761" i="4"/>
  <c r="I760" i="4"/>
  <c r="H762" i="4"/>
  <c r="I761" i="4"/>
  <c r="H763" i="4"/>
  <c r="I762" i="4"/>
  <c r="H764" i="4"/>
  <c r="I763" i="4"/>
  <c r="H765" i="4"/>
  <c r="I764" i="4"/>
  <c r="H766" i="4"/>
  <c r="I765" i="4"/>
  <c r="H767" i="4"/>
  <c r="H768" i="4"/>
  <c r="I766" i="4"/>
  <c r="H769" i="4"/>
  <c r="I767" i="4"/>
  <c r="H770" i="4"/>
  <c r="I768" i="4"/>
  <c r="I769" i="4"/>
  <c r="H771" i="4"/>
  <c r="I770" i="4"/>
  <c r="H772" i="4"/>
  <c r="I771" i="4"/>
  <c r="H773" i="4"/>
  <c r="I772" i="4"/>
  <c r="H774" i="4"/>
  <c r="I773" i="4"/>
  <c r="H775" i="4"/>
  <c r="I774" i="4"/>
  <c r="H776" i="4"/>
  <c r="I775" i="4"/>
  <c r="H777" i="4"/>
  <c r="I776" i="4"/>
  <c r="H778" i="4"/>
  <c r="I777" i="4"/>
  <c r="H779" i="4"/>
  <c r="I778" i="4"/>
  <c r="H780" i="4"/>
  <c r="I779" i="4"/>
  <c r="H781" i="4"/>
  <c r="I780" i="4"/>
  <c r="H782" i="4"/>
  <c r="I781" i="4"/>
  <c r="H783" i="4"/>
  <c r="H784" i="4"/>
  <c r="I782" i="4"/>
  <c r="H785" i="4"/>
  <c r="I783" i="4"/>
  <c r="H786" i="4"/>
  <c r="I784" i="4"/>
  <c r="I785" i="4"/>
  <c r="H787" i="4"/>
  <c r="I786" i="4"/>
  <c r="H788" i="4"/>
  <c r="I787" i="4"/>
  <c r="H789" i="4"/>
  <c r="I788" i="4"/>
  <c r="H790" i="4"/>
  <c r="H791" i="4"/>
  <c r="I789" i="4"/>
  <c r="H792" i="4"/>
  <c r="I790" i="4"/>
  <c r="I791" i="4"/>
  <c r="H793" i="4"/>
  <c r="I792" i="4"/>
  <c r="H794" i="4"/>
  <c r="I793" i="4"/>
  <c r="H795" i="4"/>
  <c r="I794" i="4"/>
  <c r="H796" i="4"/>
  <c r="I795" i="4"/>
  <c r="H797" i="4"/>
  <c r="I796" i="4"/>
  <c r="H798" i="4"/>
  <c r="I797" i="4"/>
  <c r="H799" i="4"/>
  <c r="H800" i="4"/>
  <c r="I798" i="4"/>
  <c r="H801" i="4"/>
  <c r="I799" i="4"/>
  <c r="H802" i="4"/>
  <c r="I800" i="4"/>
  <c r="H803" i="4"/>
  <c r="I801" i="4"/>
  <c r="H804" i="4"/>
  <c r="I802" i="4"/>
  <c r="H805" i="4"/>
  <c r="I803" i="4"/>
  <c r="H806" i="4"/>
  <c r="I804" i="4"/>
  <c r="I805" i="4"/>
  <c r="H807" i="4"/>
  <c r="I806" i="4"/>
  <c r="H808" i="4"/>
  <c r="I807" i="4"/>
  <c r="H809" i="4"/>
  <c r="H810" i="4"/>
  <c r="I808" i="4"/>
  <c r="I809" i="4"/>
  <c r="H811" i="4"/>
  <c r="H812" i="4"/>
  <c r="I810" i="4"/>
  <c r="I811" i="4"/>
  <c r="H813" i="4"/>
  <c r="I812" i="4"/>
  <c r="H814" i="4"/>
  <c r="I813" i="4"/>
  <c r="H815" i="4"/>
  <c r="I814" i="4"/>
  <c r="H816" i="4"/>
  <c r="I815" i="4"/>
  <c r="H817" i="4"/>
  <c r="H818" i="4"/>
  <c r="I816" i="4"/>
  <c r="I817" i="4"/>
  <c r="H819" i="4"/>
  <c r="I818" i="4"/>
  <c r="H820" i="4"/>
  <c r="H821" i="4"/>
  <c r="I819" i="4"/>
  <c r="I820" i="4"/>
  <c r="H822" i="4"/>
  <c r="H823" i="4"/>
  <c r="I821" i="4"/>
  <c r="H824" i="4"/>
  <c r="I822" i="4"/>
  <c r="H825" i="4"/>
  <c r="I823" i="4"/>
  <c r="I824" i="4"/>
  <c r="H826" i="4"/>
  <c r="I825" i="4"/>
  <c r="H827" i="4"/>
  <c r="H828" i="4"/>
  <c r="I826" i="4"/>
  <c r="H829" i="4"/>
  <c r="I827" i="4"/>
  <c r="H830" i="4"/>
  <c r="I828" i="4"/>
  <c r="H831" i="4"/>
  <c r="I829" i="4"/>
  <c r="H832" i="4"/>
  <c r="I830" i="4"/>
  <c r="H833" i="4"/>
  <c r="I831" i="4"/>
  <c r="H834" i="4"/>
  <c r="I832" i="4"/>
  <c r="H835" i="4"/>
  <c r="I833" i="4"/>
  <c r="H836" i="4"/>
  <c r="I834" i="4"/>
  <c r="H837" i="4"/>
  <c r="I835" i="4"/>
  <c r="I836" i="4"/>
  <c r="H838" i="4"/>
  <c r="I837" i="4"/>
  <c r="H839" i="4"/>
  <c r="I838" i="4"/>
  <c r="H840" i="4"/>
  <c r="H841" i="4"/>
  <c r="I839" i="4"/>
  <c r="I840" i="4"/>
  <c r="H842" i="4"/>
  <c r="I841" i="4"/>
  <c r="H843" i="4"/>
  <c r="I842" i="4"/>
  <c r="H844" i="4"/>
  <c r="I843" i="4"/>
  <c r="H845" i="4"/>
  <c r="I844" i="4"/>
  <c r="H846" i="4"/>
  <c r="H847" i="4"/>
  <c r="I845" i="4"/>
  <c r="H848" i="4"/>
  <c r="I846" i="4"/>
  <c r="H849" i="4"/>
  <c r="I847" i="4"/>
  <c r="H850" i="4"/>
  <c r="I848" i="4"/>
  <c r="H851" i="4"/>
  <c r="I849" i="4"/>
  <c r="I850" i="4"/>
  <c r="H852" i="4"/>
  <c r="I851" i="4"/>
  <c r="H853" i="4"/>
  <c r="I852" i="4"/>
  <c r="H854" i="4"/>
  <c r="I853" i="4"/>
  <c r="H855" i="4"/>
  <c r="H856" i="4"/>
  <c r="I854" i="4"/>
  <c r="I855" i="4"/>
  <c r="H857" i="4"/>
  <c r="H858" i="4"/>
  <c r="I856" i="4"/>
  <c r="H859" i="4"/>
  <c r="I857" i="4"/>
  <c r="H860" i="4"/>
  <c r="I858" i="4"/>
  <c r="H861" i="4"/>
  <c r="I859" i="4"/>
  <c r="H862" i="4"/>
  <c r="I860" i="4"/>
  <c r="H863" i="4"/>
  <c r="I861" i="4"/>
  <c r="H864" i="4"/>
  <c r="I862" i="4"/>
  <c r="H865" i="4"/>
  <c r="I863" i="4"/>
  <c r="H866" i="4"/>
  <c r="I864" i="4"/>
  <c r="H867" i="4"/>
  <c r="I865" i="4"/>
  <c r="H868" i="4"/>
  <c r="I866" i="4"/>
  <c r="I867" i="4"/>
  <c r="H869" i="4"/>
  <c r="I868" i="4"/>
  <c r="H870" i="4"/>
  <c r="H871" i="4"/>
  <c r="I869" i="4"/>
  <c r="I870" i="4"/>
  <c r="H872" i="4"/>
  <c r="I871" i="4"/>
  <c r="H873" i="4"/>
  <c r="H874" i="4"/>
  <c r="I872" i="4"/>
  <c r="H875" i="4"/>
  <c r="I873" i="4"/>
  <c r="H876" i="4"/>
  <c r="I874" i="4"/>
  <c r="I875" i="4"/>
  <c r="H877" i="4"/>
  <c r="I876" i="4"/>
  <c r="H878" i="4"/>
  <c r="I877" i="4"/>
  <c r="H879" i="4"/>
  <c r="I878" i="4"/>
  <c r="H880" i="4"/>
  <c r="I879" i="4"/>
  <c r="H881" i="4"/>
  <c r="I880" i="4"/>
  <c r="H882" i="4"/>
  <c r="H883" i="4"/>
  <c r="I881" i="4"/>
  <c r="I882" i="4"/>
  <c r="H884" i="4"/>
  <c r="H885" i="4"/>
  <c r="I883" i="4"/>
  <c r="I884" i="4"/>
  <c r="H886" i="4"/>
  <c r="I885" i="4"/>
  <c r="H887" i="4"/>
  <c r="H888" i="4"/>
  <c r="I886" i="4"/>
  <c r="H889" i="4"/>
  <c r="I887" i="4"/>
  <c r="H890" i="4"/>
  <c r="I888" i="4"/>
  <c r="I889" i="4"/>
  <c r="H891" i="4"/>
  <c r="H892" i="4"/>
  <c r="I890" i="4"/>
  <c r="H893" i="4"/>
  <c r="I891" i="4"/>
  <c r="H894" i="4"/>
  <c r="I892" i="4"/>
  <c r="I893" i="4"/>
  <c r="H895" i="4"/>
  <c r="H896" i="4"/>
  <c r="I894" i="4"/>
  <c r="H897" i="4"/>
  <c r="I895" i="4"/>
  <c r="H898" i="4"/>
  <c r="I896" i="4"/>
  <c r="H899" i="4"/>
  <c r="I897" i="4"/>
  <c r="H900" i="4"/>
  <c r="I898" i="4"/>
  <c r="I899" i="4"/>
  <c r="H901" i="4"/>
  <c r="I900" i="4"/>
  <c r="H902" i="4"/>
  <c r="I901" i="4"/>
  <c r="H903" i="4"/>
  <c r="I902" i="4"/>
  <c r="H904" i="4"/>
  <c r="I903" i="4"/>
  <c r="H905" i="4"/>
  <c r="I904" i="4"/>
  <c r="H906" i="4"/>
  <c r="I905" i="4"/>
  <c r="H907" i="4"/>
  <c r="H908" i="4"/>
  <c r="I906" i="4"/>
  <c r="I907" i="4"/>
  <c r="H909" i="4"/>
  <c r="I908" i="4"/>
  <c r="H910" i="4"/>
  <c r="I909" i="4"/>
  <c r="H911" i="4"/>
  <c r="I910" i="4"/>
  <c r="H912" i="4"/>
  <c r="I911" i="4"/>
  <c r="H913" i="4"/>
  <c r="H914" i="4"/>
  <c r="I912" i="4"/>
  <c r="H915" i="4"/>
  <c r="I913" i="4"/>
  <c r="I914" i="4"/>
  <c r="H916" i="4"/>
  <c r="I915" i="4"/>
  <c r="H917" i="4"/>
  <c r="I916" i="4"/>
  <c r="H918" i="4"/>
  <c r="I917" i="4"/>
  <c r="H919" i="4"/>
  <c r="I918" i="4"/>
  <c r="H920" i="4"/>
  <c r="H921" i="4"/>
  <c r="I919" i="4"/>
  <c r="H922" i="4"/>
  <c r="I920" i="4"/>
  <c r="I921" i="4"/>
  <c r="H923" i="4"/>
  <c r="I922" i="4"/>
  <c r="H924" i="4"/>
  <c r="I923" i="4"/>
  <c r="H925" i="4"/>
  <c r="H926" i="4"/>
  <c r="I924" i="4"/>
  <c r="I925" i="4"/>
  <c r="H927" i="4"/>
  <c r="H928" i="4"/>
  <c r="I926" i="4"/>
  <c r="I927" i="4"/>
  <c r="H929" i="4"/>
  <c r="H930" i="4"/>
  <c r="I928" i="4"/>
  <c r="H931" i="4"/>
  <c r="I929" i="4"/>
  <c r="I930" i="4"/>
  <c r="H932" i="4"/>
  <c r="H933" i="4"/>
  <c r="I931" i="4"/>
  <c r="I932" i="4"/>
  <c r="H934" i="4"/>
  <c r="I933" i="4"/>
  <c r="H935" i="4"/>
  <c r="I934" i="4"/>
  <c r="H936" i="4"/>
  <c r="I935" i="4"/>
  <c r="H937" i="4"/>
  <c r="H938" i="4"/>
  <c r="I936" i="4"/>
  <c r="I937" i="4"/>
  <c r="H939" i="4"/>
  <c r="H940" i="4"/>
  <c r="I938" i="4"/>
  <c r="I939" i="4"/>
  <c r="H941" i="4"/>
  <c r="H942" i="4"/>
  <c r="I940" i="4"/>
  <c r="H943" i="4"/>
  <c r="I941" i="4"/>
  <c r="H944" i="4"/>
  <c r="I942" i="4"/>
  <c r="H945" i="4"/>
  <c r="I943" i="4"/>
  <c r="H946" i="4"/>
  <c r="I944" i="4"/>
  <c r="H947" i="4"/>
  <c r="I945" i="4"/>
  <c r="H948" i="4"/>
  <c r="I946" i="4"/>
  <c r="H949" i="4"/>
  <c r="I947" i="4"/>
  <c r="H950" i="4"/>
  <c r="I948" i="4"/>
  <c r="H951" i="4"/>
  <c r="I949" i="4"/>
  <c r="H952" i="4"/>
  <c r="I950" i="4"/>
  <c r="H953" i="4"/>
  <c r="I951" i="4"/>
  <c r="H954" i="4"/>
  <c r="I952" i="4"/>
  <c r="H955" i="4"/>
  <c r="I953" i="4"/>
  <c r="H956" i="4"/>
  <c r="I954" i="4"/>
  <c r="H957" i="4"/>
  <c r="I955" i="4"/>
  <c r="H958" i="4"/>
  <c r="I956" i="4"/>
  <c r="H959" i="4"/>
  <c r="I957" i="4"/>
  <c r="I958" i="4"/>
  <c r="H960" i="4"/>
  <c r="I959" i="4"/>
  <c r="H961" i="4"/>
  <c r="I960" i="4"/>
  <c r="H962" i="4"/>
  <c r="I961" i="4"/>
  <c r="H963" i="4"/>
  <c r="I962" i="4"/>
  <c r="H964" i="4"/>
  <c r="I963" i="4"/>
  <c r="H965" i="4"/>
  <c r="I964" i="4"/>
  <c r="H966" i="4"/>
  <c r="I965" i="4"/>
  <c r="H967" i="4"/>
  <c r="I966" i="4"/>
  <c r="H968" i="4"/>
  <c r="I967" i="4"/>
  <c r="H969" i="4"/>
  <c r="I968" i="4"/>
  <c r="H970" i="4"/>
  <c r="I969" i="4"/>
  <c r="H971" i="4"/>
  <c r="I970" i="4"/>
  <c r="H972" i="4"/>
  <c r="H973" i="4"/>
  <c r="I971" i="4"/>
  <c r="H974" i="4"/>
  <c r="I972" i="4"/>
  <c r="I973" i="4"/>
  <c r="H975" i="4"/>
  <c r="H976" i="4"/>
  <c r="I974" i="4"/>
  <c r="I975" i="4"/>
  <c r="H977" i="4"/>
  <c r="I976" i="4"/>
  <c r="H978" i="4"/>
  <c r="I977" i="4"/>
  <c r="H979" i="4"/>
  <c r="H980" i="4"/>
  <c r="I978" i="4"/>
  <c r="I979" i="4"/>
  <c r="H981" i="4"/>
  <c r="H982" i="4"/>
  <c r="I980" i="4"/>
  <c r="I981" i="4"/>
  <c r="H983" i="4"/>
  <c r="H984" i="4"/>
  <c r="I982" i="4"/>
  <c r="I983" i="4"/>
  <c r="H985" i="4"/>
  <c r="H986" i="4"/>
  <c r="I984" i="4"/>
  <c r="H987" i="4"/>
  <c r="I985" i="4"/>
  <c r="H988" i="4"/>
  <c r="I986" i="4"/>
  <c r="H989" i="4"/>
  <c r="I987" i="4"/>
  <c r="H990" i="4"/>
  <c r="I988" i="4"/>
  <c r="H991" i="4"/>
  <c r="I989" i="4"/>
  <c r="H992" i="4"/>
  <c r="I990" i="4"/>
  <c r="H993" i="4"/>
  <c r="I991" i="4"/>
  <c r="H994" i="4"/>
  <c r="I992" i="4"/>
  <c r="H995" i="4"/>
  <c r="I993" i="4"/>
  <c r="H996" i="4"/>
  <c r="I994" i="4"/>
  <c r="H997" i="4"/>
  <c r="I995" i="4"/>
  <c r="H998" i="4"/>
  <c r="I996" i="4"/>
  <c r="H999" i="4"/>
  <c r="I997" i="4"/>
  <c r="H1000" i="4"/>
  <c r="I998" i="4"/>
  <c r="H1001" i="4"/>
  <c r="I999" i="4"/>
  <c r="N909" i="4"/>
  <c r="O909" i="4" s="1"/>
  <c r="E909" i="4"/>
  <c r="N910" i="4"/>
  <c r="O910" i="4" s="1"/>
  <c r="E910" i="4"/>
  <c r="N911" i="4"/>
  <c r="O911" i="4" s="1"/>
  <c r="E911" i="4"/>
  <c r="E912" i="4"/>
  <c r="N912" i="4"/>
  <c r="O912" i="4" s="1"/>
  <c r="E913" i="4"/>
  <c r="N913" i="4"/>
  <c r="O913" i="4" s="1"/>
  <c r="E914" i="4"/>
  <c r="N914" i="4"/>
  <c r="O914" i="4" s="1"/>
  <c r="N915" i="4"/>
  <c r="O915" i="4" s="1"/>
  <c r="E915" i="4"/>
  <c r="E916" i="4"/>
  <c r="N916" i="4"/>
  <c r="O916" i="4" s="1"/>
  <c r="E917" i="4"/>
  <c r="N917" i="4"/>
  <c r="O917" i="4" s="1"/>
  <c r="E918" i="4"/>
  <c r="N918" i="4"/>
  <c r="O918" i="4" s="1"/>
  <c r="E919" i="4"/>
  <c r="N919" i="4"/>
  <c r="O919" i="4" s="1"/>
  <c r="E920" i="4"/>
  <c r="N920" i="4"/>
  <c r="O920" i="4" s="1"/>
  <c r="E921" i="4"/>
  <c r="N921" i="4"/>
  <c r="O921" i="4" s="1"/>
  <c r="N922" i="4"/>
  <c r="O922" i="4" s="1"/>
  <c r="E922" i="4"/>
  <c r="E923" i="4"/>
  <c r="N923" i="4"/>
  <c r="O923" i="4" s="1"/>
  <c r="E924" i="4"/>
  <c r="N924" i="4"/>
  <c r="O924" i="4" s="1"/>
  <c r="E925" i="4"/>
  <c r="N925" i="4"/>
  <c r="O925" i="4" s="1"/>
  <c r="E926" i="4"/>
  <c r="N926" i="4"/>
  <c r="O926" i="4" s="1"/>
  <c r="N927" i="4"/>
  <c r="O927" i="4" s="1"/>
  <c r="E927" i="4"/>
  <c r="N928" i="4"/>
  <c r="O928" i="4" s="1"/>
  <c r="E928" i="4"/>
  <c r="N929" i="4"/>
  <c r="O929" i="4" s="1"/>
  <c r="E929" i="4"/>
  <c r="N930" i="4"/>
  <c r="O930" i="4" s="1"/>
  <c r="E930" i="4"/>
  <c r="N931" i="4"/>
  <c r="O931" i="4" s="1"/>
  <c r="E931" i="4"/>
  <c r="N932" i="4"/>
  <c r="O932" i="4" s="1"/>
  <c r="E932" i="4"/>
  <c r="N933" i="4"/>
  <c r="O933" i="4" s="1"/>
  <c r="E933" i="4"/>
  <c r="E934" i="4"/>
  <c r="N934" i="4"/>
  <c r="O934" i="4" s="1"/>
  <c r="E935" i="4"/>
  <c r="N935" i="4"/>
  <c r="O935" i="4" s="1"/>
  <c r="E936" i="4"/>
  <c r="N936" i="4"/>
  <c r="O936" i="4" s="1"/>
  <c r="E937" i="4"/>
  <c r="N937" i="4"/>
  <c r="O937" i="4" s="1"/>
  <c r="E938" i="4"/>
  <c r="N938" i="4"/>
  <c r="O938" i="4" s="1"/>
  <c r="E939" i="4"/>
  <c r="N939" i="4"/>
  <c r="O939" i="4" s="1"/>
  <c r="E940" i="4"/>
  <c r="N940" i="4"/>
  <c r="O940" i="4" s="1"/>
  <c r="E941" i="4"/>
  <c r="N941" i="4"/>
  <c r="O941" i="4" s="1"/>
  <c r="E942" i="4"/>
  <c r="N942" i="4"/>
  <c r="O942" i="4" s="1"/>
  <c r="N943" i="4"/>
  <c r="O943" i="4" s="1"/>
  <c r="E943" i="4"/>
  <c r="N944" i="4"/>
  <c r="O944" i="4" s="1"/>
  <c r="E944" i="4"/>
  <c r="E945" i="4"/>
  <c r="N945" i="4"/>
  <c r="O945" i="4" s="1"/>
  <c r="E946" i="4"/>
  <c r="N946" i="4"/>
  <c r="O946" i="4" s="1"/>
  <c r="N947" i="4"/>
  <c r="O947" i="4" s="1"/>
  <c r="E947" i="4"/>
  <c r="E948" i="4"/>
  <c r="N948" i="4"/>
  <c r="O948" i="4" s="1"/>
  <c r="E949" i="4"/>
  <c r="N949" i="4"/>
  <c r="O949" i="4" s="1"/>
  <c r="E950" i="4"/>
  <c r="N950" i="4"/>
  <c r="O950" i="4" s="1"/>
  <c r="N951" i="4"/>
  <c r="O951" i="4" s="1"/>
  <c r="E951" i="4"/>
  <c r="N952" i="4"/>
  <c r="O952" i="4" s="1"/>
  <c r="E952" i="4"/>
  <c r="N953" i="4"/>
  <c r="O953" i="4" s="1"/>
  <c r="E953" i="4"/>
  <c r="E954" i="4"/>
  <c r="N954" i="4"/>
  <c r="O954" i="4" s="1"/>
  <c r="N955" i="4"/>
  <c r="O955" i="4" s="1"/>
  <c r="E955" i="4"/>
  <c r="E956" i="4"/>
  <c r="N956" i="4"/>
  <c r="O956" i="4" s="1"/>
  <c r="E957" i="4"/>
  <c r="N957" i="4"/>
  <c r="O957" i="4" s="1"/>
  <c r="N958" i="4"/>
  <c r="O958" i="4" s="1"/>
  <c r="E958" i="4"/>
  <c r="N959" i="4"/>
  <c r="O959" i="4" s="1"/>
  <c r="E959" i="4"/>
  <c r="E960" i="4"/>
  <c r="N960" i="4"/>
  <c r="O960" i="4" s="1"/>
  <c r="N961" i="4"/>
  <c r="O961" i="4" s="1"/>
  <c r="E961" i="4"/>
  <c r="E962" i="4"/>
  <c r="N962" i="4"/>
  <c r="O962" i="4" s="1"/>
  <c r="N963" i="4"/>
  <c r="O963" i="4" s="1"/>
  <c r="E963" i="4"/>
  <c r="N964" i="4"/>
  <c r="O964" i="4" s="1"/>
  <c r="E964" i="4"/>
  <c r="N965" i="4"/>
  <c r="O965" i="4" s="1"/>
  <c r="E965" i="4"/>
  <c r="N966" i="4"/>
  <c r="O966" i="4" s="1"/>
  <c r="E966" i="4"/>
  <c r="E967" i="4"/>
  <c r="N967" i="4"/>
  <c r="O967" i="4" s="1"/>
  <c r="N968" i="4"/>
  <c r="O968" i="4" s="1"/>
  <c r="E968" i="4"/>
  <c r="N969" i="4"/>
  <c r="O969" i="4" s="1"/>
  <c r="E969" i="4"/>
  <c r="E970" i="4"/>
  <c r="N970" i="4"/>
  <c r="O970" i="4" s="1"/>
  <c r="N971" i="4"/>
  <c r="O971" i="4" s="1"/>
  <c r="E971" i="4"/>
  <c r="N972" i="4"/>
  <c r="O972" i="4" s="1"/>
  <c r="E972" i="4"/>
  <c r="N973" i="4"/>
  <c r="O973" i="4" s="1"/>
  <c r="E973" i="4"/>
  <c r="N974" i="4"/>
  <c r="O974" i="4" s="1"/>
  <c r="E974" i="4"/>
  <c r="N975" i="4"/>
  <c r="O975" i="4" s="1"/>
  <c r="E975" i="4"/>
  <c r="N976" i="4"/>
  <c r="O976" i="4" s="1"/>
  <c r="E976" i="4"/>
  <c r="N977" i="4"/>
  <c r="O977" i="4" s="1"/>
  <c r="E977" i="4"/>
  <c r="N978" i="4"/>
  <c r="O978" i="4" s="1"/>
  <c r="E978" i="4"/>
  <c r="N979" i="4"/>
  <c r="O979" i="4" s="1"/>
  <c r="E979" i="4"/>
  <c r="N980" i="4"/>
  <c r="O980" i="4" s="1"/>
  <c r="E980" i="4"/>
  <c r="N981" i="4"/>
  <c r="O981" i="4" s="1"/>
  <c r="E981" i="4"/>
  <c r="N982" i="4"/>
  <c r="O982" i="4" s="1"/>
  <c r="E982" i="4"/>
  <c r="N983" i="4"/>
  <c r="O983" i="4" s="1"/>
  <c r="E983" i="4"/>
  <c r="E984" i="4"/>
  <c r="N984" i="4"/>
  <c r="O984" i="4" s="1"/>
  <c r="E985" i="4"/>
  <c r="N985" i="4"/>
  <c r="O985" i="4" s="1"/>
  <c r="E986" i="4"/>
  <c r="N986" i="4"/>
  <c r="O986" i="4" s="1"/>
  <c r="N987" i="4"/>
  <c r="O987" i="4" s="1"/>
  <c r="E987" i="4"/>
  <c r="N988" i="4"/>
  <c r="O988" i="4" s="1"/>
  <c r="E988" i="4"/>
  <c r="N989" i="4"/>
  <c r="O989" i="4" s="1"/>
  <c r="E989" i="4"/>
  <c r="N990" i="4"/>
  <c r="O990" i="4" s="1"/>
  <c r="E990" i="4"/>
  <c r="N991" i="4"/>
  <c r="O991" i="4" s="1"/>
  <c r="E991" i="4"/>
  <c r="E992" i="4"/>
  <c r="N992" i="4"/>
  <c r="O992" i="4" s="1"/>
  <c r="E993" i="4"/>
  <c r="N993" i="4"/>
  <c r="O993" i="4" s="1"/>
  <c r="E994" i="4"/>
  <c r="N994" i="4"/>
  <c r="O994" i="4" s="1"/>
  <c r="E995" i="4"/>
  <c r="N995" i="4"/>
  <c r="O995" i="4" s="1"/>
  <c r="E996" i="4"/>
  <c r="N996" i="4"/>
  <c r="O996" i="4" s="1"/>
  <c r="N997" i="4"/>
  <c r="O997" i="4" s="1"/>
  <c r="E997" i="4"/>
  <c r="E998" i="4"/>
  <c r="N998" i="4"/>
  <c r="O998" i="4" s="1"/>
  <c r="E999" i="4"/>
  <c r="N999" i="4"/>
  <c r="O999" i="4" s="1"/>
  <c r="N1000" i="4"/>
  <c r="O1000" i="4" s="1"/>
  <c r="E1000" i="4"/>
  <c r="N1001" i="4"/>
  <c r="O1001" i="4" s="1"/>
  <c r="E1001" i="4"/>
  <c r="AG18" i="2"/>
  <c r="AG27" i="2"/>
  <c r="AG26" i="2"/>
  <c r="AC2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<sst xmlns="http://schemas.openxmlformats.org/spreadsheetml/2006/main" count="140" uniqueCount="128">
  <si>
    <t>Estimcion Linea y = a + bx</t>
  </si>
  <si>
    <t>a</t>
  </si>
  <si>
    <t>b</t>
  </si>
  <si>
    <t>error de a</t>
  </si>
  <si>
    <t>Error de b</t>
  </si>
  <si>
    <t>r2</t>
  </si>
  <si>
    <t>F</t>
  </si>
  <si>
    <t>Grados de libertad</t>
  </si>
  <si>
    <t>S regresion</t>
  </si>
  <si>
    <t>Sumatoria residual al cuadrado</t>
  </si>
  <si>
    <t>N</t>
  </si>
  <si>
    <t xml:space="preserve">Sxy
</t>
  </si>
  <si>
    <t>Sxx</t>
  </si>
  <si>
    <t>Sy^2</t>
  </si>
  <si>
    <t>SCTx=Sumatoria Cuadratica Total</t>
  </si>
  <si>
    <t xml:space="preserve"> </t>
  </si>
  <si>
    <t>SCTy=Sumatoria Cuadratica Total</t>
  </si>
  <si>
    <t>Linea de regresion</t>
  </si>
  <si>
    <t>Suma de regresion</t>
  </si>
  <si>
    <t>Residuos</t>
  </si>
  <si>
    <t>SCE=Sumatoria Cuadratica del Error</t>
  </si>
  <si>
    <t>h</t>
  </si>
  <si>
    <t>Residuos estandarizados</t>
  </si>
  <si>
    <t>Bandas de confianza</t>
  </si>
  <si>
    <t>Bandas de prediccion</t>
  </si>
  <si>
    <t>n</t>
  </si>
  <si>
    <t>xi</t>
  </si>
  <si>
    <t>yi</t>
  </si>
  <si>
    <t>xiyi</t>
  </si>
  <si>
    <t>x^2</t>
  </si>
  <si>
    <t>y^2</t>
  </si>
  <si>
    <t>(x - x̅)</t>
  </si>
  <si>
    <t>(x - x̅)^2</t>
  </si>
  <si>
    <t>(y - y̅)</t>
  </si>
  <si>
    <t>(y - y̅)^2</t>
  </si>
  <si>
    <t>(x - x̅) (y - y̅)</t>
  </si>
  <si>
    <t>ŷ=B0 + B1x</t>
  </si>
  <si>
    <t>SREC=(ŷi-y̅)^2</t>
  </si>
  <si>
    <t>ei = yi - ŷi</t>
  </si>
  <si>
    <t>ei^2</t>
  </si>
  <si>
    <t>ℎ=1/𝑛+〖(𝑥_𝑖−𝑥 ̅)〗^2/(∑(〖𝑥_𝑖〗^2−𝑛(x̅̅)^2 〗)</t>
  </si>
  <si>
    <t>SRi=ei/(Syx √(1−ℎ))</t>
  </si>
  <si>
    <t>LIC</t>
  </si>
  <si>
    <t>LSC</t>
  </si>
  <si>
    <t>LIP</t>
  </si>
  <si>
    <t>LSP</t>
  </si>
  <si>
    <r>
      <t xml:space="preserve">El presente conjunto de datos contiene 1,000 registros detallados de transacciones comerciales internacionales. La cantidad de unidades vendidas influye directamente en la generación de ingresos, siguiendo una relación lineal basada en el precio unitario de cada categoría de producto. </t>
    </r>
    <r>
      <rPr>
        <b/>
        <sz val="11"/>
        <color theme="1"/>
        <rFont val="Calibri"/>
        <family val="2"/>
        <scheme val="minor"/>
      </rPr>
      <t>Variables del Modelo de Regresión:</t>
    </r>
    <r>
      <rPr>
        <sz val="11"/>
        <color theme="1"/>
        <rFont val="Calibri"/>
        <family val="2"/>
        <scheme val="minor"/>
      </rPr>
      <t xml:space="preserve"> Variable Independiente (X): Unidades vendidas (Cantidad de producto por pedido). Variable Dependiente (Y): Importe de venta total (Ingresos brutos en €). Los datos muestran una tendencia ascendente clara: a medida que aumenta X, Y crece proporcionalmente. El objetivo es construir un modelo de regresion lineal que permita predecir el ingreso bruto en función del volumen del pedido.</t>
    </r>
  </si>
  <si>
    <t>Unidades Vendidas</t>
  </si>
  <si>
    <t>Importe de Venta Total</t>
  </si>
  <si>
    <t>Descripcion</t>
  </si>
  <si>
    <t>Formula</t>
  </si>
  <si>
    <t>Resultado</t>
  </si>
  <si>
    <t>Numero de muestras</t>
  </si>
  <si>
    <t>Media de X</t>
  </si>
  <si>
    <t>x̅</t>
  </si>
  <si>
    <t>Media de Y</t>
  </si>
  <si>
    <t>y̅</t>
  </si>
  <si>
    <t>Desviacion Estandar de X</t>
  </si>
  <si>
    <r>
      <rPr>
        <b/>
        <sz val="11"/>
        <color theme="1"/>
        <rFont val="Calibri"/>
        <family val="2"/>
      </rPr>
      <t>σx</t>
    </r>
    <r>
      <rPr>
        <b/>
        <sz val="11"/>
        <color theme="1"/>
        <rFont val="Calibri"/>
        <family val="2"/>
        <scheme val="minor"/>
      </rPr>
      <t>=√(1/(n−1) ∑(x𝑖−  x̅)^2 )</t>
    </r>
  </si>
  <si>
    <t>DESV EST X EXCEL</t>
  </si>
  <si>
    <t>Desviacion Estandar de Y</t>
  </si>
  <si>
    <t>σy=√(1/(n−1) ∑(y𝑖 − y̅)^2 )</t>
  </si>
  <si>
    <t>DESV EST Y EXCEL</t>
  </si>
  <si>
    <t>Covarianza</t>
  </si>
  <si>
    <t>S^2=[∑(xi𝑖− x̅)(yi − y̅)] / (n-1)</t>
  </si>
  <si>
    <t>COVARIANZA EXCEL</t>
  </si>
  <si>
    <t>Ecuacion normal</t>
  </si>
  <si>
    <t xml:space="preserve">B1=(∑(x − x̅)(y − y̅))/∑(x − x̅)^2 </t>
  </si>
  <si>
    <t>B0 =  y̅ − B1 x̅</t>
  </si>
  <si>
    <t>Error estandar de estimacion</t>
  </si>
  <si>
    <t>Syx=√( (∑Y2-B0∑Y-B1∑XY)/(n-1) )</t>
  </si>
  <si>
    <t>Error estandar del coeficiente B1</t>
  </si>
  <si>
    <t>SB1=Syx(√[(∑x^2)/(∑(xi-x̅)^2))]</t>
  </si>
  <si>
    <t>Error estandar del coeficiente Bo</t>
  </si>
  <si>
    <t>SB0=Syx/(√(∑(xi-x̅)^2)</t>
  </si>
  <si>
    <t>Ecuacion de regresion</t>
  </si>
  <si>
    <t>Coeficiente de determinacion</t>
  </si>
  <si>
    <t>r^2= [ (∑(y - y̅)^2) - (∑ei^2)] /  (∑(y - y̅)^2)</t>
  </si>
  <si>
    <t>Coeficiente de correlacion</t>
  </si>
  <si>
    <t>r=√ [ (∑(y - y̅)^2) - (∑ei^2)] /  (∑(y - y̅)^2)</t>
  </si>
  <si>
    <t>Sumatoria de Errores Medios</t>
  </si>
  <si>
    <t>SEM=(∑ei^2/n-g)</t>
  </si>
  <si>
    <t>Estimacion del Error</t>
  </si>
  <si>
    <t>EE=√(∑ei^2/n-g)</t>
  </si>
  <si>
    <t>Ordenada al origen</t>
  </si>
  <si>
    <t>Bo=y̅-B1x̅</t>
  </si>
  <si>
    <t>∑x</t>
  </si>
  <si>
    <t>∑y</t>
  </si>
  <si>
    <t>∑xiyi</t>
  </si>
  <si>
    <t>∑x^2</t>
  </si>
  <si>
    <t>∑y^2</t>
  </si>
  <si>
    <t>∑(x - x̅)</t>
  </si>
  <si>
    <t>∑(x - x̅)^2</t>
  </si>
  <si>
    <t>∑(y - y̅)</t>
  </si>
  <si>
    <t>∑(y - y̅)^2</t>
  </si>
  <si>
    <t>∑(x - x̅) (y - y̅)</t>
  </si>
  <si>
    <t>∑ŷ=B0 + B1x</t>
  </si>
  <si>
    <t>∑SREC=(ŷi-y̅)^2</t>
  </si>
  <si>
    <t>∑ei = yi - ŷi</t>
  </si>
  <si>
    <t>∑ei^2</t>
  </si>
  <si>
    <t>Existe una fuerte correlacion lineal positiva 0.95 (Coficiente de correlacion)</t>
  </si>
  <si>
    <t>Analisis de contraste de hipotesis de prueba de significancia</t>
  </si>
  <si>
    <t xml:space="preserve">El estadistico de prueba tiene una distribucion T-student con N-2 grados libertad </t>
  </si>
  <si>
    <r>
      <t xml:space="preserve">Se propone que los datos tienen un nivel de confianza C=0.995 por lo que </t>
    </r>
    <r>
      <rPr>
        <sz val="12"/>
        <color theme="1"/>
        <rFont val="Calibri"/>
        <family val="2"/>
      </rPr>
      <t>α</t>
    </r>
    <r>
      <rPr>
        <sz val="11"/>
        <color theme="1"/>
        <rFont val="Calibri"/>
        <family val="2"/>
        <scheme val="minor"/>
      </rPr>
      <t xml:space="preserve"> = 0.005</t>
    </r>
  </si>
  <si>
    <t xml:space="preserve">α </t>
  </si>
  <si>
    <t>α/2</t>
  </si>
  <si>
    <t>Grado Liberdad G.L = N-g</t>
  </si>
  <si>
    <t>Region de rechazo |T| &gt; t(α /2)</t>
  </si>
  <si>
    <t xml:space="preserve">Las variabkes X Y se distribuyen normalmnete </t>
  </si>
  <si>
    <t>Si,El valor absoluto de T es suficientemente alto puede dedusirse, que el coeficiente de la pendiente es util para predecir nuevos valores</t>
  </si>
  <si>
    <r>
      <rPr>
        <b/>
        <sz val="12"/>
        <color theme="1"/>
        <rFont val="Calibri"/>
        <family val="2"/>
        <scheme val="minor"/>
      </rPr>
      <t>Contraste de la Hipotesis con coeficiente de correlacion pirson</t>
    </r>
    <r>
      <rPr>
        <sz val="11"/>
        <color theme="1"/>
        <rFont val="Calibri"/>
        <family val="2"/>
        <scheme val="minor"/>
      </rPr>
      <t xml:space="preserve"> </t>
    </r>
  </si>
  <si>
    <t>(El caso es unica y exclusivamente para verificar si la correlacion de pirson es 0</t>
  </si>
  <si>
    <t>Hipotesis Ho: P = 0</t>
  </si>
  <si>
    <r>
      <t xml:space="preserve">Hipotesis H1: P </t>
    </r>
    <r>
      <rPr>
        <sz val="12"/>
        <color theme="1"/>
        <rFont val="Calibri"/>
        <family val="2"/>
      </rPr>
      <t>≠</t>
    </r>
    <r>
      <rPr>
        <sz val="11"/>
        <color theme="1"/>
        <rFont val="Calibri"/>
        <family val="2"/>
        <scheme val="minor"/>
      </rPr>
      <t xml:space="preserve"> 0</t>
    </r>
  </si>
  <si>
    <t>Estadistico de contraste bajo Po, T = (r √ (n - 2))/ (√(1 - r^2))</t>
  </si>
  <si>
    <t>Decision</t>
  </si>
  <si>
    <t>Media Movil (0=2)</t>
  </si>
  <si>
    <t>Error Tipico(0=2)</t>
  </si>
  <si>
    <t>Desviacion Absoluta</t>
  </si>
  <si>
    <t>Media movil (0=3)</t>
  </si>
  <si>
    <t xml:space="preserve">Eror tipico (0=3) </t>
  </si>
  <si>
    <t>Desciacion Absoluta</t>
  </si>
  <si>
    <t>Media Movil</t>
  </si>
  <si>
    <t>Error tipico (0=4)</t>
  </si>
  <si>
    <t>Valores ponderados</t>
  </si>
  <si>
    <t>Media movil ponderada</t>
  </si>
  <si>
    <t>Periodo de Tiempo</t>
  </si>
  <si>
    <t>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</si>
</sst>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 [$€-C0A]_-;\-* #,##0.00\ [$€-C0A]_-;_-* &quot;-&quot;??\ [$€-C0A]_-;_-@_-"/>
    <numFmt numFmtId="165" formatCode="_-* #,##0.000_-;\-* #,##0.000_-;_-* &quot;-&quot;??_-;_-@_-"/>
    <numFmt numFmtId="166" formatCode="_-* #,##0.0000_-;\-* #,##0.0000_-;_-* &quot;-&quot;??_-;_-@_-"/>
    <numFmt numFmtId="167" formatCode="_-* #,##0_-;\-* #,##0_-;_-* &quot;-&quot;??_-;_-@_-"/>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b/>
      <sz val="11"/>
      <color theme="1"/>
      <name val="Calibri"/>
      <family val="2"/>
    </font>
    <font>
      <b/>
      <sz val="12"/>
      <color theme="1"/>
      <name val="Calibri"/>
      <family val="2"/>
      <scheme val="minor"/>
    </font>
    <font>
      <sz val="12"/>
      <color theme="1"/>
      <name val="Calibri"/>
      <family val="2"/>
    </font>
    <font>
      <b/>
      <sz val="12"/>
      <color theme="0"/>
      <name val="Calibri"/>
      <family val="2"/>
      <scheme val="minor"/>
    </font>
  </fonts>
  <fills count="9">
    <fill>
      <patternFill patternType="none"/>
    </fill>
    <fill>
      <patternFill patternType="gray125"/>
    </fill>
    <fill>
      <patternFill patternType="solid">
        <fgColor rgb="FF00B050"/>
        <bgColor indexed="64"/>
      </patternFill>
    </fill>
    <fill>
      <patternFill patternType="solid">
        <fgColor theme="0" tint="-0.34998626667073579"/>
        <bgColor indexed="64"/>
      </patternFill>
    </fill>
    <fill>
      <patternFill patternType="solid">
        <fgColor theme="8"/>
        <bgColor indexed="64"/>
      </patternFill>
    </fill>
    <fill>
      <patternFill patternType="solid">
        <fgColor rgb="FF00B0F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s>
  <cellStyleXfs count="2">
    <xf numFmtId="0" fontId="0" fillId="0" borderId="0"/>
    <xf numFmtId="43" fontId="2" fillId="0" borderId="0" applyFont="0" applyFill="0" applyBorder="0" applyAlignment="0" applyProtection="0"/>
  </cellStyleXfs>
  <cellXfs count="61">
    <xf numFmtId="0" fontId="0" fillId="0" borderId="0" xfId="0"/>
    <xf numFmtId="164" fontId="0" fillId="0" borderId="0" xfId="0" applyNumberFormat="1"/>
    <xf numFmtId="0" fontId="0" fillId="0" borderId="1" xfId="0" applyBorder="1"/>
    <xf numFmtId="0" fontId="0" fillId="0" borderId="1" xfId="0" applyBorder="1" applyAlignment="1">
      <alignment wrapText="1"/>
    </xf>
    <xf numFmtId="164" fontId="0" fillId="0" borderId="1" xfId="0" applyNumberFormat="1" applyBorder="1"/>
    <xf numFmtId="0" fontId="0" fillId="0" borderId="0" xfId="0" applyAlignment="1">
      <alignment wrapText="1"/>
    </xf>
    <xf numFmtId="0" fontId="1" fillId="3" borderId="0" xfId="0" applyFont="1" applyFill="1" applyAlignment="1">
      <alignment horizontal="center" vertical="top" wrapText="1"/>
    </xf>
    <xf numFmtId="0" fontId="0" fillId="3" borderId="0" xfId="0" applyFill="1"/>
    <xf numFmtId="0" fontId="0" fillId="0" borderId="0" xfId="0" applyAlignment="1">
      <alignment vertical="center" wrapText="1"/>
    </xf>
    <xf numFmtId="165" fontId="1" fillId="0" borderId="9" xfId="1" applyNumberFormat="1" applyFont="1" applyBorder="1"/>
    <xf numFmtId="165" fontId="1" fillId="0" borderId="10" xfId="1" applyNumberFormat="1" applyFont="1" applyBorder="1"/>
    <xf numFmtId="165" fontId="1" fillId="0" borderId="13" xfId="1" applyNumberFormat="1" applyFont="1" applyBorder="1"/>
    <xf numFmtId="0" fontId="0" fillId="0" borderId="14" xfId="0" applyBorder="1"/>
    <xf numFmtId="2" fontId="6" fillId="0" borderId="15" xfId="0" applyNumberFormat="1" applyFont="1" applyBorder="1" applyAlignment="1">
      <alignment horizontal="center" vertical="center"/>
    </xf>
    <xf numFmtId="0" fontId="0" fillId="0" borderId="19" xfId="0" applyBorder="1"/>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43" fontId="0" fillId="0" borderId="0" xfId="0" applyNumberFormat="1"/>
    <xf numFmtId="0" fontId="3" fillId="4" borderId="1" xfId="0" applyFont="1" applyFill="1" applyBorder="1" applyAlignment="1">
      <alignment horizontal="center" vertical="top" wrapText="1"/>
    </xf>
    <xf numFmtId="0" fontId="3" fillId="4" borderId="4" xfId="0" applyFont="1" applyFill="1" applyBorder="1" applyAlignment="1">
      <alignment horizontal="center"/>
    </xf>
    <xf numFmtId="0" fontId="3" fillId="4" borderId="4" xfId="0" applyFont="1" applyFill="1" applyBorder="1"/>
    <xf numFmtId="0" fontId="3" fillId="2" borderId="4" xfId="0" applyFont="1" applyFill="1" applyBorder="1" applyAlignment="1">
      <alignment horizontal="center"/>
    </xf>
    <xf numFmtId="0" fontId="3" fillId="4" borderId="7" xfId="0" applyFont="1" applyFill="1" applyBorder="1" applyAlignment="1">
      <alignment horizontal="center" vertical="center"/>
    </xf>
    <xf numFmtId="0" fontId="6" fillId="0" borderId="0" xfId="0" applyFont="1" applyAlignment="1">
      <alignment wrapText="1"/>
    </xf>
    <xf numFmtId="0" fontId="0" fillId="0" borderId="0" xfId="0" applyAlignment="1">
      <alignment horizontal="left" vertical="top" wrapText="1"/>
    </xf>
    <xf numFmtId="0" fontId="0" fillId="0" borderId="0" xfId="0" applyAlignment="1">
      <alignment vertical="top" wrapText="1"/>
    </xf>
    <xf numFmtId="0" fontId="4" fillId="0" borderId="0" xfId="0" applyFont="1" applyAlignment="1">
      <alignment wrapText="1"/>
    </xf>
    <xf numFmtId="0" fontId="4" fillId="0" borderId="0" xfId="0" applyFont="1" applyAlignment="1">
      <alignment vertical="center" wrapText="1"/>
    </xf>
    <xf numFmtId="43" fontId="0" fillId="0" borderId="20" xfId="0" applyNumberFormat="1" applyBorder="1"/>
    <xf numFmtId="2" fontId="0" fillId="0" borderId="20" xfId="0" applyNumberFormat="1" applyBorder="1"/>
    <xf numFmtId="0" fontId="8" fillId="5" borderId="21" xfId="0" applyFont="1" applyFill="1" applyBorder="1" applyAlignment="1">
      <alignment horizontal="center" vertical="center"/>
    </xf>
    <xf numFmtId="0" fontId="8" fillId="6" borderId="22" xfId="0" applyFont="1" applyFill="1" applyBorder="1" applyAlignment="1">
      <alignment horizontal="center" vertical="center" wrapText="1"/>
    </xf>
    <xf numFmtId="0" fontId="8" fillId="6" borderId="22" xfId="0" applyFont="1" applyFill="1" applyBorder="1" applyAlignment="1">
      <alignment horizontal="center" vertical="center"/>
    </xf>
    <xf numFmtId="0" fontId="8" fillId="7" borderId="22" xfId="0" applyFont="1" applyFill="1" applyBorder="1" applyAlignment="1">
      <alignment horizontal="center" vertical="center"/>
    </xf>
    <xf numFmtId="0" fontId="8" fillId="7" borderId="22"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3" fillId="5" borderId="4" xfId="0" applyFont="1" applyFill="1" applyBorder="1" applyAlignment="1">
      <alignment horizontal="center" vertical="center"/>
    </xf>
    <xf numFmtId="164" fontId="0" fillId="0" borderId="1" xfId="0" applyNumberFormat="1" applyBorder="1" applyAlignment="1">
      <alignment horizontal="center" vertical="center"/>
    </xf>
    <xf numFmtId="0" fontId="3" fillId="5" borderId="0" xfId="0" applyFont="1" applyFill="1" applyAlignment="1">
      <alignment horizontal="center" vertical="center"/>
    </xf>
    <xf numFmtId="2" fontId="6" fillId="0" borderId="23" xfId="0" applyNumberFormat="1" applyFont="1" applyBorder="1" applyAlignment="1">
      <alignment horizontal="center" vertical="center"/>
    </xf>
    <xf numFmtId="43" fontId="0" fillId="0" borderId="1" xfId="0" applyNumberFormat="1" applyBorder="1"/>
    <xf numFmtId="166" fontId="0" fillId="0" borderId="1" xfId="0" applyNumberFormat="1" applyBorder="1"/>
    <xf numFmtId="0" fontId="0" fillId="0" borderId="2" xfId="0" applyBorder="1"/>
    <xf numFmtId="9" fontId="0" fillId="0" borderId="1" xfId="0" applyNumberFormat="1" applyBorder="1"/>
    <xf numFmtId="9" fontId="0" fillId="0" borderId="3" xfId="0" applyNumberFormat="1" applyBorder="1"/>
    <xf numFmtId="0" fontId="0" fillId="0" borderId="4" xfId="0" applyBorder="1"/>
    <xf numFmtId="2" fontId="6" fillId="0" borderId="18" xfId="0" applyNumberFormat="1" applyFont="1" applyBorder="1" applyAlignment="1">
      <alignment horizontal="center" vertical="center"/>
    </xf>
    <xf numFmtId="167" fontId="1" fillId="0" borderId="9" xfId="1" applyNumberFormat="1" applyFont="1" applyBorder="1"/>
    <xf numFmtId="14" fontId="0" fillId="0" borderId="1" xfId="0" applyNumberFormat="1" applyBorder="1"/>
    <xf numFmtId="0" fontId="1" fillId="0" borderId="8" xfId="0" applyFont="1" applyBorder="1" applyAlignment="1">
      <alignment horizontal="left"/>
    </xf>
    <xf numFmtId="0" fontId="1" fillId="0" borderId="1"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3" fillId="4" borderId="3" xfId="0" applyFont="1" applyFill="1" applyBorder="1" applyAlignment="1">
      <alignment horizontal="center" vertical="top" wrapText="1"/>
    </xf>
    <xf numFmtId="0" fontId="3" fillId="4" borderId="2" xfId="0" applyFont="1" applyFill="1" applyBorder="1" applyAlignment="1">
      <alignment horizontal="center" vertical="top" wrapText="1"/>
    </xf>
    <xf numFmtId="0" fontId="0" fillId="0" borderId="0" xfId="0" applyAlignment="1">
      <alignment horizontal="center" vertical="center" wrapText="1"/>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2" borderId="1" xfId="0" applyFont="1" applyFill="1" applyBorder="1" applyAlignment="1">
      <alignment horizont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Hoja1!$D$8</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layout>
                <c:manualLayout>
                  <c:x val="0.16784744930327503"/>
                  <c:y val="-0.5907162526272727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trendlineLbl>
          </c:trendline>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Hoja1!$D$9:$D$1008</c:f>
              <c:numCache>
                <c:formatCode>_-* #,##0.00\ [$€-C0A]_-;\-* #,##0.00\ [$€-C0A]_-;_-* "-"??\ [$€-C0A]_-;_-@_-</c:formatCode>
                <c:ptCount val="1000"/>
                <c:pt idx="0">
                  <c:v>843767.4</c:v>
                </c:pt>
                <c:pt idx="1">
                  <c:v>419358.66</c:v>
                </c:pt>
                <c:pt idx="2">
                  <c:v>1408016.5</c:v>
                </c:pt>
                <c:pt idx="3">
                  <c:v>91489.98</c:v>
                </c:pt>
                <c:pt idx="4">
                  <c:v>927432.24</c:v>
                </c:pt>
                <c:pt idx="5">
                  <c:v>195019.5</c:v>
                </c:pt>
                <c:pt idx="6">
                  <c:v>618864.4800000001</c:v>
                </c:pt>
                <c:pt idx="7">
                  <c:v>3637066.8</c:v>
                </c:pt>
                <c:pt idx="8">
                  <c:v>717507.67</c:v>
                </c:pt>
                <c:pt idx="9">
                  <c:v>6086859.8700000001</c:v>
                </c:pt>
                <c:pt idx="10">
                  <c:v>422335.2</c:v>
                </c:pt>
                <c:pt idx="11">
                  <c:v>1008401.2200000001</c:v>
                </c:pt>
                <c:pt idx="12">
                  <c:v>298033.45</c:v>
                </c:pt>
                <c:pt idx="13">
                  <c:v>310893.08</c:v>
                </c:pt>
                <c:pt idx="14">
                  <c:v>26945.040000000001</c:v>
                </c:pt>
                <c:pt idx="15">
                  <c:v>816400.97000000009</c:v>
                </c:pt>
                <c:pt idx="16">
                  <c:v>634377.19999999995</c:v>
                </c:pt>
                <c:pt idx="17">
                  <c:v>1134584.8800000001</c:v>
                </c:pt>
                <c:pt idx="18">
                  <c:v>3343963.35</c:v>
                </c:pt>
                <c:pt idx="19">
                  <c:v>2456364.12</c:v>
                </c:pt>
                <c:pt idx="20">
                  <c:v>784771.46000000008</c:v>
                </c:pt>
                <c:pt idx="21">
                  <c:v>398726.39999999997</c:v>
                </c:pt>
                <c:pt idx="22">
                  <c:v>460639.02</c:v>
                </c:pt>
                <c:pt idx="23">
                  <c:v>357345.6</c:v>
                </c:pt>
                <c:pt idx="24">
                  <c:v>931600.82000000007</c:v>
                </c:pt>
                <c:pt idx="25">
                  <c:v>634306.53</c:v>
                </c:pt>
                <c:pt idx="26">
                  <c:v>202386.56</c:v>
                </c:pt>
                <c:pt idx="27">
                  <c:v>414936.16000000003</c:v>
                </c:pt>
                <c:pt idx="28">
                  <c:v>4075110.46</c:v>
                </c:pt>
                <c:pt idx="29">
                  <c:v>1439699.5999999999</c:v>
                </c:pt>
                <c:pt idx="30">
                  <c:v>1070408.8800000001</c:v>
                </c:pt>
                <c:pt idx="31">
                  <c:v>54186.990000000005</c:v>
                </c:pt>
                <c:pt idx="32">
                  <c:v>553721.76</c:v>
                </c:pt>
                <c:pt idx="33">
                  <c:v>26329.26</c:v>
                </c:pt>
                <c:pt idx="34">
                  <c:v>395484.32</c:v>
                </c:pt>
                <c:pt idx="35">
                  <c:v>3874215.8699999996</c:v>
                </c:pt>
                <c:pt idx="36">
                  <c:v>392316.60000000003</c:v>
                </c:pt>
                <c:pt idx="37">
                  <c:v>341462</c:v>
                </c:pt>
                <c:pt idx="38">
                  <c:v>1105688.6200000001</c:v>
                </c:pt>
                <c:pt idx="39">
                  <c:v>3119484.36</c:v>
                </c:pt>
                <c:pt idx="40">
                  <c:v>9432.6299999999992</c:v>
                </c:pt>
                <c:pt idx="41">
                  <c:v>559513.59999999998</c:v>
                </c:pt>
                <c:pt idx="42">
                  <c:v>27383.55</c:v>
                </c:pt>
                <c:pt idx="43">
                  <c:v>1582440.3</c:v>
                </c:pt>
                <c:pt idx="44">
                  <c:v>1771282.7</c:v>
                </c:pt>
                <c:pt idx="45">
                  <c:v>695767.49</c:v>
                </c:pt>
                <c:pt idx="46">
                  <c:v>678082.4</c:v>
                </c:pt>
                <c:pt idx="47">
                  <c:v>369303.35000000003</c:v>
                </c:pt>
                <c:pt idx="48">
                  <c:v>2691236.31</c:v>
                </c:pt>
                <c:pt idx="49">
                  <c:v>781789.12</c:v>
                </c:pt>
                <c:pt idx="50">
                  <c:v>472904.3</c:v>
                </c:pt>
                <c:pt idx="51">
                  <c:v>930368.34</c:v>
                </c:pt>
                <c:pt idx="52">
                  <c:v>456848.60000000003</c:v>
                </c:pt>
                <c:pt idx="53">
                  <c:v>2680267.17</c:v>
                </c:pt>
                <c:pt idx="54">
                  <c:v>1006165.86</c:v>
                </c:pt>
                <c:pt idx="55">
                  <c:v>119099.5</c:v>
                </c:pt>
                <c:pt idx="56">
                  <c:v>565554.26</c:v>
                </c:pt>
                <c:pt idx="57">
                  <c:v>292916.8</c:v>
                </c:pt>
                <c:pt idx="58">
                  <c:v>460287.36</c:v>
                </c:pt>
                <c:pt idx="59">
                  <c:v>640497.52</c:v>
                </c:pt>
                <c:pt idx="60">
                  <c:v>1669666.8</c:v>
                </c:pt>
                <c:pt idx="61">
                  <c:v>627604.67000000004</c:v>
                </c:pt>
                <c:pt idx="62">
                  <c:v>438385.12</c:v>
                </c:pt>
                <c:pt idx="63">
                  <c:v>110172.04000000001</c:v>
                </c:pt>
                <c:pt idx="64">
                  <c:v>2272299.54</c:v>
                </c:pt>
                <c:pt idx="65">
                  <c:v>66399.86</c:v>
                </c:pt>
                <c:pt idx="66">
                  <c:v>10953.42</c:v>
                </c:pt>
                <c:pt idx="67">
                  <c:v>1107915.2</c:v>
                </c:pt>
                <c:pt idx="68">
                  <c:v>301093.32</c:v>
                </c:pt>
                <c:pt idx="69">
                  <c:v>407914.43</c:v>
                </c:pt>
                <c:pt idx="70">
                  <c:v>721731.6</c:v>
                </c:pt>
                <c:pt idx="71">
                  <c:v>2868008.2199999997</c:v>
                </c:pt>
                <c:pt idx="72">
                  <c:v>2689786.75</c:v>
                </c:pt>
                <c:pt idx="73">
                  <c:v>4346175.54</c:v>
                </c:pt>
                <c:pt idx="74">
                  <c:v>53041.05</c:v>
                </c:pt>
                <c:pt idx="75">
                  <c:v>621323.98</c:v>
                </c:pt>
                <c:pt idx="76">
                  <c:v>81756.350000000006</c:v>
                </c:pt>
                <c:pt idx="77">
                  <c:v>345388</c:v>
                </c:pt>
                <c:pt idx="78">
                  <c:v>62327.1</c:v>
                </c:pt>
                <c:pt idx="79">
                  <c:v>111071.07</c:v>
                </c:pt>
                <c:pt idx="80">
                  <c:v>1396016.03</c:v>
                </c:pt>
                <c:pt idx="81">
                  <c:v>677257.84</c:v>
                </c:pt>
                <c:pt idx="82">
                  <c:v>159546.45000000001</c:v>
                </c:pt>
                <c:pt idx="83">
                  <c:v>1724264.43</c:v>
                </c:pt>
                <c:pt idx="84">
                  <c:v>111046.8</c:v>
                </c:pt>
                <c:pt idx="85">
                  <c:v>3311790</c:v>
                </c:pt>
                <c:pt idx="86">
                  <c:v>67345.52</c:v>
                </c:pt>
                <c:pt idx="87">
                  <c:v>4904262.5100000007</c:v>
                </c:pt>
                <c:pt idx="88">
                  <c:v>907190</c:v>
                </c:pt>
                <c:pt idx="89">
                  <c:v>132592.02000000002</c:v>
                </c:pt>
                <c:pt idx="90">
                  <c:v>4913789.3099999996</c:v>
                </c:pt>
                <c:pt idx="91">
                  <c:v>2954495.67</c:v>
                </c:pt>
                <c:pt idx="92">
                  <c:v>1512109.62</c:v>
                </c:pt>
                <c:pt idx="93">
                  <c:v>73203.180000000008</c:v>
                </c:pt>
                <c:pt idx="94">
                  <c:v>244130.25000000003</c:v>
                </c:pt>
                <c:pt idx="95">
                  <c:v>370821.75</c:v>
                </c:pt>
                <c:pt idx="96">
                  <c:v>1655746.08</c:v>
                </c:pt>
                <c:pt idx="97">
                  <c:v>2553459.67</c:v>
                </c:pt>
                <c:pt idx="98">
                  <c:v>777334.03</c:v>
                </c:pt>
                <c:pt idx="99">
                  <c:v>805469.82000000007</c:v>
                </c:pt>
                <c:pt idx="100">
                  <c:v>2032727.4</c:v>
                </c:pt>
                <c:pt idx="101">
                  <c:v>632262.24</c:v>
                </c:pt>
                <c:pt idx="102">
                  <c:v>879471.12000000011</c:v>
                </c:pt>
                <c:pt idx="103">
                  <c:v>3146883.4299999997</c:v>
                </c:pt>
                <c:pt idx="104">
                  <c:v>371106.45</c:v>
                </c:pt>
                <c:pt idx="105">
                  <c:v>617626.54</c:v>
                </c:pt>
                <c:pt idx="106">
                  <c:v>2352915.7600000002</c:v>
                </c:pt>
                <c:pt idx="107">
                  <c:v>597818.13</c:v>
                </c:pt>
                <c:pt idx="108">
                  <c:v>3753004.32</c:v>
                </c:pt>
                <c:pt idx="109">
                  <c:v>2258717.44</c:v>
                </c:pt>
                <c:pt idx="110">
                  <c:v>2265570.4</c:v>
                </c:pt>
                <c:pt idx="111">
                  <c:v>302073.24</c:v>
                </c:pt>
                <c:pt idx="112">
                  <c:v>701161.67</c:v>
                </c:pt>
                <c:pt idx="113">
                  <c:v>1659715.26</c:v>
                </c:pt>
                <c:pt idx="114">
                  <c:v>5995718.4399999995</c:v>
                </c:pt>
                <c:pt idx="115">
                  <c:v>2021051.76</c:v>
                </c:pt>
                <c:pt idx="116">
                  <c:v>96038.8</c:v>
                </c:pt>
                <c:pt idx="117">
                  <c:v>941694.6</c:v>
                </c:pt>
                <c:pt idx="118">
                  <c:v>482125.27</c:v>
                </c:pt>
                <c:pt idx="119">
                  <c:v>77746.89</c:v>
                </c:pt>
                <c:pt idx="120">
                  <c:v>192403.38</c:v>
                </c:pt>
                <c:pt idx="121">
                  <c:v>289207.75</c:v>
                </c:pt>
                <c:pt idx="122">
                  <c:v>11905.08</c:v>
                </c:pt>
                <c:pt idx="123">
                  <c:v>67894.41</c:v>
                </c:pt>
                <c:pt idx="124">
                  <c:v>677133.45</c:v>
                </c:pt>
                <c:pt idx="125">
                  <c:v>35407.35</c:v>
                </c:pt>
                <c:pt idx="126">
                  <c:v>19691.75</c:v>
                </c:pt>
                <c:pt idx="127">
                  <c:v>26157.18</c:v>
                </c:pt>
                <c:pt idx="128">
                  <c:v>1289020.02</c:v>
                </c:pt>
                <c:pt idx="129">
                  <c:v>460947.52</c:v>
                </c:pt>
                <c:pt idx="130">
                  <c:v>5765833.5599999996</c:v>
                </c:pt>
                <c:pt idx="131">
                  <c:v>510304.72000000003</c:v>
                </c:pt>
                <c:pt idx="132">
                  <c:v>4467951.8100000005</c:v>
                </c:pt>
                <c:pt idx="133">
                  <c:v>1386231.8800000001</c:v>
                </c:pt>
                <c:pt idx="134">
                  <c:v>134305.12</c:v>
                </c:pt>
                <c:pt idx="135">
                  <c:v>1728291.4</c:v>
                </c:pt>
                <c:pt idx="136">
                  <c:v>113737.65000000001</c:v>
                </c:pt>
                <c:pt idx="137">
                  <c:v>582407.98</c:v>
                </c:pt>
                <c:pt idx="138">
                  <c:v>1489271.7</c:v>
                </c:pt>
                <c:pt idx="139">
                  <c:v>217463.35</c:v>
                </c:pt>
                <c:pt idx="140">
                  <c:v>126788</c:v>
                </c:pt>
                <c:pt idx="141">
                  <c:v>552715.9</c:v>
                </c:pt>
                <c:pt idx="142">
                  <c:v>173199.4</c:v>
                </c:pt>
                <c:pt idx="143">
                  <c:v>639725.12</c:v>
                </c:pt>
                <c:pt idx="144">
                  <c:v>54589.83</c:v>
                </c:pt>
                <c:pt idx="145">
                  <c:v>9292.68</c:v>
                </c:pt>
                <c:pt idx="146">
                  <c:v>693070.4</c:v>
                </c:pt>
                <c:pt idx="147">
                  <c:v>1148469.6600000001</c:v>
                </c:pt>
                <c:pt idx="148">
                  <c:v>359039.89</c:v>
                </c:pt>
                <c:pt idx="149">
                  <c:v>68696.789999999994</c:v>
                </c:pt>
                <c:pt idx="150">
                  <c:v>1142873.55</c:v>
                </c:pt>
                <c:pt idx="151">
                  <c:v>45875.61</c:v>
                </c:pt>
                <c:pt idx="152">
                  <c:v>11466.57</c:v>
                </c:pt>
                <c:pt idx="153">
                  <c:v>66261.66</c:v>
                </c:pt>
                <c:pt idx="154">
                  <c:v>3995586.33</c:v>
                </c:pt>
                <c:pt idx="155">
                  <c:v>2170482.9300000002</c:v>
                </c:pt>
                <c:pt idx="156">
                  <c:v>1087520.7</c:v>
                </c:pt>
                <c:pt idx="157">
                  <c:v>451558.25</c:v>
                </c:pt>
                <c:pt idx="158">
                  <c:v>4321033.82</c:v>
                </c:pt>
                <c:pt idx="159">
                  <c:v>5268940.1100000003</c:v>
                </c:pt>
                <c:pt idx="160">
                  <c:v>670746.30000000005</c:v>
                </c:pt>
                <c:pt idx="161">
                  <c:v>1224006.7</c:v>
                </c:pt>
                <c:pt idx="162">
                  <c:v>3597456.03</c:v>
                </c:pt>
                <c:pt idx="163">
                  <c:v>2931096.21</c:v>
                </c:pt>
                <c:pt idx="164">
                  <c:v>1949553.69</c:v>
                </c:pt>
                <c:pt idx="165">
                  <c:v>1057065.44</c:v>
                </c:pt>
                <c:pt idx="166">
                  <c:v>3154049.64</c:v>
                </c:pt>
                <c:pt idx="167">
                  <c:v>1201720.08</c:v>
                </c:pt>
                <c:pt idx="168">
                  <c:v>847466.4</c:v>
                </c:pt>
                <c:pt idx="169">
                  <c:v>1239136.8</c:v>
                </c:pt>
                <c:pt idx="170">
                  <c:v>1315849.9200000002</c:v>
                </c:pt>
                <c:pt idx="171">
                  <c:v>2358324.83</c:v>
                </c:pt>
                <c:pt idx="172">
                  <c:v>3741201.45</c:v>
                </c:pt>
                <c:pt idx="173">
                  <c:v>188632.84</c:v>
                </c:pt>
                <c:pt idx="174">
                  <c:v>795995.52</c:v>
                </c:pt>
                <c:pt idx="175">
                  <c:v>1043448.38</c:v>
                </c:pt>
                <c:pt idx="176">
                  <c:v>595672.32000000007</c:v>
                </c:pt>
                <c:pt idx="177">
                  <c:v>2499995.19</c:v>
                </c:pt>
                <c:pt idx="178">
                  <c:v>5710460.4900000002</c:v>
                </c:pt>
                <c:pt idx="179">
                  <c:v>138506.55000000002</c:v>
                </c:pt>
                <c:pt idx="180">
                  <c:v>1551800.7999999998</c:v>
                </c:pt>
                <c:pt idx="181">
                  <c:v>647921.12</c:v>
                </c:pt>
                <c:pt idx="182">
                  <c:v>1726234.4</c:v>
                </c:pt>
                <c:pt idx="183">
                  <c:v>4865673.87</c:v>
                </c:pt>
                <c:pt idx="184">
                  <c:v>1287442.1700000002</c:v>
                </c:pt>
                <c:pt idx="185">
                  <c:v>184580.5</c:v>
                </c:pt>
                <c:pt idx="186">
                  <c:v>69466.8</c:v>
                </c:pt>
                <c:pt idx="187">
                  <c:v>788991.18</c:v>
                </c:pt>
                <c:pt idx="188">
                  <c:v>517541.19999999995</c:v>
                </c:pt>
                <c:pt idx="189">
                  <c:v>1327339.2</c:v>
                </c:pt>
                <c:pt idx="190">
                  <c:v>30770.34</c:v>
                </c:pt>
                <c:pt idx="191">
                  <c:v>155368.73000000001</c:v>
                </c:pt>
                <c:pt idx="192">
                  <c:v>689264.44000000006</c:v>
                </c:pt>
                <c:pt idx="193">
                  <c:v>3661161.42</c:v>
                </c:pt>
                <c:pt idx="194">
                  <c:v>85901.31</c:v>
                </c:pt>
                <c:pt idx="195">
                  <c:v>1216727.5999999999</c:v>
                </c:pt>
                <c:pt idx="196">
                  <c:v>487137.72000000003</c:v>
                </c:pt>
                <c:pt idx="197">
                  <c:v>3991917.3000000003</c:v>
                </c:pt>
                <c:pt idx="198">
                  <c:v>926267.1</c:v>
                </c:pt>
                <c:pt idx="199">
                  <c:v>477727.98000000004</c:v>
                </c:pt>
                <c:pt idx="200">
                  <c:v>599909.64</c:v>
                </c:pt>
                <c:pt idx="201">
                  <c:v>33357.35</c:v>
                </c:pt>
                <c:pt idx="202">
                  <c:v>1148504.72</c:v>
                </c:pt>
                <c:pt idx="203">
                  <c:v>902324.96</c:v>
                </c:pt>
                <c:pt idx="204">
                  <c:v>836185.98</c:v>
                </c:pt>
                <c:pt idx="205">
                  <c:v>71934.3</c:v>
                </c:pt>
                <c:pt idx="206">
                  <c:v>42050.31</c:v>
                </c:pt>
                <c:pt idx="207">
                  <c:v>1518832.8</c:v>
                </c:pt>
                <c:pt idx="208">
                  <c:v>563412.29999999993</c:v>
                </c:pt>
                <c:pt idx="209">
                  <c:v>269156.64</c:v>
                </c:pt>
                <c:pt idx="210">
                  <c:v>2511955.2000000002</c:v>
                </c:pt>
                <c:pt idx="211">
                  <c:v>38187.69</c:v>
                </c:pt>
                <c:pt idx="212">
                  <c:v>227392.56</c:v>
                </c:pt>
                <c:pt idx="213">
                  <c:v>22557.48</c:v>
                </c:pt>
                <c:pt idx="214">
                  <c:v>2451180.9</c:v>
                </c:pt>
                <c:pt idx="215">
                  <c:v>836083.62</c:v>
                </c:pt>
                <c:pt idx="216">
                  <c:v>2283793.4700000002</c:v>
                </c:pt>
                <c:pt idx="217">
                  <c:v>306527</c:v>
                </c:pt>
                <c:pt idx="218">
                  <c:v>1973314.4</c:v>
                </c:pt>
                <c:pt idx="219">
                  <c:v>1176651.21</c:v>
                </c:pt>
                <c:pt idx="220">
                  <c:v>338689.12</c:v>
                </c:pt>
                <c:pt idx="221">
                  <c:v>1615667.12</c:v>
                </c:pt>
                <c:pt idx="222">
                  <c:v>609462.24</c:v>
                </c:pt>
                <c:pt idx="223">
                  <c:v>306904.39999999997</c:v>
                </c:pt>
                <c:pt idx="224">
                  <c:v>1789384.2999999998</c:v>
                </c:pt>
                <c:pt idx="225">
                  <c:v>1068200.0999999999</c:v>
                </c:pt>
                <c:pt idx="226">
                  <c:v>446404.36</c:v>
                </c:pt>
                <c:pt idx="227">
                  <c:v>2993508.4</c:v>
                </c:pt>
                <c:pt idx="228">
                  <c:v>511164.5</c:v>
                </c:pt>
                <c:pt idx="229">
                  <c:v>1289020.02</c:v>
                </c:pt>
                <c:pt idx="230">
                  <c:v>1505597.52</c:v>
                </c:pt>
                <c:pt idx="231">
                  <c:v>1822249.5999999999</c:v>
                </c:pt>
                <c:pt idx="232">
                  <c:v>89063.2</c:v>
                </c:pt>
                <c:pt idx="233">
                  <c:v>296890.64</c:v>
                </c:pt>
                <c:pt idx="234">
                  <c:v>54852.200000000004</c:v>
                </c:pt>
                <c:pt idx="235">
                  <c:v>1803371.9</c:v>
                </c:pt>
                <c:pt idx="236">
                  <c:v>5860890</c:v>
                </c:pt>
                <c:pt idx="237">
                  <c:v>1370055.58</c:v>
                </c:pt>
                <c:pt idx="238">
                  <c:v>1059787.68</c:v>
                </c:pt>
                <c:pt idx="239">
                  <c:v>917427.3</c:v>
                </c:pt>
                <c:pt idx="240">
                  <c:v>21962.82</c:v>
                </c:pt>
                <c:pt idx="241">
                  <c:v>2897962.4099999997</c:v>
                </c:pt>
                <c:pt idx="242">
                  <c:v>260669.52</c:v>
                </c:pt>
                <c:pt idx="243">
                  <c:v>49680.15</c:v>
                </c:pt>
                <c:pt idx="244">
                  <c:v>4030338.6900000004</c:v>
                </c:pt>
                <c:pt idx="245">
                  <c:v>269981.08</c:v>
                </c:pt>
                <c:pt idx="246">
                  <c:v>438212.8</c:v>
                </c:pt>
                <c:pt idx="247">
                  <c:v>87272.82</c:v>
                </c:pt>
                <c:pt idx="248">
                  <c:v>54281.94</c:v>
                </c:pt>
                <c:pt idx="249">
                  <c:v>2103369.1999999997</c:v>
                </c:pt>
                <c:pt idx="250">
                  <c:v>728874.66</c:v>
                </c:pt>
                <c:pt idx="251">
                  <c:v>2611077.21</c:v>
                </c:pt>
                <c:pt idx="252">
                  <c:v>310892.40000000002</c:v>
                </c:pt>
                <c:pt idx="253">
                  <c:v>2361754.4</c:v>
                </c:pt>
                <c:pt idx="254">
                  <c:v>1420062.06</c:v>
                </c:pt>
                <c:pt idx="255">
                  <c:v>1047309.1200000001</c:v>
                </c:pt>
                <c:pt idx="256">
                  <c:v>302809.65000000002</c:v>
                </c:pt>
                <c:pt idx="257">
                  <c:v>355400.5</c:v>
                </c:pt>
                <c:pt idx="258">
                  <c:v>743120.08</c:v>
                </c:pt>
                <c:pt idx="259">
                  <c:v>2823287.88</c:v>
                </c:pt>
                <c:pt idx="260">
                  <c:v>1092273.21</c:v>
                </c:pt>
                <c:pt idx="261">
                  <c:v>521927.78</c:v>
                </c:pt>
                <c:pt idx="262">
                  <c:v>380966.67</c:v>
                </c:pt>
                <c:pt idx="263">
                  <c:v>107750.08</c:v>
                </c:pt>
                <c:pt idx="264">
                  <c:v>404084.2</c:v>
                </c:pt>
                <c:pt idx="265">
                  <c:v>4822210.05</c:v>
                </c:pt>
                <c:pt idx="266">
                  <c:v>5743112.3799999999</c:v>
                </c:pt>
                <c:pt idx="267">
                  <c:v>552628.96</c:v>
                </c:pt>
                <c:pt idx="268">
                  <c:v>1398554.2999999998</c:v>
                </c:pt>
                <c:pt idx="269">
                  <c:v>3914057.3899999997</c:v>
                </c:pt>
                <c:pt idx="270">
                  <c:v>106003.81000000001</c:v>
                </c:pt>
                <c:pt idx="271">
                  <c:v>461052.32</c:v>
                </c:pt>
                <c:pt idx="272">
                  <c:v>1202737.2</c:v>
                </c:pt>
                <c:pt idx="273">
                  <c:v>4594937.7600000007</c:v>
                </c:pt>
                <c:pt idx="274">
                  <c:v>1824674.25</c:v>
                </c:pt>
                <c:pt idx="275">
                  <c:v>179503.35</c:v>
                </c:pt>
                <c:pt idx="276">
                  <c:v>259437.04</c:v>
                </c:pt>
                <c:pt idx="277">
                  <c:v>1298789.7999999998</c:v>
                </c:pt>
                <c:pt idx="278">
                  <c:v>326856.48</c:v>
                </c:pt>
                <c:pt idx="279">
                  <c:v>740718.99</c:v>
                </c:pt>
                <c:pt idx="280">
                  <c:v>1359487.8</c:v>
                </c:pt>
                <c:pt idx="281">
                  <c:v>977291.04</c:v>
                </c:pt>
                <c:pt idx="282">
                  <c:v>1697053.26</c:v>
                </c:pt>
                <c:pt idx="283">
                  <c:v>819354.60000000009</c:v>
                </c:pt>
                <c:pt idx="284">
                  <c:v>2486937.7600000002</c:v>
                </c:pt>
                <c:pt idx="285">
                  <c:v>171745.38999999998</c:v>
                </c:pt>
                <c:pt idx="286">
                  <c:v>927022.24</c:v>
                </c:pt>
                <c:pt idx="287">
                  <c:v>380454.10000000003</c:v>
                </c:pt>
                <c:pt idx="288">
                  <c:v>450442.85000000003</c:v>
                </c:pt>
                <c:pt idx="289">
                  <c:v>1145131.8999999999</c:v>
                </c:pt>
                <c:pt idx="290">
                  <c:v>1220829.5</c:v>
                </c:pt>
                <c:pt idx="291">
                  <c:v>1013866.7999999999</c:v>
                </c:pt>
                <c:pt idx="292">
                  <c:v>530062.92000000004</c:v>
                </c:pt>
                <c:pt idx="293">
                  <c:v>81756.399999999994</c:v>
                </c:pt>
                <c:pt idx="294">
                  <c:v>178431.54</c:v>
                </c:pt>
                <c:pt idx="295">
                  <c:v>2395747.9499999997</c:v>
                </c:pt>
                <c:pt idx="296">
                  <c:v>1786704.72</c:v>
                </c:pt>
                <c:pt idx="297">
                  <c:v>4121921.6</c:v>
                </c:pt>
                <c:pt idx="298">
                  <c:v>2978643.6</c:v>
                </c:pt>
                <c:pt idx="299">
                  <c:v>4764096.83</c:v>
                </c:pt>
                <c:pt idx="300">
                  <c:v>439707.4</c:v>
                </c:pt>
                <c:pt idx="301">
                  <c:v>80256.66</c:v>
                </c:pt>
                <c:pt idx="302">
                  <c:v>562645.44000000006</c:v>
                </c:pt>
                <c:pt idx="303">
                  <c:v>3486077.07</c:v>
                </c:pt>
                <c:pt idx="304">
                  <c:v>599486.82000000007</c:v>
                </c:pt>
                <c:pt idx="305">
                  <c:v>330462.72000000003</c:v>
                </c:pt>
                <c:pt idx="306">
                  <c:v>3265428.6</c:v>
                </c:pt>
                <c:pt idx="307">
                  <c:v>1005560</c:v>
                </c:pt>
                <c:pt idx="308">
                  <c:v>2032028.8</c:v>
                </c:pt>
                <c:pt idx="309">
                  <c:v>874786.4</c:v>
                </c:pt>
                <c:pt idx="310">
                  <c:v>225002.69</c:v>
                </c:pt>
                <c:pt idx="311">
                  <c:v>936346.39999999991</c:v>
                </c:pt>
                <c:pt idx="312">
                  <c:v>25965.39</c:v>
                </c:pt>
                <c:pt idx="313">
                  <c:v>723882.61</c:v>
                </c:pt>
                <c:pt idx="314">
                  <c:v>185384.7</c:v>
                </c:pt>
                <c:pt idx="315">
                  <c:v>216852.93000000002</c:v>
                </c:pt>
                <c:pt idx="316">
                  <c:v>566529.54</c:v>
                </c:pt>
                <c:pt idx="317">
                  <c:v>581530.53</c:v>
                </c:pt>
                <c:pt idx="318">
                  <c:v>689801.20000000007</c:v>
                </c:pt>
                <c:pt idx="319">
                  <c:v>763059.18</c:v>
                </c:pt>
                <c:pt idx="320">
                  <c:v>1547252.08</c:v>
                </c:pt>
                <c:pt idx="321">
                  <c:v>3976735.1399999997</c:v>
                </c:pt>
                <c:pt idx="322">
                  <c:v>462163</c:v>
                </c:pt>
                <c:pt idx="323">
                  <c:v>766438.2</c:v>
                </c:pt>
                <c:pt idx="324">
                  <c:v>243893.00000000003</c:v>
                </c:pt>
                <c:pt idx="325">
                  <c:v>2493575.04</c:v>
                </c:pt>
                <c:pt idx="326">
                  <c:v>186684.4</c:v>
                </c:pt>
                <c:pt idx="327">
                  <c:v>299819.7</c:v>
                </c:pt>
                <c:pt idx="328">
                  <c:v>684420.64</c:v>
                </c:pt>
                <c:pt idx="329">
                  <c:v>3161830.4</c:v>
                </c:pt>
                <c:pt idx="330">
                  <c:v>2452446.5699999998</c:v>
                </c:pt>
                <c:pt idx="331">
                  <c:v>236395.90000000002</c:v>
                </c:pt>
                <c:pt idx="332">
                  <c:v>723534.3600000001</c:v>
                </c:pt>
                <c:pt idx="333">
                  <c:v>3116798.8</c:v>
                </c:pt>
                <c:pt idx="334">
                  <c:v>249308.4</c:v>
                </c:pt>
                <c:pt idx="335">
                  <c:v>3412246.32</c:v>
                </c:pt>
                <c:pt idx="336">
                  <c:v>907259.34</c:v>
                </c:pt>
                <c:pt idx="337">
                  <c:v>735328.38</c:v>
                </c:pt>
                <c:pt idx="338">
                  <c:v>18053.55</c:v>
                </c:pt>
                <c:pt idx="339">
                  <c:v>721029.44000000006</c:v>
                </c:pt>
                <c:pt idx="340">
                  <c:v>2116622.13</c:v>
                </c:pt>
                <c:pt idx="341">
                  <c:v>598526.56000000006</c:v>
                </c:pt>
                <c:pt idx="342">
                  <c:v>1441011.2</c:v>
                </c:pt>
                <c:pt idx="343">
                  <c:v>1486495.44</c:v>
                </c:pt>
                <c:pt idx="344">
                  <c:v>3138017.82</c:v>
                </c:pt>
                <c:pt idx="345">
                  <c:v>497442.56</c:v>
                </c:pt>
                <c:pt idx="346">
                  <c:v>124654.2</c:v>
                </c:pt>
                <c:pt idx="347">
                  <c:v>165768.56</c:v>
                </c:pt>
                <c:pt idx="348">
                  <c:v>3571298.85</c:v>
                </c:pt>
                <c:pt idx="349">
                  <c:v>3084437.79</c:v>
                </c:pt>
                <c:pt idx="350">
                  <c:v>4013058.8</c:v>
                </c:pt>
                <c:pt idx="351">
                  <c:v>1957742.32</c:v>
                </c:pt>
                <c:pt idx="352">
                  <c:v>161851.95000000001</c:v>
                </c:pt>
                <c:pt idx="353">
                  <c:v>84585.78</c:v>
                </c:pt>
                <c:pt idx="354">
                  <c:v>353563.98000000004</c:v>
                </c:pt>
                <c:pt idx="355">
                  <c:v>8536.9500000000007</c:v>
                </c:pt>
                <c:pt idx="356">
                  <c:v>829216.64</c:v>
                </c:pt>
                <c:pt idx="357">
                  <c:v>1055446.7</c:v>
                </c:pt>
                <c:pt idx="358">
                  <c:v>909515.47</c:v>
                </c:pt>
                <c:pt idx="359">
                  <c:v>943925.62</c:v>
                </c:pt>
                <c:pt idx="360">
                  <c:v>971810.48</c:v>
                </c:pt>
                <c:pt idx="361">
                  <c:v>532038.57000000007</c:v>
                </c:pt>
                <c:pt idx="362">
                  <c:v>457279.35000000003</c:v>
                </c:pt>
                <c:pt idx="363">
                  <c:v>3635004.2399999998</c:v>
                </c:pt>
                <c:pt idx="364">
                  <c:v>231793.25</c:v>
                </c:pt>
                <c:pt idx="365">
                  <c:v>935788.77</c:v>
                </c:pt>
                <c:pt idx="366">
                  <c:v>191329.93000000002</c:v>
                </c:pt>
                <c:pt idx="367">
                  <c:v>563783.10000000009</c:v>
                </c:pt>
                <c:pt idx="368">
                  <c:v>5766501.8300000001</c:v>
                </c:pt>
                <c:pt idx="369">
                  <c:v>1007308.7999999999</c:v>
                </c:pt>
                <c:pt idx="370">
                  <c:v>1054632.9600000002</c:v>
                </c:pt>
                <c:pt idx="371">
                  <c:v>4462707.0599999996</c:v>
                </c:pt>
                <c:pt idx="372">
                  <c:v>311994.40000000002</c:v>
                </c:pt>
                <c:pt idx="373">
                  <c:v>1795761</c:v>
                </c:pt>
                <c:pt idx="374">
                  <c:v>377674.33</c:v>
                </c:pt>
                <c:pt idx="375">
                  <c:v>591387.5</c:v>
                </c:pt>
                <c:pt idx="376">
                  <c:v>1212511.8599999999</c:v>
                </c:pt>
                <c:pt idx="377">
                  <c:v>2635441.6</c:v>
                </c:pt>
                <c:pt idx="378">
                  <c:v>160240.29999999999</c:v>
                </c:pt>
                <c:pt idx="379">
                  <c:v>3206785.8899999997</c:v>
                </c:pt>
                <c:pt idx="380">
                  <c:v>1020864.72</c:v>
                </c:pt>
                <c:pt idx="381">
                  <c:v>1450883.2200000002</c:v>
                </c:pt>
                <c:pt idx="382">
                  <c:v>294901.11</c:v>
                </c:pt>
                <c:pt idx="383">
                  <c:v>1574311.76</c:v>
                </c:pt>
                <c:pt idx="384">
                  <c:v>126109.39</c:v>
                </c:pt>
                <c:pt idx="385">
                  <c:v>41863.71</c:v>
                </c:pt>
                <c:pt idx="386">
                  <c:v>1994055.7999999998</c:v>
                </c:pt>
                <c:pt idx="387">
                  <c:v>592773.30000000005</c:v>
                </c:pt>
                <c:pt idx="388">
                  <c:v>532038.57000000007</c:v>
                </c:pt>
                <c:pt idx="389">
                  <c:v>512855.75</c:v>
                </c:pt>
                <c:pt idx="390">
                  <c:v>785241.28</c:v>
                </c:pt>
                <c:pt idx="391">
                  <c:v>2653366.7999999998</c:v>
                </c:pt>
                <c:pt idx="392">
                  <c:v>779712.8</c:v>
                </c:pt>
                <c:pt idx="393">
                  <c:v>37848.799999999996</c:v>
                </c:pt>
                <c:pt idx="394">
                  <c:v>2597998.62</c:v>
                </c:pt>
                <c:pt idx="395">
                  <c:v>1237255.8600000001</c:v>
                </c:pt>
                <c:pt idx="396">
                  <c:v>634807.52</c:v>
                </c:pt>
                <c:pt idx="397">
                  <c:v>72456.150000000009</c:v>
                </c:pt>
                <c:pt idx="398">
                  <c:v>648770.16</c:v>
                </c:pt>
                <c:pt idx="399">
                  <c:v>3310100.43</c:v>
                </c:pt>
                <c:pt idx="400">
                  <c:v>235061.28</c:v>
                </c:pt>
                <c:pt idx="401">
                  <c:v>865200.96</c:v>
                </c:pt>
                <c:pt idx="402">
                  <c:v>24920.43</c:v>
                </c:pt>
                <c:pt idx="403">
                  <c:v>387248.04000000004</c:v>
                </c:pt>
                <c:pt idx="404">
                  <c:v>224902.92</c:v>
                </c:pt>
                <c:pt idx="405">
                  <c:v>5189116.55</c:v>
                </c:pt>
                <c:pt idx="406">
                  <c:v>1026405.66</c:v>
                </c:pt>
                <c:pt idx="407">
                  <c:v>466596.57</c:v>
                </c:pt>
                <c:pt idx="408">
                  <c:v>84819.03</c:v>
                </c:pt>
                <c:pt idx="409">
                  <c:v>155873.25</c:v>
                </c:pt>
                <c:pt idx="410">
                  <c:v>82183.400000000009</c:v>
                </c:pt>
                <c:pt idx="411">
                  <c:v>2529058.96</c:v>
                </c:pt>
                <c:pt idx="412">
                  <c:v>2929.62</c:v>
                </c:pt>
                <c:pt idx="413">
                  <c:v>3159534.21</c:v>
                </c:pt>
                <c:pt idx="414">
                  <c:v>2004810</c:v>
                </c:pt>
                <c:pt idx="415">
                  <c:v>4151.8500000000004</c:v>
                </c:pt>
                <c:pt idx="416">
                  <c:v>93593.5</c:v>
                </c:pt>
                <c:pt idx="417">
                  <c:v>465043.7</c:v>
                </c:pt>
                <c:pt idx="418">
                  <c:v>900172.58</c:v>
                </c:pt>
                <c:pt idx="419">
                  <c:v>215522.01</c:v>
                </c:pt>
                <c:pt idx="420">
                  <c:v>229041.15000000002</c:v>
                </c:pt>
                <c:pt idx="421">
                  <c:v>492992</c:v>
                </c:pt>
                <c:pt idx="422">
                  <c:v>1146160.3999999999</c:v>
                </c:pt>
                <c:pt idx="423">
                  <c:v>16728.689999999999</c:v>
                </c:pt>
                <c:pt idx="424">
                  <c:v>414855.35000000003</c:v>
                </c:pt>
                <c:pt idx="425">
                  <c:v>252955.95</c:v>
                </c:pt>
                <c:pt idx="426">
                  <c:v>69993.66</c:v>
                </c:pt>
                <c:pt idx="427">
                  <c:v>2102105.88</c:v>
                </c:pt>
                <c:pt idx="428">
                  <c:v>4893191.9400000004</c:v>
                </c:pt>
                <c:pt idx="429">
                  <c:v>808344.16</c:v>
                </c:pt>
                <c:pt idx="430">
                  <c:v>329492.80000000005</c:v>
                </c:pt>
                <c:pt idx="431">
                  <c:v>347097.18</c:v>
                </c:pt>
                <c:pt idx="432">
                  <c:v>527485.42000000004</c:v>
                </c:pt>
                <c:pt idx="433">
                  <c:v>718499.22000000009</c:v>
                </c:pt>
                <c:pt idx="434">
                  <c:v>1418892.6</c:v>
                </c:pt>
                <c:pt idx="435">
                  <c:v>38999.4</c:v>
                </c:pt>
                <c:pt idx="436">
                  <c:v>584736.25</c:v>
                </c:pt>
                <c:pt idx="437">
                  <c:v>1088476.2</c:v>
                </c:pt>
                <c:pt idx="438">
                  <c:v>1466904.12</c:v>
                </c:pt>
                <c:pt idx="439">
                  <c:v>666001.38</c:v>
                </c:pt>
                <c:pt idx="440">
                  <c:v>929212.20000000007</c:v>
                </c:pt>
                <c:pt idx="441">
                  <c:v>1614135.44</c:v>
                </c:pt>
                <c:pt idx="442">
                  <c:v>1462692.63</c:v>
                </c:pt>
                <c:pt idx="443">
                  <c:v>873584.32000000007</c:v>
                </c:pt>
                <c:pt idx="444">
                  <c:v>1141584.6000000001</c:v>
                </c:pt>
                <c:pt idx="445">
                  <c:v>527362.5</c:v>
                </c:pt>
                <c:pt idx="446">
                  <c:v>497163.59</c:v>
                </c:pt>
                <c:pt idx="447">
                  <c:v>77052.900000000009</c:v>
                </c:pt>
                <c:pt idx="448">
                  <c:v>22954.94</c:v>
                </c:pt>
                <c:pt idx="449">
                  <c:v>1169072.8</c:v>
                </c:pt>
                <c:pt idx="450">
                  <c:v>427208.38</c:v>
                </c:pt>
                <c:pt idx="451">
                  <c:v>783428.32000000007</c:v>
                </c:pt>
                <c:pt idx="452">
                  <c:v>4205426.8</c:v>
                </c:pt>
                <c:pt idx="453">
                  <c:v>909878.36</c:v>
                </c:pt>
                <c:pt idx="454">
                  <c:v>2259228</c:v>
                </c:pt>
                <c:pt idx="455">
                  <c:v>2204622.73</c:v>
                </c:pt>
                <c:pt idx="456">
                  <c:v>53713.4</c:v>
                </c:pt>
                <c:pt idx="457">
                  <c:v>2737309.1999999997</c:v>
                </c:pt>
                <c:pt idx="458">
                  <c:v>1052038.56</c:v>
                </c:pt>
                <c:pt idx="459">
                  <c:v>199574.7</c:v>
                </c:pt>
                <c:pt idx="460">
                  <c:v>47.45</c:v>
                </c:pt>
                <c:pt idx="461">
                  <c:v>1380696.4200000002</c:v>
                </c:pt>
                <c:pt idx="462">
                  <c:v>45569.760000000002</c:v>
                </c:pt>
                <c:pt idx="463">
                  <c:v>425241.19</c:v>
                </c:pt>
                <c:pt idx="464">
                  <c:v>237098.34</c:v>
                </c:pt>
                <c:pt idx="465">
                  <c:v>783300.32000000007</c:v>
                </c:pt>
                <c:pt idx="466">
                  <c:v>1006165.86</c:v>
                </c:pt>
                <c:pt idx="467">
                  <c:v>409469.12</c:v>
                </c:pt>
                <c:pt idx="468">
                  <c:v>162841.42000000001</c:v>
                </c:pt>
                <c:pt idx="469">
                  <c:v>2123762.06</c:v>
                </c:pt>
                <c:pt idx="470">
                  <c:v>2193262.14</c:v>
                </c:pt>
                <c:pt idx="471">
                  <c:v>1343249.1400000001</c:v>
                </c:pt>
                <c:pt idx="472">
                  <c:v>36097.769999999997</c:v>
                </c:pt>
                <c:pt idx="473">
                  <c:v>792330.58</c:v>
                </c:pt>
                <c:pt idx="474">
                  <c:v>283893.35000000003</c:v>
                </c:pt>
                <c:pt idx="475">
                  <c:v>284256.54000000004</c:v>
                </c:pt>
                <c:pt idx="476">
                  <c:v>2311476.4</c:v>
                </c:pt>
                <c:pt idx="477">
                  <c:v>86659.040000000008</c:v>
                </c:pt>
                <c:pt idx="478">
                  <c:v>1532280.76</c:v>
                </c:pt>
                <c:pt idx="479">
                  <c:v>4241509.6899999995</c:v>
                </c:pt>
                <c:pt idx="480">
                  <c:v>406355.04000000004</c:v>
                </c:pt>
                <c:pt idx="481">
                  <c:v>1118802.3</c:v>
                </c:pt>
                <c:pt idx="482">
                  <c:v>4515.72</c:v>
                </c:pt>
                <c:pt idx="483">
                  <c:v>1539253.0999999999</c:v>
                </c:pt>
                <c:pt idx="484">
                  <c:v>48432.03</c:v>
                </c:pt>
                <c:pt idx="485">
                  <c:v>2936378.38</c:v>
                </c:pt>
                <c:pt idx="486">
                  <c:v>317895.52</c:v>
                </c:pt>
                <c:pt idx="487">
                  <c:v>90125.1</c:v>
                </c:pt>
                <c:pt idx="488">
                  <c:v>470122.56</c:v>
                </c:pt>
                <c:pt idx="489">
                  <c:v>242819.83000000002</c:v>
                </c:pt>
                <c:pt idx="490">
                  <c:v>646879.52</c:v>
                </c:pt>
                <c:pt idx="491">
                  <c:v>78869.45</c:v>
                </c:pt>
                <c:pt idx="492">
                  <c:v>1429206.8</c:v>
                </c:pt>
                <c:pt idx="493">
                  <c:v>60477.06</c:v>
                </c:pt>
                <c:pt idx="494">
                  <c:v>3041801.91</c:v>
                </c:pt>
                <c:pt idx="495">
                  <c:v>809429.5</c:v>
                </c:pt>
                <c:pt idx="496">
                  <c:v>1129702.32</c:v>
                </c:pt>
                <c:pt idx="497">
                  <c:v>159716.53</c:v>
                </c:pt>
                <c:pt idx="498">
                  <c:v>953008.1</c:v>
                </c:pt>
                <c:pt idx="499">
                  <c:v>989005.6</c:v>
                </c:pt>
                <c:pt idx="500">
                  <c:v>308364.18000000005</c:v>
                </c:pt>
                <c:pt idx="501">
                  <c:v>4177883.1999999997</c:v>
                </c:pt>
                <c:pt idx="502">
                  <c:v>72139.56</c:v>
                </c:pt>
                <c:pt idx="503">
                  <c:v>5944929.9199999999</c:v>
                </c:pt>
                <c:pt idx="504">
                  <c:v>1582440.3</c:v>
                </c:pt>
                <c:pt idx="505">
                  <c:v>2487448.3199999998</c:v>
                </c:pt>
                <c:pt idx="506">
                  <c:v>1908896</c:v>
                </c:pt>
                <c:pt idx="507">
                  <c:v>14116.29</c:v>
                </c:pt>
                <c:pt idx="508">
                  <c:v>602080.68000000005</c:v>
                </c:pt>
                <c:pt idx="509">
                  <c:v>57062.28</c:v>
                </c:pt>
                <c:pt idx="510">
                  <c:v>217842.95</c:v>
                </c:pt>
                <c:pt idx="511">
                  <c:v>1215910.02</c:v>
                </c:pt>
                <c:pt idx="512">
                  <c:v>289632.8</c:v>
                </c:pt>
                <c:pt idx="513">
                  <c:v>613929.1</c:v>
                </c:pt>
                <c:pt idx="514">
                  <c:v>425958.65</c:v>
                </c:pt>
                <c:pt idx="515">
                  <c:v>545931.24</c:v>
                </c:pt>
                <c:pt idx="516">
                  <c:v>317806.5</c:v>
                </c:pt>
                <c:pt idx="517">
                  <c:v>80825.789999999994</c:v>
                </c:pt>
                <c:pt idx="518">
                  <c:v>72298.17</c:v>
                </c:pt>
                <c:pt idx="519">
                  <c:v>562781.18000000005</c:v>
                </c:pt>
                <c:pt idx="520">
                  <c:v>1271611.24</c:v>
                </c:pt>
                <c:pt idx="521">
                  <c:v>3557560.23</c:v>
                </c:pt>
                <c:pt idx="522">
                  <c:v>2720258.4</c:v>
                </c:pt>
                <c:pt idx="523">
                  <c:v>2342954.62</c:v>
                </c:pt>
                <c:pt idx="524">
                  <c:v>68276.94</c:v>
                </c:pt>
                <c:pt idx="525">
                  <c:v>460075.2</c:v>
                </c:pt>
                <c:pt idx="526">
                  <c:v>1481094.06</c:v>
                </c:pt>
                <c:pt idx="527">
                  <c:v>400857.60000000003</c:v>
                </c:pt>
                <c:pt idx="528">
                  <c:v>833290.7</c:v>
                </c:pt>
                <c:pt idx="529">
                  <c:v>1704249.28</c:v>
                </c:pt>
                <c:pt idx="530">
                  <c:v>2349637.3199999998</c:v>
                </c:pt>
                <c:pt idx="531">
                  <c:v>2470690.7400000002</c:v>
                </c:pt>
                <c:pt idx="532">
                  <c:v>774460.5</c:v>
                </c:pt>
                <c:pt idx="533">
                  <c:v>81376.75</c:v>
                </c:pt>
                <c:pt idx="534">
                  <c:v>1980084.01</c:v>
                </c:pt>
                <c:pt idx="535">
                  <c:v>747961.3</c:v>
                </c:pt>
                <c:pt idx="536">
                  <c:v>1153944.1200000001</c:v>
                </c:pt>
                <c:pt idx="537">
                  <c:v>5978.7000000000007</c:v>
                </c:pt>
                <c:pt idx="538">
                  <c:v>690946.29999999993</c:v>
                </c:pt>
                <c:pt idx="539">
                  <c:v>329492.80000000005</c:v>
                </c:pt>
                <c:pt idx="540">
                  <c:v>521647.16000000003</c:v>
                </c:pt>
                <c:pt idx="541">
                  <c:v>3157021.1999999997</c:v>
                </c:pt>
                <c:pt idx="542">
                  <c:v>158.61000000000001</c:v>
                </c:pt>
                <c:pt idx="543">
                  <c:v>827764.38</c:v>
                </c:pt>
                <c:pt idx="544">
                  <c:v>1000187.04</c:v>
                </c:pt>
                <c:pt idx="545">
                  <c:v>1268397.54</c:v>
                </c:pt>
                <c:pt idx="546">
                  <c:v>1271149.06</c:v>
                </c:pt>
                <c:pt idx="547">
                  <c:v>832323.9</c:v>
                </c:pt>
                <c:pt idx="548">
                  <c:v>948550.4</c:v>
                </c:pt>
                <c:pt idx="549">
                  <c:v>3809323.6</c:v>
                </c:pt>
                <c:pt idx="550">
                  <c:v>1422191.19</c:v>
                </c:pt>
                <c:pt idx="551">
                  <c:v>1672011.54</c:v>
                </c:pt>
                <c:pt idx="552">
                  <c:v>1995454.22</c:v>
                </c:pt>
                <c:pt idx="553">
                  <c:v>1575759.15</c:v>
                </c:pt>
                <c:pt idx="554">
                  <c:v>176398.48</c:v>
                </c:pt>
                <c:pt idx="555">
                  <c:v>86691.150000000009</c:v>
                </c:pt>
                <c:pt idx="556">
                  <c:v>442049.3</c:v>
                </c:pt>
                <c:pt idx="557">
                  <c:v>412435.4</c:v>
                </c:pt>
                <c:pt idx="558">
                  <c:v>1136081.0999999999</c:v>
                </c:pt>
                <c:pt idx="559">
                  <c:v>2231913.04</c:v>
                </c:pt>
                <c:pt idx="560">
                  <c:v>646618.79999999993</c:v>
                </c:pt>
                <c:pt idx="561">
                  <c:v>5943593.3799999999</c:v>
                </c:pt>
                <c:pt idx="562">
                  <c:v>811790.4</c:v>
                </c:pt>
                <c:pt idx="563">
                  <c:v>1760997.7</c:v>
                </c:pt>
                <c:pt idx="564">
                  <c:v>1294058.7</c:v>
                </c:pt>
                <c:pt idx="565">
                  <c:v>2464983.6800000002</c:v>
                </c:pt>
                <c:pt idx="566">
                  <c:v>1369405.5</c:v>
                </c:pt>
                <c:pt idx="567">
                  <c:v>61531.35</c:v>
                </c:pt>
                <c:pt idx="568">
                  <c:v>828931.2</c:v>
                </c:pt>
                <c:pt idx="569">
                  <c:v>2749988</c:v>
                </c:pt>
                <c:pt idx="570">
                  <c:v>389991.55000000005</c:v>
                </c:pt>
                <c:pt idx="571">
                  <c:v>1244442.4800000002</c:v>
                </c:pt>
                <c:pt idx="572">
                  <c:v>294800.11</c:v>
                </c:pt>
                <c:pt idx="573">
                  <c:v>38318.31</c:v>
                </c:pt>
                <c:pt idx="574">
                  <c:v>4053782.25</c:v>
                </c:pt>
                <c:pt idx="575">
                  <c:v>1760380.5999999999</c:v>
                </c:pt>
                <c:pt idx="576">
                  <c:v>2841851.04</c:v>
                </c:pt>
                <c:pt idx="577">
                  <c:v>5627501.6699999999</c:v>
                </c:pt>
                <c:pt idx="578">
                  <c:v>678849.38</c:v>
                </c:pt>
                <c:pt idx="579">
                  <c:v>640138.39999999991</c:v>
                </c:pt>
                <c:pt idx="580">
                  <c:v>2884208.4</c:v>
                </c:pt>
                <c:pt idx="581">
                  <c:v>2959749.45</c:v>
                </c:pt>
                <c:pt idx="582">
                  <c:v>798829.02</c:v>
                </c:pt>
                <c:pt idx="583">
                  <c:v>3118110.4</c:v>
                </c:pt>
                <c:pt idx="584">
                  <c:v>1297082.58</c:v>
                </c:pt>
                <c:pt idx="585">
                  <c:v>369588.05000000005</c:v>
                </c:pt>
                <c:pt idx="586">
                  <c:v>649232.48</c:v>
                </c:pt>
                <c:pt idx="587">
                  <c:v>484658.9</c:v>
                </c:pt>
                <c:pt idx="588">
                  <c:v>848012.80000000005</c:v>
                </c:pt>
                <c:pt idx="589">
                  <c:v>32356.44</c:v>
                </c:pt>
                <c:pt idx="590">
                  <c:v>927301.2</c:v>
                </c:pt>
                <c:pt idx="591">
                  <c:v>3137529.7800000003</c:v>
                </c:pt>
                <c:pt idx="592">
                  <c:v>2473407.92</c:v>
                </c:pt>
                <c:pt idx="593">
                  <c:v>4607053.38</c:v>
                </c:pt>
                <c:pt idx="594">
                  <c:v>745868.2</c:v>
                </c:pt>
                <c:pt idx="595">
                  <c:v>2325345.52</c:v>
                </c:pt>
                <c:pt idx="596">
                  <c:v>2450177.44</c:v>
                </c:pt>
                <c:pt idx="597">
                  <c:v>2199787.3800000004</c:v>
                </c:pt>
                <c:pt idx="598">
                  <c:v>880081.44000000006</c:v>
                </c:pt>
                <c:pt idx="599">
                  <c:v>1736077.3499999999</c:v>
                </c:pt>
                <c:pt idx="600">
                  <c:v>306093.28000000003</c:v>
                </c:pt>
                <c:pt idx="601">
                  <c:v>5502535.1799999997</c:v>
                </c:pt>
                <c:pt idx="602">
                  <c:v>1628495.4</c:v>
                </c:pt>
                <c:pt idx="603">
                  <c:v>1059355</c:v>
                </c:pt>
                <c:pt idx="604">
                  <c:v>376693.57</c:v>
                </c:pt>
                <c:pt idx="605">
                  <c:v>740372</c:v>
                </c:pt>
                <c:pt idx="606">
                  <c:v>494994.78</c:v>
                </c:pt>
                <c:pt idx="607">
                  <c:v>1547686.7999999998</c:v>
                </c:pt>
                <c:pt idx="608">
                  <c:v>36718.080000000002</c:v>
                </c:pt>
                <c:pt idx="609">
                  <c:v>471106.08</c:v>
                </c:pt>
                <c:pt idx="610">
                  <c:v>747175.66</c:v>
                </c:pt>
                <c:pt idx="611">
                  <c:v>4377836.7699999996</c:v>
                </c:pt>
                <c:pt idx="612">
                  <c:v>3447505.74</c:v>
                </c:pt>
                <c:pt idx="613">
                  <c:v>292149.65000000002</c:v>
                </c:pt>
                <c:pt idx="614">
                  <c:v>2935510.62</c:v>
                </c:pt>
                <c:pt idx="615">
                  <c:v>1551800.7999999998</c:v>
                </c:pt>
                <c:pt idx="616">
                  <c:v>731773.68</c:v>
                </c:pt>
                <c:pt idx="617">
                  <c:v>623191.25</c:v>
                </c:pt>
                <c:pt idx="618">
                  <c:v>18408.09</c:v>
                </c:pt>
                <c:pt idx="619">
                  <c:v>2452868.46</c:v>
                </c:pt>
                <c:pt idx="620">
                  <c:v>1815691.5999999999</c:v>
                </c:pt>
                <c:pt idx="621">
                  <c:v>614287.08000000007</c:v>
                </c:pt>
                <c:pt idx="622">
                  <c:v>2425415.2799999998</c:v>
                </c:pt>
                <c:pt idx="623">
                  <c:v>2918310</c:v>
                </c:pt>
                <c:pt idx="624">
                  <c:v>5799915.3300000001</c:v>
                </c:pt>
                <c:pt idx="625">
                  <c:v>31981.300000000003</c:v>
                </c:pt>
                <c:pt idx="626">
                  <c:v>998262.1</c:v>
                </c:pt>
                <c:pt idx="627">
                  <c:v>50745.87</c:v>
                </c:pt>
                <c:pt idx="628">
                  <c:v>301256.78000000003</c:v>
                </c:pt>
                <c:pt idx="629">
                  <c:v>592827.4</c:v>
                </c:pt>
                <c:pt idx="630">
                  <c:v>273223.39</c:v>
                </c:pt>
                <c:pt idx="631">
                  <c:v>1893667.04</c:v>
                </c:pt>
                <c:pt idx="632">
                  <c:v>922975.89999999991</c:v>
                </c:pt>
                <c:pt idx="633">
                  <c:v>2514464.4</c:v>
                </c:pt>
                <c:pt idx="634">
                  <c:v>13380.900000000001</c:v>
                </c:pt>
                <c:pt idx="635">
                  <c:v>5295371.4799999995</c:v>
                </c:pt>
                <c:pt idx="636">
                  <c:v>4163185.5300000003</c:v>
                </c:pt>
                <c:pt idx="637">
                  <c:v>3401269.83</c:v>
                </c:pt>
                <c:pt idx="638">
                  <c:v>202203.09999999998</c:v>
                </c:pt>
                <c:pt idx="639">
                  <c:v>958112.19</c:v>
                </c:pt>
                <c:pt idx="640">
                  <c:v>719872.44000000006</c:v>
                </c:pt>
                <c:pt idx="641">
                  <c:v>2615767.6</c:v>
                </c:pt>
                <c:pt idx="642">
                  <c:v>494919.60000000003</c:v>
                </c:pt>
                <c:pt idx="643">
                  <c:v>471663.83</c:v>
                </c:pt>
                <c:pt idx="644">
                  <c:v>2013680.97</c:v>
                </c:pt>
                <c:pt idx="645">
                  <c:v>388053.28</c:v>
                </c:pt>
                <c:pt idx="646">
                  <c:v>2152335.6</c:v>
                </c:pt>
                <c:pt idx="647">
                  <c:v>34866.21</c:v>
                </c:pt>
                <c:pt idx="648">
                  <c:v>152998.56</c:v>
                </c:pt>
                <c:pt idx="649">
                  <c:v>1367345.49</c:v>
                </c:pt>
                <c:pt idx="650">
                  <c:v>3706725.54</c:v>
                </c:pt>
                <c:pt idx="651">
                  <c:v>989039.6</c:v>
                </c:pt>
                <c:pt idx="652">
                  <c:v>864806.88</c:v>
                </c:pt>
                <c:pt idx="653">
                  <c:v>244586.82</c:v>
                </c:pt>
                <c:pt idx="654">
                  <c:v>5119616.47</c:v>
                </c:pt>
                <c:pt idx="655">
                  <c:v>1885643.5999999999</c:v>
                </c:pt>
                <c:pt idx="656">
                  <c:v>3694777.1999999997</c:v>
                </c:pt>
                <c:pt idx="657">
                  <c:v>153685.56</c:v>
                </c:pt>
                <c:pt idx="658">
                  <c:v>1046851.3800000001</c:v>
                </c:pt>
                <c:pt idx="659">
                  <c:v>824954.72</c:v>
                </c:pt>
                <c:pt idx="660">
                  <c:v>1759969.2</c:v>
                </c:pt>
                <c:pt idx="661">
                  <c:v>2084616.48</c:v>
                </c:pt>
                <c:pt idx="662">
                  <c:v>742365.6</c:v>
                </c:pt>
                <c:pt idx="663">
                  <c:v>991922.58000000007</c:v>
                </c:pt>
                <c:pt idx="664">
                  <c:v>64880.82</c:v>
                </c:pt>
                <c:pt idx="665">
                  <c:v>6327180.3599999994</c:v>
                </c:pt>
                <c:pt idx="666">
                  <c:v>1539664.5</c:v>
                </c:pt>
                <c:pt idx="667">
                  <c:v>529610.4</c:v>
                </c:pt>
                <c:pt idx="668">
                  <c:v>1842660.5999999999</c:v>
                </c:pt>
                <c:pt idx="669">
                  <c:v>3988126.17</c:v>
                </c:pt>
                <c:pt idx="670">
                  <c:v>6371954.4500000002</c:v>
                </c:pt>
                <c:pt idx="671">
                  <c:v>575960</c:v>
                </c:pt>
                <c:pt idx="672">
                  <c:v>6602507.5999999996</c:v>
                </c:pt>
                <c:pt idx="673">
                  <c:v>524112.30000000005</c:v>
                </c:pt>
                <c:pt idx="674">
                  <c:v>649600.6</c:v>
                </c:pt>
                <c:pt idx="675">
                  <c:v>84473.44</c:v>
                </c:pt>
                <c:pt idx="676">
                  <c:v>775383.98</c:v>
                </c:pt>
                <c:pt idx="677">
                  <c:v>1026405.66</c:v>
                </c:pt>
                <c:pt idx="678">
                  <c:v>2451882.63</c:v>
                </c:pt>
                <c:pt idx="679">
                  <c:v>624098.07999999996</c:v>
                </c:pt>
                <c:pt idx="680">
                  <c:v>4253956</c:v>
                </c:pt>
                <c:pt idx="681">
                  <c:v>707818.62000000011</c:v>
                </c:pt>
                <c:pt idx="682">
                  <c:v>521437.4</c:v>
                </c:pt>
                <c:pt idx="683">
                  <c:v>27299.58</c:v>
                </c:pt>
                <c:pt idx="684">
                  <c:v>3916404.8699999996</c:v>
                </c:pt>
                <c:pt idx="685">
                  <c:v>379313.88</c:v>
                </c:pt>
                <c:pt idx="686">
                  <c:v>1358237.0999999999</c:v>
                </c:pt>
                <c:pt idx="687">
                  <c:v>5035806.9300000006</c:v>
                </c:pt>
                <c:pt idx="688">
                  <c:v>5863494.8400000008</c:v>
                </c:pt>
                <c:pt idx="689">
                  <c:v>52061.4</c:v>
                </c:pt>
                <c:pt idx="690">
                  <c:v>1486833.06</c:v>
                </c:pt>
                <c:pt idx="691">
                  <c:v>444692.93</c:v>
                </c:pt>
                <c:pt idx="692">
                  <c:v>647976.36</c:v>
                </c:pt>
                <c:pt idx="693">
                  <c:v>86134.56</c:v>
                </c:pt>
                <c:pt idx="694">
                  <c:v>68326.28</c:v>
                </c:pt>
                <c:pt idx="695">
                  <c:v>64816.700000000004</c:v>
                </c:pt>
                <c:pt idx="696">
                  <c:v>1884.66</c:v>
                </c:pt>
                <c:pt idx="697">
                  <c:v>1801109.2</c:v>
                </c:pt>
                <c:pt idx="698">
                  <c:v>1125179</c:v>
                </c:pt>
                <c:pt idx="699">
                  <c:v>546644.86</c:v>
                </c:pt>
                <c:pt idx="700">
                  <c:v>972034.55999999994</c:v>
                </c:pt>
                <c:pt idx="701">
                  <c:v>1444017.12</c:v>
                </c:pt>
                <c:pt idx="702">
                  <c:v>2263567.7600000002</c:v>
                </c:pt>
                <c:pt idx="703">
                  <c:v>1873927</c:v>
                </c:pt>
                <c:pt idx="704">
                  <c:v>897245.44000000006</c:v>
                </c:pt>
                <c:pt idx="705">
                  <c:v>1017556.0200000001</c:v>
                </c:pt>
                <c:pt idx="706">
                  <c:v>2673938.8199999998</c:v>
                </c:pt>
                <c:pt idx="707">
                  <c:v>14508.15</c:v>
                </c:pt>
                <c:pt idx="708">
                  <c:v>1550826</c:v>
                </c:pt>
                <c:pt idx="709">
                  <c:v>53022.39</c:v>
                </c:pt>
                <c:pt idx="710">
                  <c:v>151697.65000000002</c:v>
                </c:pt>
                <c:pt idx="711">
                  <c:v>1462270.74</c:v>
                </c:pt>
                <c:pt idx="712">
                  <c:v>3530797.4099999997</c:v>
                </c:pt>
                <c:pt idx="713">
                  <c:v>280081.08</c:v>
                </c:pt>
                <c:pt idx="714">
                  <c:v>2006508.8399999999</c:v>
                </c:pt>
                <c:pt idx="715">
                  <c:v>39313.120000000003</c:v>
                </c:pt>
                <c:pt idx="716">
                  <c:v>1235561.2</c:v>
                </c:pt>
                <c:pt idx="717">
                  <c:v>59775.28</c:v>
                </c:pt>
                <c:pt idx="718">
                  <c:v>974583.56</c:v>
                </c:pt>
                <c:pt idx="719">
                  <c:v>1769856.24</c:v>
                </c:pt>
                <c:pt idx="720">
                  <c:v>143020.71</c:v>
                </c:pt>
                <c:pt idx="721">
                  <c:v>4365711.84</c:v>
                </c:pt>
                <c:pt idx="722">
                  <c:v>2152497.67</c:v>
                </c:pt>
                <c:pt idx="723">
                  <c:v>996087.2</c:v>
                </c:pt>
                <c:pt idx="724">
                  <c:v>98444.34</c:v>
                </c:pt>
                <c:pt idx="725">
                  <c:v>927533.82000000007</c:v>
                </c:pt>
                <c:pt idx="726">
                  <c:v>82397.119999999995</c:v>
                </c:pt>
                <c:pt idx="727">
                  <c:v>309968.72000000003</c:v>
                </c:pt>
                <c:pt idx="728">
                  <c:v>1080344.96</c:v>
                </c:pt>
                <c:pt idx="729">
                  <c:v>418105.28</c:v>
                </c:pt>
                <c:pt idx="730">
                  <c:v>646328.88</c:v>
                </c:pt>
                <c:pt idx="731">
                  <c:v>409219.2</c:v>
                </c:pt>
                <c:pt idx="732">
                  <c:v>702779.68</c:v>
                </c:pt>
                <c:pt idx="733">
                  <c:v>3423410.97</c:v>
                </c:pt>
                <c:pt idx="734">
                  <c:v>1847391.7</c:v>
                </c:pt>
                <c:pt idx="735">
                  <c:v>185026.06</c:v>
                </c:pt>
                <c:pt idx="736">
                  <c:v>388926.42000000004</c:v>
                </c:pt>
                <c:pt idx="737">
                  <c:v>1169198.8</c:v>
                </c:pt>
                <c:pt idx="738">
                  <c:v>32784</c:v>
                </c:pt>
                <c:pt idx="739">
                  <c:v>2072618.32</c:v>
                </c:pt>
                <c:pt idx="740">
                  <c:v>5143256.58</c:v>
                </c:pt>
                <c:pt idx="741">
                  <c:v>107472.88</c:v>
                </c:pt>
                <c:pt idx="742">
                  <c:v>895011.68</c:v>
                </c:pt>
                <c:pt idx="743">
                  <c:v>572273.46000000008</c:v>
                </c:pt>
                <c:pt idx="744">
                  <c:v>5205823.3</c:v>
                </c:pt>
                <c:pt idx="745">
                  <c:v>44588.07</c:v>
                </c:pt>
                <c:pt idx="746">
                  <c:v>1710326.4</c:v>
                </c:pt>
                <c:pt idx="747">
                  <c:v>650834.79999999993</c:v>
                </c:pt>
                <c:pt idx="748">
                  <c:v>357678.10000000003</c:v>
                </c:pt>
                <c:pt idx="749">
                  <c:v>1779841.2</c:v>
                </c:pt>
                <c:pt idx="750">
                  <c:v>1052229.8</c:v>
                </c:pt>
                <c:pt idx="751">
                  <c:v>90866.75</c:v>
                </c:pt>
                <c:pt idx="752">
                  <c:v>378063.24</c:v>
                </c:pt>
                <c:pt idx="753">
                  <c:v>550813.80000000005</c:v>
                </c:pt>
                <c:pt idx="754">
                  <c:v>1155488.3400000001</c:v>
                </c:pt>
                <c:pt idx="755">
                  <c:v>3746366.8</c:v>
                </c:pt>
                <c:pt idx="756">
                  <c:v>3432894.4</c:v>
                </c:pt>
                <c:pt idx="757">
                  <c:v>5818626.8899999997</c:v>
                </c:pt>
                <c:pt idx="758">
                  <c:v>158893.12</c:v>
                </c:pt>
                <c:pt idx="759">
                  <c:v>1735902.2999999998</c:v>
                </c:pt>
                <c:pt idx="760">
                  <c:v>739084.39</c:v>
                </c:pt>
                <c:pt idx="761">
                  <c:v>511102.56</c:v>
                </c:pt>
                <c:pt idx="762">
                  <c:v>2463527.4300000002</c:v>
                </c:pt>
                <c:pt idx="763">
                  <c:v>324368.2</c:v>
                </c:pt>
                <c:pt idx="764">
                  <c:v>204457.2</c:v>
                </c:pt>
                <c:pt idx="765">
                  <c:v>4447764.3</c:v>
                </c:pt>
                <c:pt idx="766">
                  <c:v>2521145.2799999998</c:v>
                </c:pt>
                <c:pt idx="767">
                  <c:v>1384510.9200000002</c:v>
                </c:pt>
                <c:pt idx="768">
                  <c:v>11313.5</c:v>
                </c:pt>
                <c:pt idx="769">
                  <c:v>320769.59999999998</c:v>
                </c:pt>
                <c:pt idx="770">
                  <c:v>550989.76</c:v>
                </c:pt>
                <c:pt idx="771">
                  <c:v>95444.799999999988</c:v>
                </c:pt>
                <c:pt idx="772">
                  <c:v>334803.27</c:v>
                </c:pt>
                <c:pt idx="773">
                  <c:v>239963.2</c:v>
                </c:pt>
                <c:pt idx="774">
                  <c:v>218080.2</c:v>
                </c:pt>
                <c:pt idx="775">
                  <c:v>299884</c:v>
                </c:pt>
                <c:pt idx="776">
                  <c:v>5340145.57</c:v>
                </c:pt>
                <c:pt idx="777">
                  <c:v>2292259.2000000002</c:v>
                </c:pt>
                <c:pt idx="778">
                  <c:v>2572839.5</c:v>
                </c:pt>
                <c:pt idx="779">
                  <c:v>824373.05999999994</c:v>
                </c:pt>
                <c:pt idx="780">
                  <c:v>5103532.7700000005</c:v>
                </c:pt>
                <c:pt idx="781">
                  <c:v>1545502</c:v>
                </c:pt>
                <c:pt idx="782">
                  <c:v>3548315.1999999997</c:v>
                </c:pt>
                <c:pt idx="783">
                  <c:v>550864.6</c:v>
                </c:pt>
                <c:pt idx="784">
                  <c:v>1366003.28</c:v>
                </c:pt>
                <c:pt idx="785">
                  <c:v>514653.81</c:v>
                </c:pt>
                <c:pt idx="786">
                  <c:v>295820.96000000002</c:v>
                </c:pt>
                <c:pt idx="787">
                  <c:v>180547.25</c:v>
                </c:pt>
                <c:pt idx="788">
                  <c:v>891982.68</c:v>
                </c:pt>
                <c:pt idx="789">
                  <c:v>1085911.8600000001</c:v>
                </c:pt>
                <c:pt idx="790">
                  <c:v>1237825.26</c:v>
                </c:pt>
                <c:pt idx="791">
                  <c:v>133087.9</c:v>
                </c:pt>
                <c:pt idx="792">
                  <c:v>219930.75</c:v>
                </c:pt>
                <c:pt idx="793">
                  <c:v>269261.3</c:v>
                </c:pt>
                <c:pt idx="794">
                  <c:v>627408.96000000008</c:v>
                </c:pt>
                <c:pt idx="795">
                  <c:v>404131.65</c:v>
                </c:pt>
                <c:pt idx="796">
                  <c:v>4697938.0999999996</c:v>
                </c:pt>
                <c:pt idx="797">
                  <c:v>342040.05</c:v>
                </c:pt>
                <c:pt idx="798">
                  <c:v>169602.56</c:v>
                </c:pt>
                <c:pt idx="799">
                  <c:v>1823040.56</c:v>
                </c:pt>
                <c:pt idx="800">
                  <c:v>3647559.6</c:v>
                </c:pt>
                <c:pt idx="801">
                  <c:v>86470.340000000011</c:v>
                </c:pt>
                <c:pt idx="802">
                  <c:v>46259.18</c:v>
                </c:pt>
                <c:pt idx="803">
                  <c:v>3624456.9899999998</c:v>
                </c:pt>
                <c:pt idx="804">
                  <c:v>2597565.4899999998</c:v>
                </c:pt>
                <c:pt idx="805">
                  <c:v>67549.2</c:v>
                </c:pt>
                <c:pt idx="806">
                  <c:v>528629.64</c:v>
                </c:pt>
                <c:pt idx="807">
                  <c:v>115974.87000000001</c:v>
                </c:pt>
                <c:pt idx="808">
                  <c:v>5843958.54</c:v>
                </c:pt>
                <c:pt idx="809">
                  <c:v>1227200.9400000002</c:v>
                </c:pt>
                <c:pt idx="810">
                  <c:v>216799.05000000002</c:v>
                </c:pt>
                <c:pt idx="811">
                  <c:v>60887.58</c:v>
                </c:pt>
                <c:pt idx="812">
                  <c:v>728786.41</c:v>
                </c:pt>
                <c:pt idx="813">
                  <c:v>717671.13</c:v>
                </c:pt>
                <c:pt idx="814">
                  <c:v>19998.240000000002</c:v>
                </c:pt>
                <c:pt idx="815">
                  <c:v>753714.06</c:v>
                </c:pt>
                <c:pt idx="816">
                  <c:v>3809244.81</c:v>
                </c:pt>
                <c:pt idx="817">
                  <c:v>3184306.55</c:v>
                </c:pt>
                <c:pt idx="818">
                  <c:v>5614081.4100000001</c:v>
                </c:pt>
                <c:pt idx="819">
                  <c:v>228803.90000000002</c:v>
                </c:pt>
                <c:pt idx="820">
                  <c:v>43123.26</c:v>
                </c:pt>
                <c:pt idx="821">
                  <c:v>12203.64</c:v>
                </c:pt>
                <c:pt idx="822">
                  <c:v>1069022.8999999999</c:v>
                </c:pt>
                <c:pt idx="823">
                  <c:v>5624500.7700000005</c:v>
                </c:pt>
                <c:pt idx="824">
                  <c:v>207345.59999999998</c:v>
                </c:pt>
                <c:pt idx="825">
                  <c:v>2487969.21</c:v>
                </c:pt>
                <c:pt idx="826">
                  <c:v>1333072.1599999999</c:v>
                </c:pt>
                <c:pt idx="827">
                  <c:v>921124.74</c:v>
                </c:pt>
                <c:pt idx="828">
                  <c:v>32664.33</c:v>
                </c:pt>
                <c:pt idx="829">
                  <c:v>1505929.7</c:v>
                </c:pt>
                <c:pt idx="830">
                  <c:v>37403.97</c:v>
                </c:pt>
                <c:pt idx="831">
                  <c:v>330030.54000000004</c:v>
                </c:pt>
                <c:pt idx="832">
                  <c:v>1891880.08</c:v>
                </c:pt>
                <c:pt idx="833">
                  <c:v>810529.76</c:v>
                </c:pt>
                <c:pt idx="834">
                  <c:v>64106.43</c:v>
                </c:pt>
                <c:pt idx="835">
                  <c:v>1092125.5999999999</c:v>
                </c:pt>
                <c:pt idx="836">
                  <c:v>3397480.17</c:v>
                </c:pt>
                <c:pt idx="837">
                  <c:v>1422198.1800000002</c:v>
                </c:pt>
                <c:pt idx="838">
                  <c:v>1876189.7</c:v>
                </c:pt>
                <c:pt idx="839">
                  <c:v>187979</c:v>
                </c:pt>
                <c:pt idx="840">
                  <c:v>188396.64</c:v>
                </c:pt>
                <c:pt idx="841">
                  <c:v>682200.31</c:v>
                </c:pt>
                <c:pt idx="842">
                  <c:v>1549549.6</c:v>
                </c:pt>
                <c:pt idx="843">
                  <c:v>64181.07</c:v>
                </c:pt>
                <c:pt idx="844">
                  <c:v>520582.32999999996</c:v>
                </c:pt>
                <c:pt idx="845">
                  <c:v>91499.31</c:v>
                </c:pt>
                <c:pt idx="846">
                  <c:v>1325153.2</c:v>
                </c:pt>
                <c:pt idx="847">
                  <c:v>238484.88</c:v>
                </c:pt>
                <c:pt idx="848">
                  <c:v>381277.92</c:v>
                </c:pt>
                <c:pt idx="849">
                  <c:v>2301093.92</c:v>
                </c:pt>
                <c:pt idx="850">
                  <c:v>1357323.76</c:v>
                </c:pt>
                <c:pt idx="851">
                  <c:v>15114.6</c:v>
                </c:pt>
                <c:pt idx="852">
                  <c:v>2721406.5900000003</c:v>
                </c:pt>
                <c:pt idx="853">
                  <c:v>326758.40000000002</c:v>
                </c:pt>
                <c:pt idx="854">
                  <c:v>3476373.6</c:v>
                </c:pt>
                <c:pt idx="855">
                  <c:v>614714.24</c:v>
                </c:pt>
                <c:pt idx="856">
                  <c:v>2083850.64</c:v>
                </c:pt>
                <c:pt idx="857">
                  <c:v>156676.41</c:v>
                </c:pt>
                <c:pt idx="858">
                  <c:v>337511.85000000003</c:v>
                </c:pt>
                <c:pt idx="859">
                  <c:v>437631.35000000003</c:v>
                </c:pt>
                <c:pt idx="860">
                  <c:v>503207.31</c:v>
                </c:pt>
                <c:pt idx="861">
                  <c:v>296040.55000000005</c:v>
                </c:pt>
                <c:pt idx="862">
                  <c:v>592379.04</c:v>
                </c:pt>
                <c:pt idx="863">
                  <c:v>68846.070000000007</c:v>
                </c:pt>
                <c:pt idx="864">
                  <c:v>4852308.47</c:v>
                </c:pt>
                <c:pt idx="865">
                  <c:v>89166.81</c:v>
                </c:pt>
                <c:pt idx="866">
                  <c:v>2645012.66</c:v>
                </c:pt>
                <c:pt idx="867">
                  <c:v>449865.89999999997</c:v>
                </c:pt>
                <c:pt idx="868">
                  <c:v>617305.69999999995</c:v>
                </c:pt>
                <c:pt idx="869">
                  <c:v>785067.52000000002</c:v>
                </c:pt>
                <c:pt idx="870">
                  <c:v>393623.3</c:v>
                </c:pt>
                <c:pt idx="871">
                  <c:v>1367269.3800000001</c:v>
                </c:pt>
                <c:pt idx="872">
                  <c:v>505778.98</c:v>
                </c:pt>
                <c:pt idx="873">
                  <c:v>2962440.91</c:v>
                </c:pt>
                <c:pt idx="874">
                  <c:v>1274195.58</c:v>
                </c:pt>
                <c:pt idx="875">
                  <c:v>1271154.57</c:v>
                </c:pt>
                <c:pt idx="876">
                  <c:v>2228440.62</c:v>
                </c:pt>
                <c:pt idx="877">
                  <c:v>2892078</c:v>
                </c:pt>
                <c:pt idx="878">
                  <c:v>4337058.6000000006</c:v>
                </c:pt>
                <c:pt idx="879">
                  <c:v>6287432.5500000007</c:v>
                </c:pt>
                <c:pt idx="880">
                  <c:v>953905.12</c:v>
                </c:pt>
                <c:pt idx="881">
                  <c:v>739247.85000000009</c:v>
                </c:pt>
                <c:pt idx="882">
                  <c:v>26068.02</c:v>
                </c:pt>
                <c:pt idx="883">
                  <c:v>640836</c:v>
                </c:pt>
                <c:pt idx="884">
                  <c:v>1905677.13</c:v>
                </c:pt>
                <c:pt idx="885">
                  <c:v>1446688.0999999999</c:v>
                </c:pt>
                <c:pt idx="886">
                  <c:v>1379977.55</c:v>
                </c:pt>
                <c:pt idx="887">
                  <c:v>93002</c:v>
                </c:pt>
                <c:pt idx="888">
                  <c:v>666498.72</c:v>
                </c:pt>
                <c:pt idx="889">
                  <c:v>899153.94000000006</c:v>
                </c:pt>
                <c:pt idx="890">
                  <c:v>6539021.9500000002</c:v>
                </c:pt>
                <c:pt idx="891">
                  <c:v>391367.60000000003</c:v>
                </c:pt>
                <c:pt idx="892">
                  <c:v>416943.15</c:v>
                </c:pt>
                <c:pt idx="893">
                  <c:v>192740.9</c:v>
                </c:pt>
                <c:pt idx="894">
                  <c:v>847366.36</c:v>
                </c:pt>
                <c:pt idx="895">
                  <c:v>2138225.2799999998</c:v>
                </c:pt>
                <c:pt idx="896">
                  <c:v>1623590.0999999999</c:v>
                </c:pt>
                <c:pt idx="897">
                  <c:v>1908983.84</c:v>
                </c:pt>
                <c:pt idx="898">
                  <c:v>278458.5</c:v>
                </c:pt>
                <c:pt idx="899">
                  <c:v>4986314.9700000007</c:v>
                </c:pt>
                <c:pt idx="900">
                  <c:v>3683099.6999999997</c:v>
                </c:pt>
                <c:pt idx="901">
                  <c:v>39288.600000000006</c:v>
                </c:pt>
                <c:pt idx="902">
                  <c:v>4408691.7</c:v>
                </c:pt>
                <c:pt idx="903">
                  <c:v>216300.24</c:v>
                </c:pt>
                <c:pt idx="904">
                  <c:v>4304498.1000000006</c:v>
                </c:pt>
                <c:pt idx="905">
                  <c:v>1608008.72</c:v>
                </c:pt>
                <c:pt idx="906">
                  <c:v>596552.46</c:v>
                </c:pt>
                <c:pt idx="907">
                  <c:v>1013689.6</c:v>
                </c:pt>
                <c:pt idx="908">
                  <c:v>1408222.2</c:v>
                </c:pt>
                <c:pt idx="909">
                  <c:v>3883497.4499999997</c:v>
                </c:pt>
                <c:pt idx="910">
                  <c:v>697445.91</c:v>
                </c:pt>
                <c:pt idx="911">
                  <c:v>540590.94000000006</c:v>
                </c:pt>
                <c:pt idx="912">
                  <c:v>388299.23000000004</c:v>
                </c:pt>
                <c:pt idx="913">
                  <c:v>2049119.73</c:v>
                </c:pt>
                <c:pt idx="914">
                  <c:v>685072.92</c:v>
                </c:pt>
                <c:pt idx="915">
                  <c:v>279756.79999999999</c:v>
                </c:pt>
                <c:pt idx="916">
                  <c:v>868436.22</c:v>
                </c:pt>
                <c:pt idx="917">
                  <c:v>5579567.2800000003</c:v>
                </c:pt>
                <c:pt idx="918">
                  <c:v>545139.1</c:v>
                </c:pt>
                <c:pt idx="919">
                  <c:v>1500170.0999999999</c:v>
                </c:pt>
                <c:pt idx="920">
                  <c:v>741952.96</c:v>
                </c:pt>
                <c:pt idx="921">
                  <c:v>870593.06</c:v>
                </c:pt>
                <c:pt idx="922">
                  <c:v>30219.87</c:v>
                </c:pt>
                <c:pt idx="923">
                  <c:v>628207.79999999993</c:v>
                </c:pt>
                <c:pt idx="924">
                  <c:v>360667.45</c:v>
                </c:pt>
                <c:pt idx="925">
                  <c:v>597818.13</c:v>
                </c:pt>
                <c:pt idx="926">
                  <c:v>496019.37</c:v>
                </c:pt>
                <c:pt idx="927">
                  <c:v>1315968.3999999999</c:v>
                </c:pt>
                <c:pt idx="928">
                  <c:v>1433528.3</c:v>
                </c:pt>
                <c:pt idx="929">
                  <c:v>242931.69999999998</c:v>
                </c:pt>
                <c:pt idx="930">
                  <c:v>72322.920000000013</c:v>
                </c:pt>
                <c:pt idx="931">
                  <c:v>422732.05000000005</c:v>
                </c:pt>
                <c:pt idx="932">
                  <c:v>572627.19999999995</c:v>
                </c:pt>
                <c:pt idx="933">
                  <c:v>164756.13</c:v>
                </c:pt>
                <c:pt idx="934">
                  <c:v>16476.78</c:v>
                </c:pt>
                <c:pt idx="935">
                  <c:v>4209361.5999999996</c:v>
                </c:pt>
                <c:pt idx="936">
                  <c:v>467568.78</c:v>
                </c:pt>
                <c:pt idx="937">
                  <c:v>2637661.69</c:v>
                </c:pt>
                <c:pt idx="938">
                  <c:v>1342262.24</c:v>
                </c:pt>
                <c:pt idx="939">
                  <c:v>670110</c:v>
                </c:pt>
                <c:pt idx="940">
                  <c:v>443828.27999999997</c:v>
                </c:pt>
                <c:pt idx="941">
                  <c:v>1933746</c:v>
                </c:pt>
                <c:pt idx="942">
                  <c:v>58433.79</c:v>
                </c:pt>
                <c:pt idx="943">
                  <c:v>1355110.68</c:v>
                </c:pt>
                <c:pt idx="944">
                  <c:v>14498.82</c:v>
                </c:pt>
                <c:pt idx="945">
                  <c:v>704856</c:v>
                </c:pt>
                <c:pt idx="946">
                  <c:v>14019.460000000001</c:v>
                </c:pt>
                <c:pt idx="947">
                  <c:v>318009.90000000002</c:v>
                </c:pt>
                <c:pt idx="948">
                  <c:v>357678.10000000003</c:v>
                </c:pt>
                <c:pt idx="949">
                  <c:v>1502067.52</c:v>
                </c:pt>
                <c:pt idx="950">
                  <c:v>317055.48</c:v>
                </c:pt>
                <c:pt idx="951">
                  <c:v>687185.84000000008</c:v>
                </c:pt>
                <c:pt idx="952">
                  <c:v>2883585.05</c:v>
                </c:pt>
                <c:pt idx="953">
                  <c:v>244577.3</c:v>
                </c:pt>
                <c:pt idx="954">
                  <c:v>610768.29</c:v>
                </c:pt>
                <c:pt idx="955">
                  <c:v>2433171.0699999998</c:v>
                </c:pt>
                <c:pt idx="956">
                  <c:v>786597.44000000006</c:v>
                </c:pt>
                <c:pt idx="957">
                  <c:v>3356821.6</c:v>
                </c:pt>
                <c:pt idx="958">
                  <c:v>254353.06</c:v>
                </c:pt>
                <c:pt idx="959">
                  <c:v>1188572.8999999999</c:v>
                </c:pt>
                <c:pt idx="960">
                  <c:v>976163.79</c:v>
                </c:pt>
                <c:pt idx="961">
                  <c:v>280134.95999999996</c:v>
                </c:pt>
                <c:pt idx="962">
                  <c:v>6618546.0800000001</c:v>
                </c:pt>
                <c:pt idx="963">
                  <c:v>906477.78</c:v>
                </c:pt>
                <c:pt idx="964">
                  <c:v>276587.68</c:v>
                </c:pt>
                <c:pt idx="965">
                  <c:v>2387112</c:v>
                </c:pt>
                <c:pt idx="966">
                  <c:v>357962.80000000005</c:v>
                </c:pt>
                <c:pt idx="967">
                  <c:v>559699.98</c:v>
                </c:pt>
                <c:pt idx="968">
                  <c:v>2451380.4</c:v>
                </c:pt>
                <c:pt idx="969">
                  <c:v>602840.48</c:v>
                </c:pt>
                <c:pt idx="970">
                  <c:v>92217.72</c:v>
                </c:pt>
                <c:pt idx="971">
                  <c:v>2668231.6</c:v>
                </c:pt>
                <c:pt idx="972">
                  <c:v>4035682.53</c:v>
                </c:pt>
                <c:pt idx="973">
                  <c:v>81946.150000000009</c:v>
                </c:pt>
                <c:pt idx="974">
                  <c:v>341168.88</c:v>
                </c:pt>
                <c:pt idx="975">
                  <c:v>5641432.2300000004</c:v>
                </c:pt>
                <c:pt idx="976">
                  <c:v>6107319.5300000003</c:v>
                </c:pt>
                <c:pt idx="977">
                  <c:v>35677.919999999998</c:v>
                </c:pt>
                <c:pt idx="978">
                  <c:v>2530335.36</c:v>
                </c:pt>
                <c:pt idx="979">
                  <c:v>2795443.14</c:v>
                </c:pt>
                <c:pt idx="980">
                  <c:v>33893.199999999997</c:v>
                </c:pt>
                <c:pt idx="981">
                  <c:v>426148.45</c:v>
                </c:pt>
                <c:pt idx="982">
                  <c:v>390323.7</c:v>
                </c:pt>
                <c:pt idx="983">
                  <c:v>3454017.8400000003</c:v>
                </c:pt>
                <c:pt idx="984">
                  <c:v>700952.52</c:v>
                </c:pt>
                <c:pt idx="985">
                  <c:v>1096934.8</c:v>
                </c:pt>
                <c:pt idx="986">
                  <c:v>271997.92</c:v>
                </c:pt>
                <c:pt idx="987">
                  <c:v>4218.8999999999996</c:v>
                </c:pt>
                <c:pt idx="988">
                  <c:v>1167004.5</c:v>
                </c:pt>
                <c:pt idx="989">
                  <c:v>4250021.2</c:v>
                </c:pt>
                <c:pt idx="990">
                  <c:v>1222928.7000000002</c:v>
                </c:pt>
                <c:pt idx="991">
                  <c:v>287357.2</c:v>
                </c:pt>
                <c:pt idx="992">
                  <c:v>41742.42</c:v>
                </c:pt>
                <c:pt idx="993">
                  <c:v>2592596</c:v>
                </c:pt>
                <c:pt idx="994">
                  <c:v>1072.95</c:v>
                </c:pt>
                <c:pt idx="995">
                  <c:v>415424.75</c:v>
                </c:pt>
                <c:pt idx="996">
                  <c:v>49364.920000000006</c:v>
                </c:pt>
                <c:pt idx="997">
                  <c:v>60150.51</c:v>
                </c:pt>
                <c:pt idx="998">
                  <c:v>632108.18000000005</c:v>
                </c:pt>
                <c:pt idx="999">
                  <c:v>373737.6</c:v>
                </c:pt>
              </c:numCache>
            </c:numRef>
          </c:yVal>
          <c:smooth val="0"/>
          <c:extLst>
            <c:ext xmlns:c16="http://schemas.microsoft.com/office/drawing/2014/chart" uri="{C3380CC4-5D6E-409C-BE32-E72D297353CC}">
              <c16:uniqueId val="{00000000-17E6-462E-B8D1-5CC954BFBEA8}"/>
            </c:ext>
          </c:extLst>
        </c:ser>
        <c:dLbls>
          <c:showLegendKey val="0"/>
          <c:showVal val="0"/>
          <c:showCatName val="0"/>
          <c:showSerName val="0"/>
          <c:showPercent val="0"/>
          <c:showBubbleSize val="0"/>
        </c:dLbls>
        <c:axId val="1125816192"/>
        <c:axId val="1125814752"/>
      </c:scatterChart>
      <c:valAx>
        <c:axId val="112581619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125814752"/>
        <c:crosses val="autoZero"/>
        <c:crossBetween val="midCat"/>
      </c:valAx>
      <c:valAx>
        <c:axId val="112581475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00\ [$€-C0A]_-;\-* #,##0.00\ [$€-C0A]_-;_-* &quot;-&quot;??\ [$€-C0A]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125816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Hoja1!$D$8</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Hoja1!$D$9:$D$1008</c:f>
              <c:numCache>
                <c:formatCode>_-* #,##0.00\ [$€-C0A]_-;\-* #,##0.00\ [$€-C0A]_-;_-* "-"??\ [$€-C0A]_-;_-@_-</c:formatCode>
                <c:ptCount val="1000"/>
                <c:pt idx="0">
                  <c:v>843767.4</c:v>
                </c:pt>
                <c:pt idx="1">
                  <c:v>419358.66</c:v>
                </c:pt>
                <c:pt idx="2">
                  <c:v>1408016.5</c:v>
                </c:pt>
                <c:pt idx="3">
                  <c:v>91489.98</c:v>
                </c:pt>
                <c:pt idx="4">
                  <c:v>927432.24</c:v>
                </c:pt>
                <c:pt idx="5">
                  <c:v>195019.5</c:v>
                </c:pt>
                <c:pt idx="6">
                  <c:v>618864.4800000001</c:v>
                </c:pt>
                <c:pt idx="7">
                  <c:v>3637066.8</c:v>
                </c:pt>
                <c:pt idx="8">
                  <c:v>717507.67</c:v>
                </c:pt>
                <c:pt idx="9">
                  <c:v>6086859.8700000001</c:v>
                </c:pt>
                <c:pt idx="10">
                  <c:v>422335.2</c:v>
                </c:pt>
                <c:pt idx="11">
                  <c:v>1008401.2200000001</c:v>
                </c:pt>
                <c:pt idx="12">
                  <c:v>298033.45</c:v>
                </c:pt>
                <c:pt idx="13">
                  <c:v>310893.08</c:v>
                </c:pt>
                <c:pt idx="14">
                  <c:v>26945.040000000001</c:v>
                </c:pt>
                <c:pt idx="15">
                  <c:v>816400.97000000009</c:v>
                </c:pt>
                <c:pt idx="16">
                  <c:v>634377.19999999995</c:v>
                </c:pt>
                <c:pt idx="17">
                  <c:v>1134584.8800000001</c:v>
                </c:pt>
                <c:pt idx="18">
                  <c:v>3343963.35</c:v>
                </c:pt>
                <c:pt idx="19">
                  <c:v>2456364.12</c:v>
                </c:pt>
                <c:pt idx="20">
                  <c:v>784771.46000000008</c:v>
                </c:pt>
                <c:pt idx="21">
                  <c:v>398726.39999999997</c:v>
                </c:pt>
                <c:pt idx="22">
                  <c:v>460639.02</c:v>
                </c:pt>
                <c:pt idx="23">
                  <c:v>357345.6</c:v>
                </c:pt>
                <c:pt idx="24">
                  <c:v>931600.82000000007</c:v>
                </c:pt>
                <c:pt idx="25">
                  <c:v>634306.53</c:v>
                </c:pt>
                <c:pt idx="26">
                  <c:v>202386.56</c:v>
                </c:pt>
                <c:pt idx="27">
                  <c:v>414936.16000000003</c:v>
                </c:pt>
                <c:pt idx="28">
                  <c:v>4075110.46</c:v>
                </c:pt>
                <c:pt idx="29">
                  <c:v>1439699.5999999999</c:v>
                </c:pt>
                <c:pt idx="30">
                  <c:v>1070408.8800000001</c:v>
                </c:pt>
                <c:pt idx="31">
                  <c:v>54186.990000000005</c:v>
                </c:pt>
                <c:pt idx="32">
                  <c:v>553721.76</c:v>
                </c:pt>
                <c:pt idx="33">
                  <c:v>26329.26</c:v>
                </c:pt>
                <c:pt idx="34">
                  <c:v>395484.32</c:v>
                </c:pt>
                <c:pt idx="35">
                  <c:v>3874215.8699999996</c:v>
                </c:pt>
                <c:pt idx="36">
                  <c:v>392316.60000000003</c:v>
                </c:pt>
                <c:pt idx="37">
                  <c:v>341462</c:v>
                </c:pt>
                <c:pt idx="38">
                  <c:v>1105688.6200000001</c:v>
                </c:pt>
                <c:pt idx="39">
                  <c:v>3119484.36</c:v>
                </c:pt>
                <c:pt idx="40">
                  <c:v>9432.6299999999992</c:v>
                </c:pt>
                <c:pt idx="41">
                  <c:v>559513.59999999998</c:v>
                </c:pt>
                <c:pt idx="42">
                  <c:v>27383.55</c:v>
                </c:pt>
                <c:pt idx="43">
                  <c:v>1582440.3</c:v>
                </c:pt>
                <c:pt idx="44">
                  <c:v>1771282.7</c:v>
                </c:pt>
                <c:pt idx="45">
                  <c:v>695767.49</c:v>
                </c:pt>
                <c:pt idx="46">
                  <c:v>678082.4</c:v>
                </c:pt>
                <c:pt idx="47">
                  <c:v>369303.35000000003</c:v>
                </c:pt>
                <c:pt idx="48">
                  <c:v>2691236.31</c:v>
                </c:pt>
                <c:pt idx="49">
                  <c:v>781789.12</c:v>
                </c:pt>
                <c:pt idx="50">
                  <c:v>472904.3</c:v>
                </c:pt>
                <c:pt idx="51">
                  <c:v>930368.34</c:v>
                </c:pt>
                <c:pt idx="52">
                  <c:v>456848.60000000003</c:v>
                </c:pt>
                <c:pt idx="53">
                  <c:v>2680267.17</c:v>
                </c:pt>
                <c:pt idx="54">
                  <c:v>1006165.86</c:v>
                </c:pt>
                <c:pt idx="55">
                  <c:v>119099.5</c:v>
                </c:pt>
                <c:pt idx="56">
                  <c:v>565554.26</c:v>
                </c:pt>
                <c:pt idx="57">
                  <c:v>292916.8</c:v>
                </c:pt>
                <c:pt idx="58">
                  <c:v>460287.36</c:v>
                </c:pt>
                <c:pt idx="59">
                  <c:v>640497.52</c:v>
                </c:pt>
                <c:pt idx="60">
                  <c:v>1669666.8</c:v>
                </c:pt>
                <c:pt idx="61">
                  <c:v>627604.67000000004</c:v>
                </c:pt>
                <c:pt idx="62">
                  <c:v>438385.12</c:v>
                </c:pt>
                <c:pt idx="63">
                  <c:v>110172.04000000001</c:v>
                </c:pt>
                <c:pt idx="64">
                  <c:v>2272299.54</c:v>
                </c:pt>
                <c:pt idx="65">
                  <c:v>66399.86</c:v>
                </c:pt>
                <c:pt idx="66">
                  <c:v>10953.42</c:v>
                </c:pt>
                <c:pt idx="67">
                  <c:v>1107915.2</c:v>
                </c:pt>
                <c:pt idx="68">
                  <c:v>301093.32</c:v>
                </c:pt>
                <c:pt idx="69">
                  <c:v>407914.43</c:v>
                </c:pt>
                <c:pt idx="70">
                  <c:v>721731.6</c:v>
                </c:pt>
                <c:pt idx="71">
                  <c:v>2868008.2199999997</c:v>
                </c:pt>
                <c:pt idx="72">
                  <c:v>2689786.75</c:v>
                </c:pt>
                <c:pt idx="73">
                  <c:v>4346175.54</c:v>
                </c:pt>
                <c:pt idx="74">
                  <c:v>53041.05</c:v>
                </c:pt>
                <c:pt idx="75">
                  <c:v>621323.98</c:v>
                </c:pt>
                <c:pt idx="76">
                  <c:v>81756.350000000006</c:v>
                </c:pt>
                <c:pt idx="77">
                  <c:v>345388</c:v>
                </c:pt>
                <c:pt idx="78">
                  <c:v>62327.1</c:v>
                </c:pt>
                <c:pt idx="79">
                  <c:v>111071.07</c:v>
                </c:pt>
                <c:pt idx="80">
                  <c:v>1396016.03</c:v>
                </c:pt>
                <c:pt idx="81">
                  <c:v>677257.84</c:v>
                </c:pt>
                <c:pt idx="82">
                  <c:v>159546.45000000001</c:v>
                </c:pt>
                <c:pt idx="83">
                  <c:v>1724264.43</c:v>
                </c:pt>
                <c:pt idx="84">
                  <c:v>111046.8</c:v>
                </c:pt>
                <c:pt idx="85">
                  <c:v>3311790</c:v>
                </c:pt>
                <c:pt idx="86">
                  <c:v>67345.52</c:v>
                </c:pt>
                <c:pt idx="87">
                  <c:v>4904262.5100000007</c:v>
                </c:pt>
                <c:pt idx="88">
                  <c:v>907190</c:v>
                </c:pt>
                <c:pt idx="89">
                  <c:v>132592.02000000002</c:v>
                </c:pt>
                <c:pt idx="90">
                  <c:v>4913789.3099999996</c:v>
                </c:pt>
                <c:pt idx="91">
                  <c:v>2954495.67</c:v>
                </c:pt>
                <c:pt idx="92">
                  <c:v>1512109.62</c:v>
                </c:pt>
                <c:pt idx="93">
                  <c:v>73203.180000000008</c:v>
                </c:pt>
                <c:pt idx="94">
                  <c:v>244130.25000000003</c:v>
                </c:pt>
                <c:pt idx="95">
                  <c:v>370821.75</c:v>
                </c:pt>
                <c:pt idx="96">
                  <c:v>1655746.08</c:v>
                </c:pt>
                <c:pt idx="97">
                  <c:v>2553459.67</c:v>
                </c:pt>
                <c:pt idx="98">
                  <c:v>777334.03</c:v>
                </c:pt>
                <c:pt idx="99">
                  <c:v>805469.82000000007</c:v>
                </c:pt>
                <c:pt idx="100">
                  <c:v>2032727.4</c:v>
                </c:pt>
                <c:pt idx="101">
                  <c:v>632262.24</c:v>
                </c:pt>
                <c:pt idx="102">
                  <c:v>879471.12000000011</c:v>
                </c:pt>
                <c:pt idx="103">
                  <c:v>3146883.4299999997</c:v>
                </c:pt>
                <c:pt idx="104">
                  <c:v>371106.45</c:v>
                </c:pt>
                <c:pt idx="105">
                  <c:v>617626.54</c:v>
                </c:pt>
                <c:pt idx="106">
                  <c:v>2352915.7600000002</c:v>
                </c:pt>
                <c:pt idx="107">
                  <c:v>597818.13</c:v>
                </c:pt>
                <c:pt idx="108">
                  <c:v>3753004.32</c:v>
                </c:pt>
                <c:pt idx="109">
                  <c:v>2258717.44</c:v>
                </c:pt>
                <c:pt idx="110">
                  <c:v>2265570.4</c:v>
                </c:pt>
                <c:pt idx="111">
                  <c:v>302073.24</c:v>
                </c:pt>
                <c:pt idx="112">
                  <c:v>701161.67</c:v>
                </c:pt>
                <c:pt idx="113">
                  <c:v>1659715.26</c:v>
                </c:pt>
                <c:pt idx="114">
                  <c:v>5995718.4399999995</c:v>
                </c:pt>
                <c:pt idx="115">
                  <c:v>2021051.76</c:v>
                </c:pt>
                <c:pt idx="116">
                  <c:v>96038.8</c:v>
                </c:pt>
                <c:pt idx="117">
                  <c:v>941694.6</c:v>
                </c:pt>
                <c:pt idx="118">
                  <c:v>482125.27</c:v>
                </c:pt>
                <c:pt idx="119">
                  <c:v>77746.89</c:v>
                </c:pt>
                <c:pt idx="120">
                  <c:v>192403.38</c:v>
                </c:pt>
                <c:pt idx="121">
                  <c:v>289207.75</c:v>
                </c:pt>
                <c:pt idx="122">
                  <c:v>11905.08</c:v>
                </c:pt>
                <c:pt idx="123">
                  <c:v>67894.41</c:v>
                </c:pt>
                <c:pt idx="124">
                  <c:v>677133.45</c:v>
                </c:pt>
                <c:pt idx="125">
                  <c:v>35407.35</c:v>
                </c:pt>
                <c:pt idx="126">
                  <c:v>19691.75</c:v>
                </c:pt>
                <c:pt idx="127">
                  <c:v>26157.18</c:v>
                </c:pt>
                <c:pt idx="128">
                  <c:v>1289020.02</c:v>
                </c:pt>
                <c:pt idx="129">
                  <c:v>460947.52</c:v>
                </c:pt>
                <c:pt idx="130">
                  <c:v>5765833.5599999996</c:v>
                </c:pt>
                <c:pt idx="131">
                  <c:v>510304.72000000003</c:v>
                </c:pt>
                <c:pt idx="132">
                  <c:v>4467951.8100000005</c:v>
                </c:pt>
                <c:pt idx="133">
                  <c:v>1386231.8800000001</c:v>
                </c:pt>
                <c:pt idx="134">
                  <c:v>134305.12</c:v>
                </c:pt>
                <c:pt idx="135">
                  <c:v>1728291.4</c:v>
                </c:pt>
                <c:pt idx="136">
                  <c:v>113737.65000000001</c:v>
                </c:pt>
                <c:pt idx="137">
                  <c:v>582407.98</c:v>
                </c:pt>
                <c:pt idx="138">
                  <c:v>1489271.7</c:v>
                </c:pt>
                <c:pt idx="139">
                  <c:v>217463.35</c:v>
                </c:pt>
                <c:pt idx="140">
                  <c:v>126788</c:v>
                </c:pt>
                <c:pt idx="141">
                  <c:v>552715.9</c:v>
                </c:pt>
                <c:pt idx="142">
                  <c:v>173199.4</c:v>
                </c:pt>
                <c:pt idx="143">
                  <c:v>639725.12</c:v>
                </c:pt>
                <c:pt idx="144">
                  <c:v>54589.83</c:v>
                </c:pt>
                <c:pt idx="145">
                  <c:v>9292.68</c:v>
                </c:pt>
                <c:pt idx="146">
                  <c:v>693070.4</c:v>
                </c:pt>
                <c:pt idx="147">
                  <c:v>1148469.6600000001</c:v>
                </c:pt>
                <c:pt idx="148">
                  <c:v>359039.89</c:v>
                </c:pt>
                <c:pt idx="149">
                  <c:v>68696.789999999994</c:v>
                </c:pt>
                <c:pt idx="150">
                  <c:v>1142873.55</c:v>
                </c:pt>
                <c:pt idx="151">
                  <c:v>45875.61</c:v>
                </c:pt>
                <c:pt idx="152">
                  <c:v>11466.57</c:v>
                </c:pt>
                <c:pt idx="153">
                  <c:v>66261.66</c:v>
                </c:pt>
                <c:pt idx="154">
                  <c:v>3995586.33</c:v>
                </c:pt>
                <c:pt idx="155">
                  <c:v>2170482.9300000002</c:v>
                </c:pt>
                <c:pt idx="156">
                  <c:v>1087520.7</c:v>
                </c:pt>
                <c:pt idx="157">
                  <c:v>451558.25</c:v>
                </c:pt>
                <c:pt idx="158">
                  <c:v>4321033.82</c:v>
                </c:pt>
                <c:pt idx="159">
                  <c:v>5268940.1100000003</c:v>
                </c:pt>
                <c:pt idx="160">
                  <c:v>670746.30000000005</c:v>
                </c:pt>
                <c:pt idx="161">
                  <c:v>1224006.7</c:v>
                </c:pt>
                <c:pt idx="162">
                  <c:v>3597456.03</c:v>
                </c:pt>
                <c:pt idx="163">
                  <c:v>2931096.21</c:v>
                </c:pt>
                <c:pt idx="164">
                  <c:v>1949553.69</c:v>
                </c:pt>
                <c:pt idx="165">
                  <c:v>1057065.44</c:v>
                </c:pt>
                <c:pt idx="166">
                  <c:v>3154049.64</c:v>
                </c:pt>
                <c:pt idx="167">
                  <c:v>1201720.08</c:v>
                </c:pt>
                <c:pt idx="168">
                  <c:v>847466.4</c:v>
                </c:pt>
                <c:pt idx="169">
                  <c:v>1239136.8</c:v>
                </c:pt>
                <c:pt idx="170">
                  <c:v>1315849.9200000002</c:v>
                </c:pt>
                <c:pt idx="171">
                  <c:v>2358324.83</c:v>
                </c:pt>
                <c:pt idx="172">
                  <c:v>3741201.45</c:v>
                </c:pt>
                <c:pt idx="173">
                  <c:v>188632.84</c:v>
                </c:pt>
                <c:pt idx="174">
                  <c:v>795995.52</c:v>
                </c:pt>
                <c:pt idx="175">
                  <c:v>1043448.38</c:v>
                </c:pt>
                <c:pt idx="176">
                  <c:v>595672.32000000007</c:v>
                </c:pt>
                <c:pt idx="177">
                  <c:v>2499995.19</c:v>
                </c:pt>
                <c:pt idx="178">
                  <c:v>5710460.4900000002</c:v>
                </c:pt>
                <c:pt idx="179">
                  <c:v>138506.55000000002</c:v>
                </c:pt>
                <c:pt idx="180">
                  <c:v>1551800.7999999998</c:v>
                </c:pt>
                <c:pt idx="181">
                  <c:v>647921.12</c:v>
                </c:pt>
                <c:pt idx="182">
                  <c:v>1726234.4</c:v>
                </c:pt>
                <c:pt idx="183">
                  <c:v>4865673.87</c:v>
                </c:pt>
                <c:pt idx="184">
                  <c:v>1287442.1700000002</c:v>
                </c:pt>
                <c:pt idx="185">
                  <c:v>184580.5</c:v>
                </c:pt>
                <c:pt idx="186">
                  <c:v>69466.8</c:v>
                </c:pt>
                <c:pt idx="187">
                  <c:v>788991.18</c:v>
                </c:pt>
                <c:pt idx="188">
                  <c:v>517541.19999999995</c:v>
                </c:pt>
                <c:pt idx="189">
                  <c:v>1327339.2</c:v>
                </c:pt>
                <c:pt idx="190">
                  <c:v>30770.34</c:v>
                </c:pt>
                <c:pt idx="191">
                  <c:v>155368.73000000001</c:v>
                </c:pt>
                <c:pt idx="192">
                  <c:v>689264.44000000006</c:v>
                </c:pt>
                <c:pt idx="193">
                  <c:v>3661161.42</c:v>
                </c:pt>
                <c:pt idx="194">
                  <c:v>85901.31</c:v>
                </c:pt>
                <c:pt idx="195">
                  <c:v>1216727.5999999999</c:v>
                </c:pt>
                <c:pt idx="196">
                  <c:v>487137.72000000003</c:v>
                </c:pt>
                <c:pt idx="197">
                  <c:v>3991917.3000000003</c:v>
                </c:pt>
                <c:pt idx="198">
                  <c:v>926267.1</c:v>
                </c:pt>
                <c:pt idx="199">
                  <c:v>477727.98000000004</c:v>
                </c:pt>
                <c:pt idx="200">
                  <c:v>599909.64</c:v>
                </c:pt>
                <c:pt idx="201">
                  <c:v>33357.35</c:v>
                </c:pt>
                <c:pt idx="202">
                  <c:v>1148504.72</c:v>
                </c:pt>
                <c:pt idx="203">
                  <c:v>902324.96</c:v>
                </c:pt>
                <c:pt idx="204">
                  <c:v>836185.98</c:v>
                </c:pt>
                <c:pt idx="205">
                  <c:v>71934.3</c:v>
                </c:pt>
                <c:pt idx="206">
                  <c:v>42050.31</c:v>
                </c:pt>
                <c:pt idx="207">
                  <c:v>1518832.8</c:v>
                </c:pt>
                <c:pt idx="208">
                  <c:v>563412.29999999993</c:v>
                </c:pt>
                <c:pt idx="209">
                  <c:v>269156.64</c:v>
                </c:pt>
                <c:pt idx="210">
                  <c:v>2511955.2000000002</c:v>
                </c:pt>
                <c:pt idx="211">
                  <c:v>38187.69</c:v>
                </c:pt>
                <c:pt idx="212">
                  <c:v>227392.56</c:v>
                </c:pt>
                <c:pt idx="213">
                  <c:v>22557.48</c:v>
                </c:pt>
                <c:pt idx="214">
                  <c:v>2451180.9</c:v>
                </c:pt>
                <c:pt idx="215">
                  <c:v>836083.62</c:v>
                </c:pt>
                <c:pt idx="216">
                  <c:v>2283793.4700000002</c:v>
                </c:pt>
                <c:pt idx="217">
                  <c:v>306527</c:v>
                </c:pt>
                <c:pt idx="218">
                  <c:v>1973314.4</c:v>
                </c:pt>
                <c:pt idx="219">
                  <c:v>1176651.21</c:v>
                </c:pt>
                <c:pt idx="220">
                  <c:v>338689.12</c:v>
                </c:pt>
                <c:pt idx="221">
                  <c:v>1615667.12</c:v>
                </c:pt>
                <c:pt idx="222">
                  <c:v>609462.24</c:v>
                </c:pt>
                <c:pt idx="223">
                  <c:v>306904.39999999997</c:v>
                </c:pt>
                <c:pt idx="224">
                  <c:v>1789384.2999999998</c:v>
                </c:pt>
                <c:pt idx="225">
                  <c:v>1068200.0999999999</c:v>
                </c:pt>
                <c:pt idx="226">
                  <c:v>446404.36</c:v>
                </c:pt>
                <c:pt idx="227">
                  <c:v>2993508.4</c:v>
                </c:pt>
                <c:pt idx="228">
                  <c:v>511164.5</c:v>
                </c:pt>
                <c:pt idx="229">
                  <c:v>1289020.02</c:v>
                </c:pt>
                <c:pt idx="230">
                  <c:v>1505597.52</c:v>
                </c:pt>
                <c:pt idx="231">
                  <c:v>1822249.5999999999</c:v>
                </c:pt>
                <c:pt idx="232">
                  <c:v>89063.2</c:v>
                </c:pt>
                <c:pt idx="233">
                  <c:v>296890.64</c:v>
                </c:pt>
                <c:pt idx="234">
                  <c:v>54852.200000000004</c:v>
                </c:pt>
                <c:pt idx="235">
                  <c:v>1803371.9</c:v>
                </c:pt>
                <c:pt idx="236">
                  <c:v>5860890</c:v>
                </c:pt>
                <c:pt idx="237">
                  <c:v>1370055.58</c:v>
                </c:pt>
                <c:pt idx="238">
                  <c:v>1059787.68</c:v>
                </c:pt>
                <c:pt idx="239">
                  <c:v>917427.3</c:v>
                </c:pt>
                <c:pt idx="240">
                  <c:v>21962.82</c:v>
                </c:pt>
                <c:pt idx="241">
                  <c:v>2897962.4099999997</c:v>
                </c:pt>
                <c:pt idx="242">
                  <c:v>260669.52</c:v>
                </c:pt>
                <c:pt idx="243">
                  <c:v>49680.15</c:v>
                </c:pt>
                <c:pt idx="244">
                  <c:v>4030338.6900000004</c:v>
                </c:pt>
                <c:pt idx="245">
                  <c:v>269981.08</c:v>
                </c:pt>
                <c:pt idx="246">
                  <c:v>438212.8</c:v>
                </c:pt>
                <c:pt idx="247">
                  <c:v>87272.82</c:v>
                </c:pt>
                <c:pt idx="248">
                  <c:v>54281.94</c:v>
                </c:pt>
                <c:pt idx="249">
                  <c:v>2103369.1999999997</c:v>
                </c:pt>
                <c:pt idx="250">
                  <c:v>728874.66</c:v>
                </c:pt>
                <c:pt idx="251">
                  <c:v>2611077.21</c:v>
                </c:pt>
                <c:pt idx="252">
                  <c:v>310892.40000000002</c:v>
                </c:pt>
                <c:pt idx="253">
                  <c:v>2361754.4</c:v>
                </c:pt>
                <c:pt idx="254">
                  <c:v>1420062.06</c:v>
                </c:pt>
                <c:pt idx="255">
                  <c:v>1047309.1200000001</c:v>
                </c:pt>
                <c:pt idx="256">
                  <c:v>302809.65000000002</c:v>
                </c:pt>
                <c:pt idx="257">
                  <c:v>355400.5</c:v>
                </c:pt>
                <c:pt idx="258">
                  <c:v>743120.08</c:v>
                </c:pt>
                <c:pt idx="259">
                  <c:v>2823287.88</c:v>
                </c:pt>
                <c:pt idx="260">
                  <c:v>1092273.21</c:v>
                </c:pt>
                <c:pt idx="261">
                  <c:v>521927.78</c:v>
                </c:pt>
                <c:pt idx="262">
                  <c:v>380966.67</c:v>
                </c:pt>
                <c:pt idx="263">
                  <c:v>107750.08</c:v>
                </c:pt>
                <c:pt idx="264">
                  <c:v>404084.2</c:v>
                </c:pt>
                <c:pt idx="265">
                  <c:v>4822210.05</c:v>
                </c:pt>
                <c:pt idx="266">
                  <c:v>5743112.3799999999</c:v>
                </c:pt>
                <c:pt idx="267">
                  <c:v>552628.96</c:v>
                </c:pt>
                <c:pt idx="268">
                  <c:v>1398554.2999999998</c:v>
                </c:pt>
                <c:pt idx="269">
                  <c:v>3914057.3899999997</c:v>
                </c:pt>
                <c:pt idx="270">
                  <c:v>106003.81000000001</c:v>
                </c:pt>
                <c:pt idx="271">
                  <c:v>461052.32</c:v>
                </c:pt>
                <c:pt idx="272">
                  <c:v>1202737.2</c:v>
                </c:pt>
                <c:pt idx="273">
                  <c:v>4594937.7600000007</c:v>
                </c:pt>
                <c:pt idx="274">
                  <c:v>1824674.25</c:v>
                </c:pt>
                <c:pt idx="275">
                  <c:v>179503.35</c:v>
                </c:pt>
                <c:pt idx="276">
                  <c:v>259437.04</c:v>
                </c:pt>
                <c:pt idx="277">
                  <c:v>1298789.7999999998</c:v>
                </c:pt>
                <c:pt idx="278">
                  <c:v>326856.48</c:v>
                </c:pt>
                <c:pt idx="279">
                  <c:v>740718.99</c:v>
                </c:pt>
                <c:pt idx="280">
                  <c:v>1359487.8</c:v>
                </c:pt>
                <c:pt idx="281">
                  <c:v>977291.04</c:v>
                </c:pt>
                <c:pt idx="282">
                  <c:v>1697053.26</c:v>
                </c:pt>
                <c:pt idx="283">
                  <c:v>819354.60000000009</c:v>
                </c:pt>
                <c:pt idx="284">
                  <c:v>2486937.7600000002</c:v>
                </c:pt>
                <c:pt idx="285">
                  <c:v>171745.38999999998</c:v>
                </c:pt>
                <c:pt idx="286">
                  <c:v>927022.24</c:v>
                </c:pt>
                <c:pt idx="287">
                  <c:v>380454.10000000003</c:v>
                </c:pt>
                <c:pt idx="288">
                  <c:v>450442.85000000003</c:v>
                </c:pt>
                <c:pt idx="289">
                  <c:v>1145131.8999999999</c:v>
                </c:pt>
                <c:pt idx="290">
                  <c:v>1220829.5</c:v>
                </c:pt>
                <c:pt idx="291">
                  <c:v>1013866.7999999999</c:v>
                </c:pt>
                <c:pt idx="292">
                  <c:v>530062.92000000004</c:v>
                </c:pt>
                <c:pt idx="293">
                  <c:v>81756.399999999994</c:v>
                </c:pt>
                <c:pt idx="294">
                  <c:v>178431.54</c:v>
                </c:pt>
                <c:pt idx="295">
                  <c:v>2395747.9499999997</c:v>
                </c:pt>
                <c:pt idx="296">
                  <c:v>1786704.72</c:v>
                </c:pt>
                <c:pt idx="297">
                  <c:v>4121921.6</c:v>
                </c:pt>
                <c:pt idx="298">
                  <c:v>2978643.6</c:v>
                </c:pt>
                <c:pt idx="299">
                  <c:v>4764096.83</c:v>
                </c:pt>
                <c:pt idx="300">
                  <c:v>439707.4</c:v>
                </c:pt>
                <c:pt idx="301">
                  <c:v>80256.66</c:v>
                </c:pt>
                <c:pt idx="302">
                  <c:v>562645.44000000006</c:v>
                </c:pt>
                <c:pt idx="303">
                  <c:v>3486077.07</c:v>
                </c:pt>
                <c:pt idx="304">
                  <c:v>599486.82000000007</c:v>
                </c:pt>
                <c:pt idx="305">
                  <c:v>330462.72000000003</c:v>
                </c:pt>
                <c:pt idx="306">
                  <c:v>3265428.6</c:v>
                </c:pt>
                <c:pt idx="307">
                  <c:v>1005560</c:v>
                </c:pt>
                <c:pt idx="308">
                  <c:v>2032028.8</c:v>
                </c:pt>
                <c:pt idx="309">
                  <c:v>874786.4</c:v>
                </c:pt>
                <c:pt idx="310">
                  <c:v>225002.69</c:v>
                </c:pt>
                <c:pt idx="311">
                  <c:v>936346.39999999991</c:v>
                </c:pt>
                <c:pt idx="312">
                  <c:v>25965.39</c:v>
                </c:pt>
                <c:pt idx="313">
                  <c:v>723882.61</c:v>
                </c:pt>
                <c:pt idx="314">
                  <c:v>185384.7</c:v>
                </c:pt>
                <c:pt idx="315">
                  <c:v>216852.93000000002</c:v>
                </c:pt>
                <c:pt idx="316">
                  <c:v>566529.54</c:v>
                </c:pt>
                <c:pt idx="317">
                  <c:v>581530.53</c:v>
                </c:pt>
                <c:pt idx="318">
                  <c:v>689801.20000000007</c:v>
                </c:pt>
                <c:pt idx="319">
                  <c:v>763059.18</c:v>
                </c:pt>
                <c:pt idx="320">
                  <c:v>1547252.08</c:v>
                </c:pt>
                <c:pt idx="321">
                  <c:v>3976735.1399999997</c:v>
                </c:pt>
                <c:pt idx="322">
                  <c:v>462163</c:v>
                </c:pt>
                <c:pt idx="323">
                  <c:v>766438.2</c:v>
                </c:pt>
                <c:pt idx="324">
                  <c:v>243893.00000000003</c:v>
                </c:pt>
                <c:pt idx="325">
                  <c:v>2493575.04</c:v>
                </c:pt>
                <c:pt idx="326">
                  <c:v>186684.4</c:v>
                </c:pt>
                <c:pt idx="327">
                  <c:v>299819.7</c:v>
                </c:pt>
                <c:pt idx="328">
                  <c:v>684420.64</c:v>
                </c:pt>
                <c:pt idx="329">
                  <c:v>3161830.4</c:v>
                </c:pt>
                <c:pt idx="330">
                  <c:v>2452446.5699999998</c:v>
                </c:pt>
                <c:pt idx="331">
                  <c:v>236395.90000000002</c:v>
                </c:pt>
                <c:pt idx="332">
                  <c:v>723534.3600000001</c:v>
                </c:pt>
                <c:pt idx="333">
                  <c:v>3116798.8</c:v>
                </c:pt>
                <c:pt idx="334">
                  <c:v>249308.4</c:v>
                </c:pt>
                <c:pt idx="335">
                  <c:v>3412246.32</c:v>
                </c:pt>
                <c:pt idx="336">
                  <c:v>907259.34</c:v>
                </c:pt>
                <c:pt idx="337">
                  <c:v>735328.38</c:v>
                </c:pt>
                <c:pt idx="338">
                  <c:v>18053.55</c:v>
                </c:pt>
                <c:pt idx="339">
                  <c:v>721029.44000000006</c:v>
                </c:pt>
                <c:pt idx="340">
                  <c:v>2116622.13</c:v>
                </c:pt>
                <c:pt idx="341">
                  <c:v>598526.56000000006</c:v>
                </c:pt>
                <c:pt idx="342">
                  <c:v>1441011.2</c:v>
                </c:pt>
                <c:pt idx="343">
                  <c:v>1486495.44</c:v>
                </c:pt>
                <c:pt idx="344">
                  <c:v>3138017.82</c:v>
                </c:pt>
                <c:pt idx="345">
                  <c:v>497442.56</c:v>
                </c:pt>
                <c:pt idx="346">
                  <c:v>124654.2</c:v>
                </c:pt>
                <c:pt idx="347">
                  <c:v>165768.56</c:v>
                </c:pt>
                <c:pt idx="348">
                  <c:v>3571298.85</c:v>
                </c:pt>
                <c:pt idx="349">
                  <c:v>3084437.79</c:v>
                </c:pt>
                <c:pt idx="350">
                  <c:v>4013058.8</c:v>
                </c:pt>
                <c:pt idx="351">
                  <c:v>1957742.32</c:v>
                </c:pt>
                <c:pt idx="352">
                  <c:v>161851.95000000001</c:v>
                </c:pt>
                <c:pt idx="353">
                  <c:v>84585.78</c:v>
                </c:pt>
                <c:pt idx="354">
                  <c:v>353563.98000000004</c:v>
                </c:pt>
                <c:pt idx="355">
                  <c:v>8536.9500000000007</c:v>
                </c:pt>
                <c:pt idx="356">
                  <c:v>829216.64</c:v>
                </c:pt>
                <c:pt idx="357">
                  <c:v>1055446.7</c:v>
                </c:pt>
                <c:pt idx="358">
                  <c:v>909515.47</c:v>
                </c:pt>
                <c:pt idx="359">
                  <c:v>943925.62</c:v>
                </c:pt>
                <c:pt idx="360">
                  <c:v>971810.48</c:v>
                </c:pt>
                <c:pt idx="361">
                  <c:v>532038.57000000007</c:v>
                </c:pt>
                <c:pt idx="362">
                  <c:v>457279.35000000003</c:v>
                </c:pt>
                <c:pt idx="363">
                  <c:v>3635004.2399999998</c:v>
                </c:pt>
                <c:pt idx="364">
                  <c:v>231793.25</c:v>
                </c:pt>
                <c:pt idx="365">
                  <c:v>935788.77</c:v>
                </c:pt>
                <c:pt idx="366">
                  <c:v>191329.93000000002</c:v>
                </c:pt>
                <c:pt idx="367">
                  <c:v>563783.10000000009</c:v>
                </c:pt>
                <c:pt idx="368">
                  <c:v>5766501.8300000001</c:v>
                </c:pt>
                <c:pt idx="369">
                  <c:v>1007308.7999999999</c:v>
                </c:pt>
                <c:pt idx="370">
                  <c:v>1054632.9600000002</c:v>
                </c:pt>
                <c:pt idx="371">
                  <c:v>4462707.0599999996</c:v>
                </c:pt>
                <c:pt idx="372">
                  <c:v>311994.40000000002</c:v>
                </c:pt>
                <c:pt idx="373">
                  <c:v>1795761</c:v>
                </c:pt>
                <c:pt idx="374">
                  <c:v>377674.33</c:v>
                </c:pt>
                <c:pt idx="375">
                  <c:v>591387.5</c:v>
                </c:pt>
                <c:pt idx="376">
                  <c:v>1212511.8599999999</c:v>
                </c:pt>
                <c:pt idx="377">
                  <c:v>2635441.6</c:v>
                </c:pt>
                <c:pt idx="378">
                  <c:v>160240.29999999999</c:v>
                </c:pt>
                <c:pt idx="379">
                  <c:v>3206785.8899999997</c:v>
                </c:pt>
                <c:pt idx="380">
                  <c:v>1020864.72</c:v>
                </c:pt>
                <c:pt idx="381">
                  <c:v>1450883.2200000002</c:v>
                </c:pt>
                <c:pt idx="382">
                  <c:v>294901.11</c:v>
                </c:pt>
                <c:pt idx="383">
                  <c:v>1574311.76</c:v>
                </c:pt>
                <c:pt idx="384">
                  <c:v>126109.39</c:v>
                </c:pt>
                <c:pt idx="385">
                  <c:v>41863.71</c:v>
                </c:pt>
                <c:pt idx="386">
                  <c:v>1994055.7999999998</c:v>
                </c:pt>
                <c:pt idx="387">
                  <c:v>592773.30000000005</c:v>
                </c:pt>
                <c:pt idx="388">
                  <c:v>532038.57000000007</c:v>
                </c:pt>
                <c:pt idx="389">
                  <c:v>512855.75</c:v>
                </c:pt>
                <c:pt idx="390">
                  <c:v>785241.28</c:v>
                </c:pt>
                <c:pt idx="391">
                  <c:v>2653366.7999999998</c:v>
                </c:pt>
                <c:pt idx="392">
                  <c:v>779712.8</c:v>
                </c:pt>
                <c:pt idx="393">
                  <c:v>37848.799999999996</c:v>
                </c:pt>
                <c:pt idx="394">
                  <c:v>2597998.62</c:v>
                </c:pt>
                <c:pt idx="395">
                  <c:v>1237255.8600000001</c:v>
                </c:pt>
                <c:pt idx="396">
                  <c:v>634807.52</c:v>
                </c:pt>
                <c:pt idx="397">
                  <c:v>72456.150000000009</c:v>
                </c:pt>
                <c:pt idx="398">
                  <c:v>648770.16</c:v>
                </c:pt>
                <c:pt idx="399">
                  <c:v>3310100.43</c:v>
                </c:pt>
                <c:pt idx="400">
                  <c:v>235061.28</c:v>
                </c:pt>
                <c:pt idx="401">
                  <c:v>865200.96</c:v>
                </c:pt>
                <c:pt idx="402">
                  <c:v>24920.43</c:v>
                </c:pt>
                <c:pt idx="403">
                  <c:v>387248.04000000004</c:v>
                </c:pt>
                <c:pt idx="404">
                  <c:v>224902.92</c:v>
                </c:pt>
                <c:pt idx="405">
                  <c:v>5189116.55</c:v>
                </c:pt>
                <c:pt idx="406">
                  <c:v>1026405.66</c:v>
                </c:pt>
                <c:pt idx="407">
                  <c:v>466596.57</c:v>
                </c:pt>
                <c:pt idx="408">
                  <c:v>84819.03</c:v>
                </c:pt>
                <c:pt idx="409">
                  <c:v>155873.25</c:v>
                </c:pt>
                <c:pt idx="410">
                  <c:v>82183.400000000009</c:v>
                </c:pt>
                <c:pt idx="411">
                  <c:v>2529058.96</c:v>
                </c:pt>
                <c:pt idx="412">
                  <c:v>2929.62</c:v>
                </c:pt>
                <c:pt idx="413">
                  <c:v>3159534.21</c:v>
                </c:pt>
                <c:pt idx="414">
                  <c:v>2004810</c:v>
                </c:pt>
                <c:pt idx="415">
                  <c:v>4151.8500000000004</c:v>
                </c:pt>
                <c:pt idx="416">
                  <c:v>93593.5</c:v>
                </c:pt>
                <c:pt idx="417">
                  <c:v>465043.7</c:v>
                </c:pt>
                <c:pt idx="418">
                  <c:v>900172.58</c:v>
                </c:pt>
                <c:pt idx="419">
                  <c:v>215522.01</c:v>
                </c:pt>
                <c:pt idx="420">
                  <c:v>229041.15000000002</c:v>
                </c:pt>
                <c:pt idx="421">
                  <c:v>492992</c:v>
                </c:pt>
                <c:pt idx="422">
                  <c:v>1146160.3999999999</c:v>
                </c:pt>
                <c:pt idx="423">
                  <c:v>16728.689999999999</c:v>
                </c:pt>
                <c:pt idx="424">
                  <c:v>414855.35000000003</c:v>
                </c:pt>
                <c:pt idx="425">
                  <c:v>252955.95</c:v>
                </c:pt>
                <c:pt idx="426">
                  <c:v>69993.66</c:v>
                </c:pt>
                <c:pt idx="427">
                  <c:v>2102105.88</c:v>
                </c:pt>
                <c:pt idx="428">
                  <c:v>4893191.9400000004</c:v>
                </c:pt>
                <c:pt idx="429">
                  <c:v>808344.16</c:v>
                </c:pt>
                <c:pt idx="430">
                  <c:v>329492.80000000005</c:v>
                </c:pt>
                <c:pt idx="431">
                  <c:v>347097.18</c:v>
                </c:pt>
                <c:pt idx="432">
                  <c:v>527485.42000000004</c:v>
                </c:pt>
                <c:pt idx="433">
                  <c:v>718499.22000000009</c:v>
                </c:pt>
                <c:pt idx="434">
                  <c:v>1418892.6</c:v>
                </c:pt>
                <c:pt idx="435">
                  <c:v>38999.4</c:v>
                </c:pt>
                <c:pt idx="436">
                  <c:v>584736.25</c:v>
                </c:pt>
                <c:pt idx="437">
                  <c:v>1088476.2</c:v>
                </c:pt>
                <c:pt idx="438">
                  <c:v>1466904.12</c:v>
                </c:pt>
                <c:pt idx="439">
                  <c:v>666001.38</c:v>
                </c:pt>
                <c:pt idx="440">
                  <c:v>929212.20000000007</c:v>
                </c:pt>
                <c:pt idx="441">
                  <c:v>1614135.44</c:v>
                </c:pt>
                <c:pt idx="442">
                  <c:v>1462692.63</c:v>
                </c:pt>
                <c:pt idx="443">
                  <c:v>873584.32000000007</c:v>
                </c:pt>
                <c:pt idx="444">
                  <c:v>1141584.6000000001</c:v>
                </c:pt>
                <c:pt idx="445">
                  <c:v>527362.5</c:v>
                </c:pt>
                <c:pt idx="446">
                  <c:v>497163.59</c:v>
                </c:pt>
                <c:pt idx="447">
                  <c:v>77052.900000000009</c:v>
                </c:pt>
                <c:pt idx="448">
                  <c:v>22954.94</c:v>
                </c:pt>
                <c:pt idx="449">
                  <c:v>1169072.8</c:v>
                </c:pt>
                <c:pt idx="450">
                  <c:v>427208.38</c:v>
                </c:pt>
                <c:pt idx="451">
                  <c:v>783428.32000000007</c:v>
                </c:pt>
                <c:pt idx="452">
                  <c:v>4205426.8</c:v>
                </c:pt>
                <c:pt idx="453">
                  <c:v>909878.36</c:v>
                </c:pt>
                <c:pt idx="454">
                  <c:v>2259228</c:v>
                </c:pt>
                <c:pt idx="455">
                  <c:v>2204622.73</c:v>
                </c:pt>
                <c:pt idx="456">
                  <c:v>53713.4</c:v>
                </c:pt>
                <c:pt idx="457">
                  <c:v>2737309.1999999997</c:v>
                </c:pt>
                <c:pt idx="458">
                  <c:v>1052038.56</c:v>
                </c:pt>
                <c:pt idx="459">
                  <c:v>199574.7</c:v>
                </c:pt>
                <c:pt idx="460">
                  <c:v>47.45</c:v>
                </c:pt>
                <c:pt idx="461">
                  <c:v>1380696.4200000002</c:v>
                </c:pt>
                <c:pt idx="462">
                  <c:v>45569.760000000002</c:v>
                </c:pt>
                <c:pt idx="463">
                  <c:v>425241.19</c:v>
                </c:pt>
                <c:pt idx="464">
                  <c:v>237098.34</c:v>
                </c:pt>
                <c:pt idx="465">
                  <c:v>783300.32000000007</c:v>
                </c:pt>
                <c:pt idx="466">
                  <c:v>1006165.86</c:v>
                </c:pt>
                <c:pt idx="467">
                  <c:v>409469.12</c:v>
                </c:pt>
                <c:pt idx="468">
                  <c:v>162841.42000000001</c:v>
                </c:pt>
                <c:pt idx="469">
                  <c:v>2123762.06</c:v>
                </c:pt>
                <c:pt idx="470">
                  <c:v>2193262.14</c:v>
                </c:pt>
                <c:pt idx="471">
                  <c:v>1343249.1400000001</c:v>
                </c:pt>
                <c:pt idx="472">
                  <c:v>36097.769999999997</c:v>
                </c:pt>
                <c:pt idx="473">
                  <c:v>792330.58</c:v>
                </c:pt>
                <c:pt idx="474">
                  <c:v>283893.35000000003</c:v>
                </c:pt>
                <c:pt idx="475">
                  <c:v>284256.54000000004</c:v>
                </c:pt>
                <c:pt idx="476">
                  <c:v>2311476.4</c:v>
                </c:pt>
                <c:pt idx="477">
                  <c:v>86659.040000000008</c:v>
                </c:pt>
                <c:pt idx="478">
                  <c:v>1532280.76</c:v>
                </c:pt>
                <c:pt idx="479">
                  <c:v>4241509.6899999995</c:v>
                </c:pt>
                <c:pt idx="480">
                  <c:v>406355.04000000004</c:v>
                </c:pt>
                <c:pt idx="481">
                  <c:v>1118802.3</c:v>
                </c:pt>
                <c:pt idx="482">
                  <c:v>4515.72</c:v>
                </c:pt>
                <c:pt idx="483">
                  <c:v>1539253.0999999999</c:v>
                </c:pt>
                <c:pt idx="484">
                  <c:v>48432.03</c:v>
                </c:pt>
                <c:pt idx="485">
                  <c:v>2936378.38</c:v>
                </c:pt>
                <c:pt idx="486">
                  <c:v>317895.52</c:v>
                </c:pt>
                <c:pt idx="487">
                  <c:v>90125.1</c:v>
                </c:pt>
                <c:pt idx="488">
                  <c:v>470122.56</c:v>
                </c:pt>
                <c:pt idx="489">
                  <c:v>242819.83000000002</c:v>
                </c:pt>
                <c:pt idx="490">
                  <c:v>646879.52</c:v>
                </c:pt>
                <c:pt idx="491">
                  <c:v>78869.45</c:v>
                </c:pt>
                <c:pt idx="492">
                  <c:v>1429206.8</c:v>
                </c:pt>
                <c:pt idx="493">
                  <c:v>60477.06</c:v>
                </c:pt>
                <c:pt idx="494">
                  <c:v>3041801.91</c:v>
                </c:pt>
                <c:pt idx="495">
                  <c:v>809429.5</c:v>
                </c:pt>
                <c:pt idx="496">
                  <c:v>1129702.32</c:v>
                </c:pt>
                <c:pt idx="497">
                  <c:v>159716.53</c:v>
                </c:pt>
                <c:pt idx="498">
                  <c:v>953008.1</c:v>
                </c:pt>
                <c:pt idx="499">
                  <c:v>989005.6</c:v>
                </c:pt>
                <c:pt idx="500">
                  <c:v>308364.18000000005</c:v>
                </c:pt>
                <c:pt idx="501">
                  <c:v>4177883.1999999997</c:v>
                </c:pt>
                <c:pt idx="502">
                  <c:v>72139.56</c:v>
                </c:pt>
                <c:pt idx="503">
                  <c:v>5944929.9199999999</c:v>
                </c:pt>
                <c:pt idx="504">
                  <c:v>1582440.3</c:v>
                </c:pt>
                <c:pt idx="505">
                  <c:v>2487448.3199999998</c:v>
                </c:pt>
                <c:pt idx="506">
                  <c:v>1908896</c:v>
                </c:pt>
                <c:pt idx="507">
                  <c:v>14116.29</c:v>
                </c:pt>
                <c:pt idx="508">
                  <c:v>602080.68000000005</c:v>
                </c:pt>
                <c:pt idx="509">
                  <c:v>57062.28</c:v>
                </c:pt>
                <c:pt idx="510">
                  <c:v>217842.95</c:v>
                </c:pt>
                <c:pt idx="511">
                  <c:v>1215910.02</c:v>
                </c:pt>
                <c:pt idx="512">
                  <c:v>289632.8</c:v>
                </c:pt>
                <c:pt idx="513">
                  <c:v>613929.1</c:v>
                </c:pt>
                <c:pt idx="514">
                  <c:v>425958.65</c:v>
                </c:pt>
                <c:pt idx="515">
                  <c:v>545931.24</c:v>
                </c:pt>
                <c:pt idx="516">
                  <c:v>317806.5</c:v>
                </c:pt>
                <c:pt idx="517">
                  <c:v>80825.789999999994</c:v>
                </c:pt>
                <c:pt idx="518">
                  <c:v>72298.17</c:v>
                </c:pt>
                <c:pt idx="519">
                  <c:v>562781.18000000005</c:v>
                </c:pt>
                <c:pt idx="520">
                  <c:v>1271611.24</c:v>
                </c:pt>
                <c:pt idx="521">
                  <c:v>3557560.23</c:v>
                </c:pt>
                <c:pt idx="522">
                  <c:v>2720258.4</c:v>
                </c:pt>
                <c:pt idx="523">
                  <c:v>2342954.62</c:v>
                </c:pt>
                <c:pt idx="524">
                  <c:v>68276.94</c:v>
                </c:pt>
                <c:pt idx="525">
                  <c:v>460075.2</c:v>
                </c:pt>
                <c:pt idx="526">
                  <c:v>1481094.06</c:v>
                </c:pt>
                <c:pt idx="527">
                  <c:v>400857.60000000003</c:v>
                </c:pt>
                <c:pt idx="528">
                  <c:v>833290.7</c:v>
                </c:pt>
                <c:pt idx="529">
                  <c:v>1704249.28</c:v>
                </c:pt>
                <c:pt idx="530">
                  <c:v>2349637.3199999998</c:v>
                </c:pt>
                <c:pt idx="531">
                  <c:v>2470690.7400000002</c:v>
                </c:pt>
                <c:pt idx="532">
                  <c:v>774460.5</c:v>
                </c:pt>
                <c:pt idx="533">
                  <c:v>81376.75</c:v>
                </c:pt>
                <c:pt idx="534">
                  <c:v>1980084.01</c:v>
                </c:pt>
                <c:pt idx="535">
                  <c:v>747961.3</c:v>
                </c:pt>
                <c:pt idx="536">
                  <c:v>1153944.1200000001</c:v>
                </c:pt>
                <c:pt idx="537">
                  <c:v>5978.7000000000007</c:v>
                </c:pt>
                <c:pt idx="538">
                  <c:v>690946.29999999993</c:v>
                </c:pt>
                <c:pt idx="539">
                  <c:v>329492.80000000005</c:v>
                </c:pt>
                <c:pt idx="540">
                  <c:v>521647.16000000003</c:v>
                </c:pt>
                <c:pt idx="541">
                  <c:v>3157021.1999999997</c:v>
                </c:pt>
                <c:pt idx="542">
                  <c:v>158.61000000000001</c:v>
                </c:pt>
                <c:pt idx="543">
                  <c:v>827764.38</c:v>
                </c:pt>
                <c:pt idx="544">
                  <c:v>1000187.04</c:v>
                </c:pt>
                <c:pt idx="545">
                  <c:v>1268397.54</c:v>
                </c:pt>
                <c:pt idx="546">
                  <c:v>1271149.06</c:v>
                </c:pt>
                <c:pt idx="547">
                  <c:v>832323.9</c:v>
                </c:pt>
                <c:pt idx="548">
                  <c:v>948550.4</c:v>
                </c:pt>
                <c:pt idx="549">
                  <c:v>3809323.6</c:v>
                </c:pt>
                <c:pt idx="550">
                  <c:v>1422191.19</c:v>
                </c:pt>
                <c:pt idx="551">
                  <c:v>1672011.54</c:v>
                </c:pt>
                <c:pt idx="552">
                  <c:v>1995454.22</c:v>
                </c:pt>
                <c:pt idx="553">
                  <c:v>1575759.15</c:v>
                </c:pt>
                <c:pt idx="554">
                  <c:v>176398.48</c:v>
                </c:pt>
                <c:pt idx="555">
                  <c:v>86691.150000000009</c:v>
                </c:pt>
                <c:pt idx="556">
                  <c:v>442049.3</c:v>
                </c:pt>
                <c:pt idx="557">
                  <c:v>412435.4</c:v>
                </c:pt>
                <c:pt idx="558">
                  <c:v>1136081.0999999999</c:v>
                </c:pt>
                <c:pt idx="559">
                  <c:v>2231913.04</c:v>
                </c:pt>
                <c:pt idx="560">
                  <c:v>646618.79999999993</c:v>
                </c:pt>
                <c:pt idx="561">
                  <c:v>5943593.3799999999</c:v>
                </c:pt>
                <c:pt idx="562">
                  <c:v>811790.4</c:v>
                </c:pt>
                <c:pt idx="563">
                  <c:v>1760997.7</c:v>
                </c:pt>
                <c:pt idx="564">
                  <c:v>1294058.7</c:v>
                </c:pt>
                <c:pt idx="565">
                  <c:v>2464983.6800000002</c:v>
                </c:pt>
                <c:pt idx="566">
                  <c:v>1369405.5</c:v>
                </c:pt>
                <c:pt idx="567">
                  <c:v>61531.35</c:v>
                </c:pt>
                <c:pt idx="568">
                  <c:v>828931.2</c:v>
                </c:pt>
                <c:pt idx="569">
                  <c:v>2749988</c:v>
                </c:pt>
                <c:pt idx="570">
                  <c:v>389991.55000000005</c:v>
                </c:pt>
                <c:pt idx="571">
                  <c:v>1244442.4800000002</c:v>
                </c:pt>
                <c:pt idx="572">
                  <c:v>294800.11</c:v>
                </c:pt>
                <c:pt idx="573">
                  <c:v>38318.31</c:v>
                </c:pt>
                <c:pt idx="574">
                  <c:v>4053782.25</c:v>
                </c:pt>
                <c:pt idx="575">
                  <c:v>1760380.5999999999</c:v>
                </c:pt>
                <c:pt idx="576">
                  <c:v>2841851.04</c:v>
                </c:pt>
                <c:pt idx="577">
                  <c:v>5627501.6699999999</c:v>
                </c:pt>
                <c:pt idx="578">
                  <c:v>678849.38</c:v>
                </c:pt>
                <c:pt idx="579">
                  <c:v>640138.39999999991</c:v>
                </c:pt>
                <c:pt idx="580">
                  <c:v>2884208.4</c:v>
                </c:pt>
                <c:pt idx="581">
                  <c:v>2959749.45</c:v>
                </c:pt>
                <c:pt idx="582">
                  <c:v>798829.02</c:v>
                </c:pt>
                <c:pt idx="583">
                  <c:v>3118110.4</c:v>
                </c:pt>
                <c:pt idx="584">
                  <c:v>1297082.58</c:v>
                </c:pt>
                <c:pt idx="585">
                  <c:v>369588.05000000005</c:v>
                </c:pt>
                <c:pt idx="586">
                  <c:v>649232.48</c:v>
                </c:pt>
                <c:pt idx="587">
                  <c:v>484658.9</c:v>
                </c:pt>
                <c:pt idx="588">
                  <c:v>848012.80000000005</c:v>
                </c:pt>
                <c:pt idx="589">
                  <c:v>32356.44</c:v>
                </c:pt>
                <c:pt idx="590">
                  <c:v>927301.2</c:v>
                </c:pt>
                <c:pt idx="591">
                  <c:v>3137529.7800000003</c:v>
                </c:pt>
                <c:pt idx="592">
                  <c:v>2473407.92</c:v>
                </c:pt>
                <c:pt idx="593">
                  <c:v>4607053.38</c:v>
                </c:pt>
                <c:pt idx="594">
                  <c:v>745868.2</c:v>
                </c:pt>
                <c:pt idx="595">
                  <c:v>2325345.52</c:v>
                </c:pt>
                <c:pt idx="596">
                  <c:v>2450177.44</c:v>
                </c:pt>
                <c:pt idx="597">
                  <c:v>2199787.3800000004</c:v>
                </c:pt>
                <c:pt idx="598">
                  <c:v>880081.44000000006</c:v>
                </c:pt>
                <c:pt idx="599">
                  <c:v>1736077.3499999999</c:v>
                </c:pt>
                <c:pt idx="600">
                  <c:v>306093.28000000003</c:v>
                </c:pt>
                <c:pt idx="601">
                  <c:v>5502535.1799999997</c:v>
                </c:pt>
                <c:pt idx="602">
                  <c:v>1628495.4</c:v>
                </c:pt>
                <c:pt idx="603">
                  <c:v>1059355</c:v>
                </c:pt>
                <c:pt idx="604">
                  <c:v>376693.57</c:v>
                </c:pt>
                <c:pt idx="605">
                  <c:v>740372</c:v>
                </c:pt>
                <c:pt idx="606">
                  <c:v>494994.78</c:v>
                </c:pt>
                <c:pt idx="607">
                  <c:v>1547686.7999999998</c:v>
                </c:pt>
                <c:pt idx="608">
                  <c:v>36718.080000000002</c:v>
                </c:pt>
                <c:pt idx="609">
                  <c:v>471106.08</c:v>
                </c:pt>
                <c:pt idx="610">
                  <c:v>747175.66</c:v>
                </c:pt>
                <c:pt idx="611">
                  <c:v>4377836.7699999996</c:v>
                </c:pt>
                <c:pt idx="612">
                  <c:v>3447505.74</c:v>
                </c:pt>
                <c:pt idx="613">
                  <c:v>292149.65000000002</c:v>
                </c:pt>
                <c:pt idx="614">
                  <c:v>2935510.62</c:v>
                </c:pt>
                <c:pt idx="615">
                  <c:v>1551800.7999999998</c:v>
                </c:pt>
                <c:pt idx="616">
                  <c:v>731773.68</c:v>
                </c:pt>
                <c:pt idx="617">
                  <c:v>623191.25</c:v>
                </c:pt>
                <c:pt idx="618">
                  <c:v>18408.09</c:v>
                </c:pt>
                <c:pt idx="619">
                  <c:v>2452868.46</c:v>
                </c:pt>
                <c:pt idx="620">
                  <c:v>1815691.5999999999</c:v>
                </c:pt>
                <c:pt idx="621">
                  <c:v>614287.08000000007</c:v>
                </c:pt>
                <c:pt idx="622">
                  <c:v>2425415.2799999998</c:v>
                </c:pt>
                <c:pt idx="623">
                  <c:v>2918310</c:v>
                </c:pt>
                <c:pt idx="624">
                  <c:v>5799915.3300000001</c:v>
                </c:pt>
                <c:pt idx="625">
                  <c:v>31981.300000000003</c:v>
                </c:pt>
                <c:pt idx="626">
                  <c:v>998262.1</c:v>
                </c:pt>
                <c:pt idx="627">
                  <c:v>50745.87</c:v>
                </c:pt>
                <c:pt idx="628">
                  <c:v>301256.78000000003</c:v>
                </c:pt>
                <c:pt idx="629">
                  <c:v>592827.4</c:v>
                </c:pt>
                <c:pt idx="630">
                  <c:v>273223.39</c:v>
                </c:pt>
                <c:pt idx="631">
                  <c:v>1893667.04</c:v>
                </c:pt>
                <c:pt idx="632">
                  <c:v>922975.89999999991</c:v>
                </c:pt>
                <c:pt idx="633">
                  <c:v>2514464.4</c:v>
                </c:pt>
                <c:pt idx="634">
                  <c:v>13380.900000000001</c:v>
                </c:pt>
                <c:pt idx="635">
                  <c:v>5295371.4799999995</c:v>
                </c:pt>
                <c:pt idx="636">
                  <c:v>4163185.5300000003</c:v>
                </c:pt>
                <c:pt idx="637">
                  <c:v>3401269.83</c:v>
                </c:pt>
                <c:pt idx="638">
                  <c:v>202203.09999999998</c:v>
                </c:pt>
                <c:pt idx="639">
                  <c:v>958112.19</c:v>
                </c:pt>
                <c:pt idx="640">
                  <c:v>719872.44000000006</c:v>
                </c:pt>
                <c:pt idx="641">
                  <c:v>2615767.6</c:v>
                </c:pt>
                <c:pt idx="642">
                  <c:v>494919.60000000003</c:v>
                </c:pt>
                <c:pt idx="643">
                  <c:v>471663.83</c:v>
                </c:pt>
                <c:pt idx="644">
                  <c:v>2013680.97</c:v>
                </c:pt>
                <c:pt idx="645">
                  <c:v>388053.28</c:v>
                </c:pt>
                <c:pt idx="646">
                  <c:v>2152335.6</c:v>
                </c:pt>
                <c:pt idx="647">
                  <c:v>34866.21</c:v>
                </c:pt>
                <c:pt idx="648">
                  <c:v>152998.56</c:v>
                </c:pt>
                <c:pt idx="649">
                  <c:v>1367345.49</c:v>
                </c:pt>
                <c:pt idx="650">
                  <c:v>3706725.54</c:v>
                </c:pt>
                <c:pt idx="651">
                  <c:v>989039.6</c:v>
                </c:pt>
                <c:pt idx="652">
                  <c:v>864806.88</c:v>
                </c:pt>
                <c:pt idx="653">
                  <c:v>244586.82</c:v>
                </c:pt>
                <c:pt idx="654">
                  <c:v>5119616.47</c:v>
                </c:pt>
                <c:pt idx="655">
                  <c:v>1885643.5999999999</c:v>
                </c:pt>
                <c:pt idx="656">
                  <c:v>3694777.1999999997</c:v>
                </c:pt>
                <c:pt idx="657">
                  <c:v>153685.56</c:v>
                </c:pt>
                <c:pt idx="658">
                  <c:v>1046851.3800000001</c:v>
                </c:pt>
                <c:pt idx="659">
                  <c:v>824954.72</c:v>
                </c:pt>
                <c:pt idx="660">
                  <c:v>1759969.2</c:v>
                </c:pt>
                <c:pt idx="661">
                  <c:v>2084616.48</c:v>
                </c:pt>
                <c:pt idx="662">
                  <c:v>742365.6</c:v>
                </c:pt>
                <c:pt idx="663">
                  <c:v>991922.58000000007</c:v>
                </c:pt>
                <c:pt idx="664">
                  <c:v>64880.82</c:v>
                </c:pt>
                <c:pt idx="665">
                  <c:v>6327180.3599999994</c:v>
                </c:pt>
                <c:pt idx="666">
                  <c:v>1539664.5</c:v>
                </c:pt>
                <c:pt idx="667">
                  <c:v>529610.4</c:v>
                </c:pt>
                <c:pt idx="668">
                  <c:v>1842660.5999999999</c:v>
                </c:pt>
                <c:pt idx="669">
                  <c:v>3988126.17</c:v>
                </c:pt>
                <c:pt idx="670">
                  <c:v>6371954.4500000002</c:v>
                </c:pt>
                <c:pt idx="671">
                  <c:v>575960</c:v>
                </c:pt>
                <c:pt idx="672">
                  <c:v>6602507.5999999996</c:v>
                </c:pt>
                <c:pt idx="673">
                  <c:v>524112.30000000005</c:v>
                </c:pt>
                <c:pt idx="674">
                  <c:v>649600.6</c:v>
                </c:pt>
                <c:pt idx="675">
                  <c:v>84473.44</c:v>
                </c:pt>
                <c:pt idx="676">
                  <c:v>775383.98</c:v>
                </c:pt>
                <c:pt idx="677">
                  <c:v>1026405.66</c:v>
                </c:pt>
                <c:pt idx="678">
                  <c:v>2451882.63</c:v>
                </c:pt>
                <c:pt idx="679">
                  <c:v>624098.07999999996</c:v>
                </c:pt>
                <c:pt idx="680">
                  <c:v>4253956</c:v>
                </c:pt>
                <c:pt idx="681">
                  <c:v>707818.62000000011</c:v>
                </c:pt>
                <c:pt idx="682">
                  <c:v>521437.4</c:v>
                </c:pt>
                <c:pt idx="683">
                  <c:v>27299.58</c:v>
                </c:pt>
                <c:pt idx="684">
                  <c:v>3916404.8699999996</c:v>
                </c:pt>
                <c:pt idx="685">
                  <c:v>379313.88</c:v>
                </c:pt>
                <c:pt idx="686">
                  <c:v>1358237.0999999999</c:v>
                </c:pt>
                <c:pt idx="687">
                  <c:v>5035806.9300000006</c:v>
                </c:pt>
                <c:pt idx="688">
                  <c:v>5863494.8400000008</c:v>
                </c:pt>
                <c:pt idx="689">
                  <c:v>52061.4</c:v>
                </c:pt>
                <c:pt idx="690">
                  <c:v>1486833.06</c:v>
                </c:pt>
                <c:pt idx="691">
                  <c:v>444692.93</c:v>
                </c:pt>
                <c:pt idx="692">
                  <c:v>647976.36</c:v>
                </c:pt>
                <c:pt idx="693">
                  <c:v>86134.56</c:v>
                </c:pt>
                <c:pt idx="694">
                  <c:v>68326.28</c:v>
                </c:pt>
                <c:pt idx="695">
                  <c:v>64816.700000000004</c:v>
                </c:pt>
                <c:pt idx="696">
                  <c:v>1884.66</c:v>
                </c:pt>
                <c:pt idx="697">
                  <c:v>1801109.2</c:v>
                </c:pt>
                <c:pt idx="698">
                  <c:v>1125179</c:v>
                </c:pt>
                <c:pt idx="699">
                  <c:v>546644.86</c:v>
                </c:pt>
                <c:pt idx="700">
                  <c:v>972034.55999999994</c:v>
                </c:pt>
                <c:pt idx="701">
                  <c:v>1444017.12</c:v>
                </c:pt>
                <c:pt idx="702">
                  <c:v>2263567.7600000002</c:v>
                </c:pt>
                <c:pt idx="703">
                  <c:v>1873927</c:v>
                </c:pt>
                <c:pt idx="704">
                  <c:v>897245.44000000006</c:v>
                </c:pt>
                <c:pt idx="705">
                  <c:v>1017556.0200000001</c:v>
                </c:pt>
                <c:pt idx="706">
                  <c:v>2673938.8199999998</c:v>
                </c:pt>
                <c:pt idx="707">
                  <c:v>14508.15</c:v>
                </c:pt>
                <c:pt idx="708">
                  <c:v>1550826</c:v>
                </c:pt>
                <c:pt idx="709">
                  <c:v>53022.39</c:v>
                </c:pt>
                <c:pt idx="710">
                  <c:v>151697.65000000002</c:v>
                </c:pt>
                <c:pt idx="711">
                  <c:v>1462270.74</c:v>
                </c:pt>
                <c:pt idx="712">
                  <c:v>3530797.4099999997</c:v>
                </c:pt>
                <c:pt idx="713">
                  <c:v>280081.08</c:v>
                </c:pt>
                <c:pt idx="714">
                  <c:v>2006508.8399999999</c:v>
                </c:pt>
                <c:pt idx="715">
                  <c:v>39313.120000000003</c:v>
                </c:pt>
                <c:pt idx="716">
                  <c:v>1235561.2</c:v>
                </c:pt>
                <c:pt idx="717">
                  <c:v>59775.28</c:v>
                </c:pt>
                <c:pt idx="718">
                  <c:v>974583.56</c:v>
                </c:pt>
                <c:pt idx="719">
                  <c:v>1769856.24</c:v>
                </c:pt>
                <c:pt idx="720">
                  <c:v>143020.71</c:v>
                </c:pt>
                <c:pt idx="721">
                  <c:v>4365711.84</c:v>
                </c:pt>
                <c:pt idx="722">
                  <c:v>2152497.67</c:v>
                </c:pt>
                <c:pt idx="723">
                  <c:v>996087.2</c:v>
                </c:pt>
                <c:pt idx="724">
                  <c:v>98444.34</c:v>
                </c:pt>
                <c:pt idx="725">
                  <c:v>927533.82000000007</c:v>
                </c:pt>
                <c:pt idx="726">
                  <c:v>82397.119999999995</c:v>
                </c:pt>
                <c:pt idx="727">
                  <c:v>309968.72000000003</c:v>
                </c:pt>
                <c:pt idx="728">
                  <c:v>1080344.96</c:v>
                </c:pt>
                <c:pt idx="729">
                  <c:v>418105.28</c:v>
                </c:pt>
                <c:pt idx="730">
                  <c:v>646328.88</c:v>
                </c:pt>
                <c:pt idx="731">
                  <c:v>409219.2</c:v>
                </c:pt>
                <c:pt idx="732">
                  <c:v>702779.68</c:v>
                </c:pt>
                <c:pt idx="733">
                  <c:v>3423410.97</c:v>
                </c:pt>
                <c:pt idx="734">
                  <c:v>1847391.7</c:v>
                </c:pt>
                <c:pt idx="735">
                  <c:v>185026.06</c:v>
                </c:pt>
                <c:pt idx="736">
                  <c:v>388926.42000000004</c:v>
                </c:pt>
                <c:pt idx="737">
                  <c:v>1169198.8</c:v>
                </c:pt>
                <c:pt idx="738">
                  <c:v>32784</c:v>
                </c:pt>
                <c:pt idx="739">
                  <c:v>2072618.32</c:v>
                </c:pt>
                <c:pt idx="740">
                  <c:v>5143256.58</c:v>
                </c:pt>
                <c:pt idx="741">
                  <c:v>107472.88</c:v>
                </c:pt>
                <c:pt idx="742">
                  <c:v>895011.68</c:v>
                </c:pt>
                <c:pt idx="743">
                  <c:v>572273.46000000008</c:v>
                </c:pt>
                <c:pt idx="744">
                  <c:v>5205823.3</c:v>
                </c:pt>
                <c:pt idx="745">
                  <c:v>44588.07</c:v>
                </c:pt>
                <c:pt idx="746">
                  <c:v>1710326.4</c:v>
                </c:pt>
                <c:pt idx="747">
                  <c:v>650834.79999999993</c:v>
                </c:pt>
                <c:pt idx="748">
                  <c:v>357678.10000000003</c:v>
                </c:pt>
                <c:pt idx="749">
                  <c:v>1779841.2</c:v>
                </c:pt>
                <c:pt idx="750">
                  <c:v>1052229.8</c:v>
                </c:pt>
                <c:pt idx="751">
                  <c:v>90866.75</c:v>
                </c:pt>
                <c:pt idx="752">
                  <c:v>378063.24</c:v>
                </c:pt>
                <c:pt idx="753">
                  <c:v>550813.80000000005</c:v>
                </c:pt>
                <c:pt idx="754">
                  <c:v>1155488.3400000001</c:v>
                </c:pt>
                <c:pt idx="755">
                  <c:v>3746366.8</c:v>
                </c:pt>
                <c:pt idx="756">
                  <c:v>3432894.4</c:v>
                </c:pt>
                <c:pt idx="757">
                  <c:v>5818626.8899999997</c:v>
                </c:pt>
                <c:pt idx="758">
                  <c:v>158893.12</c:v>
                </c:pt>
                <c:pt idx="759">
                  <c:v>1735902.2999999998</c:v>
                </c:pt>
                <c:pt idx="760">
                  <c:v>739084.39</c:v>
                </c:pt>
                <c:pt idx="761">
                  <c:v>511102.56</c:v>
                </c:pt>
                <c:pt idx="762">
                  <c:v>2463527.4300000002</c:v>
                </c:pt>
                <c:pt idx="763">
                  <c:v>324368.2</c:v>
                </c:pt>
                <c:pt idx="764">
                  <c:v>204457.2</c:v>
                </c:pt>
                <c:pt idx="765">
                  <c:v>4447764.3</c:v>
                </c:pt>
                <c:pt idx="766">
                  <c:v>2521145.2799999998</c:v>
                </c:pt>
                <c:pt idx="767">
                  <c:v>1384510.9200000002</c:v>
                </c:pt>
                <c:pt idx="768">
                  <c:v>11313.5</c:v>
                </c:pt>
                <c:pt idx="769">
                  <c:v>320769.59999999998</c:v>
                </c:pt>
                <c:pt idx="770">
                  <c:v>550989.76</c:v>
                </c:pt>
                <c:pt idx="771">
                  <c:v>95444.799999999988</c:v>
                </c:pt>
                <c:pt idx="772">
                  <c:v>334803.27</c:v>
                </c:pt>
                <c:pt idx="773">
                  <c:v>239963.2</c:v>
                </c:pt>
                <c:pt idx="774">
                  <c:v>218080.2</c:v>
                </c:pt>
                <c:pt idx="775">
                  <c:v>299884</c:v>
                </c:pt>
                <c:pt idx="776">
                  <c:v>5340145.57</c:v>
                </c:pt>
                <c:pt idx="777">
                  <c:v>2292259.2000000002</c:v>
                </c:pt>
                <c:pt idx="778">
                  <c:v>2572839.5</c:v>
                </c:pt>
                <c:pt idx="779">
                  <c:v>824373.05999999994</c:v>
                </c:pt>
                <c:pt idx="780">
                  <c:v>5103532.7700000005</c:v>
                </c:pt>
                <c:pt idx="781">
                  <c:v>1545502</c:v>
                </c:pt>
                <c:pt idx="782">
                  <c:v>3548315.1999999997</c:v>
                </c:pt>
                <c:pt idx="783">
                  <c:v>550864.6</c:v>
                </c:pt>
                <c:pt idx="784">
                  <c:v>1366003.28</c:v>
                </c:pt>
                <c:pt idx="785">
                  <c:v>514653.81</c:v>
                </c:pt>
                <c:pt idx="786">
                  <c:v>295820.96000000002</c:v>
                </c:pt>
                <c:pt idx="787">
                  <c:v>180547.25</c:v>
                </c:pt>
                <c:pt idx="788">
                  <c:v>891982.68</c:v>
                </c:pt>
                <c:pt idx="789">
                  <c:v>1085911.8600000001</c:v>
                </c:pt>
                <c:pt idx="790">
                  <c:v>1237825.26</c:v>
                </c:pt>
                <c:pt idx="791">
                  <c:v>133087.9</c:v>
                </c:pt>
                <c:pt idx="792">
                  <c:v>219930.75</c:v>
                </c:pt>
                <c:pt idx="793">
                  <c:v>269261.3</c:v>
                </c:pt>
                <c:pt idx="794">
                  <c:v>627408.96000000008</c:v>
                </c:pt>
                <c:pt idx="795">
                  <c:v>404131.65</c:v>
                </c:pt>
                <c:pt idx="796">
                  <c:v>4697938.0999999996</c:v>
                </c:pt>
                <c:pt idx="797">
                  <c:v>342040.05</c:v>
                </c:pt>
                <c:pt idx="798">
                  <c:v>169602.56</c:v>
                </c:pt>
                <c:pt idx="799">
                  <c:v>1823040.56</c:v>
                </c:pt>
                <c:pt idx="800">
                  <c:v>3647559.6</c:v>
                </c:pt>
                <c:pt idx="801">
                  <c:v>86470.340000000011</c:v>
                </c:pt>
                <c:pt idx="802">
                  <c:v>46259.18</c:v>
                </c:pt>
                <c:pt idx="803">
                  <c:v>3624456.9899999998</c:v>
                </c:pt>
                <c:pt idx="804">
                  <c:v>2597565.4899999998</c:v>
                </c:pt>
                <c:pt idx="805">
                  <c:v>67549.2</c:v>
                </c:pt>
                <c:pt idx="806">
                  <c:v>528629.64</c:v>
                </c:pt>
                <c:pt idx="807">
                  <c:v>115974.87000000001</c:v>
                </c:pt>
                <c:pt idx="808">
                  <c:v>5843958.54</c:v>
                </c:pt>
                <c:pt idx="809">
                  <c:v>1227200.9400000002</c:v>
                </c:pt>
                <c:pt idx="810">
                  <c:v>216799.05000000002</c:v>
                </c:pt>
                <c:pt idx="811">
                  <c:v>60887.58</c:v>
                </c:pt>
                <c:pt idx="812">
                  <c:v>728786.41</c:v>
                </c:pt>
                <c:pt idx="813">
                  <c:v>717671.13</c:v>
                </c:pt>
                <c:pt idx="814">
                  <c:v>19998.240000000002</c:v>
                </c:pt>
                <c:pt idx="815">
                  <c:v>753714.06</c:v>
                </c:pt>
                <c:pt idx="816">
                  <c:v>3809244.81</c:v>
                </c:pt>
                <c:pt idx="817">
                  <c:v>3184306.55</c:v>
                </c:pt>
                <c:pt idx="818">
                  <c:v>5614081.4100000001</c:v>
                </c:pt>
                <c:pt idx="819">
                  <c:v>228803.90000000002</c:v>
                </c:pt>
                <c:pt idx="820">
                  <c:v>43123.26</c:v>
                </c:pt>
                <c:pt idx="821">
                  <c:v>12203.64</c:v>
                </c:pt>
                <c:pt idx="822">
                  <c:v>1069022.8999999999</c:v>
                </c:pt>
                <c:pt idx="823">
                  <c:v>5624500.7700000005</c:v>
                </c:pt>
                <c:pt idx="824">
                  <c:v>207345.59999999998</c:v>
                </c:pt>
                <c:pt idx="825">
                  <c:v>2487969.21</c:v>
                </c:pt>
                <c:pt idx="826">
                  <c:v>1333072.1599999999</c:v>
                </c:pt>
                <c:pt idx="827">
                  <c:v>921124.74</c:v>
                </c:pt>
                <c:pt idx="828">
                  <c:v>32664.33</c:v>
                </c:pt>
                <c:pt idx="829">
                  <c:v>1505929.7</c:v>
                </c:pt>
                <c:pt idx="830">
                  <c:v>37403.97</c:v>
                </c:pt>
                <c:pt idx="831">
                  <c:v>330030.54000000004</c:v>
                </c:pt>
                <c:pt idx="832">
                  <c:v>1891880.08</c:v>
                </c:pt>
                <c:pt idx="833">
                  <c:v>810529.76</c:v>
                </c:pt>
                <c:pt idx="834">
                  <c:v>64106.43</c:v>
                </c:pt>
                <c:pt idx="835">
                  <c:v>1092125.5999999999</c:v>
                </c:pt>
                <c:pt idx="836">
                  <c:v>3397480.17</c:v>
                </c:pt>
                <c:pt idx="837">
                  <c:v>1422198.1800000002</c:v>
                </c:pt>
                <c:pt idx="838">
                  <c:v>1876189.7</c:v>
                </c:pt>
                <c:pt idx="839">
                  <c:v>187979</c:v>
                </c:pt>
                <c:pt idx="840">
                  <c:v>188396.64</c:v>
                </c:pt>
                <c:pt idx="841">
                  <c:v>682200.31</c:v>
                </c:pt>
                <c:pt idx="842">
                  <c:v>1549549.6</c:v>
                </c:pt>
                <c:pt idx="843">
                  <c:v>64181.07</c:v>
                </c:pt>
                <c:pt idx="844">
                  <c:v>520582.32999999996</c:v>
                </c:pt>
                <c:pt idx="845">
                  <c:v>91499.31</c:v>
                </c:pt>
                <c:pt idx="846">
                  <c:v>1325153.2</c:v>
                </c:pt>
                <c:pt idx="847">
                  <c:v>238484.88</c:v>
                </c:pt>
                <c:pt idx="848">
                  <c:v>381277.92</c:v>
                </c:pt>
                <c:pt idx="849">
                  <c:v>2301093.92</c:v>
                </c:pt>
                <c:pt idx="850">
                  <c:v>1357323.76</c:v>
                </c:pt>
                <c:pt idx="851">
                  <c:v>15114.6</c:v>
                </c:pt>
                <c:pt idx="852">
                  <c:v>2721406.5900000003</c:v>
                </c:pt>
                <c:pt idx="853">
                  <c:v>326758.40000000002</c:v>
                </c:pt>
                <c:pt idx="854">
                  <c:v>3476373.6</c:v>
                </c:pt>
                <c:pt idx="855">
                  <c:v>614714.24</c:v>
                </c:pt>
                <c:pt idx="856">
                  <c:v>2083850.64</c:v>
                </c:pt>
                <c:pt idx="857">
                  <c:v>156676.41</c:v>
                </c:pt>
                <c:pt idx="858">
                  <c:v>337511.85000000003</c:v>
                </c:pt>
                <c:pt idx="859">
                  <c:v>437631.35000000003</c:v>
                </c:pt>
                <c:pt idx="860">
                  <c:v>503207.31</c:v>
                </c:pt>
                <c:pt idx="861">
                  <c:v>296040.55000000005</c:v>
                </c:pt>
                <c:pt idx="862">
                  <c:v>592379.04</c:v>
                </c:pt>
                <c:pt idx="863">
                  <c:v>68846.070000000007</c:v>
                </c:pt>
                <c:pt idx="864">
                  <c:v>4852308.47</c:v>
                </c:pt>
                <c:pt idx="865">
                  <c:v>89166.81</c:v>
                </c:pt>
                <c:pt idx="866">
                  <c:v>2645012.66</c:v>
                </c:pt>
                <c:pt idx="867">
                  <c:v>449865.89999999997</c:v>
                </c:pt>
                <c:pt idx="868">
                  <c:v>617305.69999999995</c:v>
                </c:pt>
                <c:pt idx="869">
                  <c:v>785067.52000000002</c:v>
                </c:pt>
                <c:pt idx="870">
                  <c:v>393623.3</c:v>
                </c:pt>
                <c:pt idx="871">
                  <c:v>1367269.3800000001</c:v>
                </c:pt>
                <c:pt idx="872">
                  <c:v>505778.98</c:v>
                </c:pt>
                <c:pt idx="873">
                  <c:v>2962440.91</c:v>
                </c:pt>
                <c:pt idx="874">
                  <c:v>1274195.58</c:v>
                </c:pt>
                <c:pt idx="875">
                  <c:v>1271154.57</c:v>
                </c:pt>
                <c:pt idx="876">
                  <c:v>2228440.62</c:v>
                </c:pt>
                <c:pt idx="877">
                  <c:v>2892078</c:v>
                </c:pt>
                <c:pt idx="878">
                  <c:v>4337058.6000000006</c:v>
                </c:pt>
                <c:pt idx="879">
                  <c:v>6287432.5500000007</c:v>
                </c:pt>
                <c:pt idx="880">
                  <c:v>953905.12</c:v>
                </c:pt>
                <c:pt idx="881">
                  <c:v>739247.85000000009</c:v>
                </c:pt>
                <c:pt idx="882">
                  <c:v>26068.02</c:v>
                </c:pt>
                <c:pt idx="883">
                  <c:v>640836</c:v>
                </c:pt>
                <c:pt idx="884">
                  <c:v>1905677.13</c:v>
                </c:pt>
                <c:pt idx="885">
                  <c:v>1446688.0999999999</c:v>
                </c:pt>
                <c:pt idx="886">
                  <c:v>1379977.55</c:v>
                </c:pt>
                <c:pt idx="887">
                  <c:v>93002</c:v>
                </c:pt>
                <c:pt idx="888">
                  <c:v>666498.72</c:v>
                </c:pt>
                <c:pt idx="889">
                  <c:v>899153.94000000006</c:v>
                </c:pt>
                <c:pt idx="890">
                  <c:v>6539021.9500000002</c:v>
                </c:pt>
                <c:pt idx="891">
                  <c:v>391367.60000000003</c:v>
                </c:pt>
                <c:pt idx="892">
                  <c:v>416943.15</c:v>
                </c:pt>
                <c:pt idx="893">
                  <c:v>192740.9</c:v>
                </c:pt>
                <c:pt idx="894">
                  <c:v>847366.36</c:v>
                </c:pt>
                <c:pt idx="895">
                  <c:v>2138225.2799999998</c:v>
                </c:pt>
                <c:pt idx="896">
                  <c:v>1623590.0999999999</c:v>
                </c:pt>
                <c:pt idx="897">
                  <c:v>1908983.84</c:v>
                </c:pt>
                <c:pt idx="898">
                  <c:v>278458.5</c:v>
                </c:pt>
                <c:pt idx="899">
                  <c:v>4986314.9700000007</c:v>
                </c:pt>
                <c:pt idx="900">
                  <c:v>3683099.6999999997</c:v>
                </c:pt>
                <c:pt idx="901">
                  <c:v>39288.600000000006</c:v>
                </c:pt>
                <c:pt idx="902">
                  <c:v>4408691.7</c:v>
                </c:pt>
                <c:pt idx="903">
                  <c:v>216300.24</c:v>
                </c:pt>
                <c:pt idx="904">
                  <c:v>4304498.1000000006</c:v>
                </c:pt>
                <c:pt idx="905">
                  <c:v>1608008.72</c:v>
                </c:pt>
                <c:pt idx="906">
                  <c:v>596552.46</c:v>
                </c:pt>
                <c:pt idx="907">
                  <c:v>1013689.6</c:v>
                </c:pt>
                <c:pt idx="908">
                  <c:v>1408222.2</c:v>
                </c:pt>
                <c:pt idx="909">
                  <c:v>3883497.4499999997</c:v>
                </c:pt>
                <c:pt idx="910">
                  <c:v>697445.91</c:v>
                </c:pt>
                <c:pt idx="911">
                  <c:v>540590.94000000006</c:v>
                </c:pt>
                <c:pt idx="912">
                  <c:v>388299.23000000004</c:v>
                </c:pt>
                <c:pt idx="913">
                  <c:v>2049119.73</c:v>
                </c:pt>
                <c:pt idx="914">
                  <c:v>685072.92</c:v>
                </c:pt>
                <c:pt idx="915">
                  <c:v>279756.79999999999</c:v>
                </c:pt>
                <c:pt idx="916">
                  <c:v>868436.22</c:v>
                </c:pt>
                <c:pt idx="917">
                  <c:v>5579567.2800000003</c:v>
                </c:pt>
                <c:pt idx="918">
                  <c:v>545139.1</c:v>
                </c:pt>
                <c:pt idx="919">
                  <c:v>1500170.0999999999</c:v>
                </c:pt>
                <c:pt idx="920">
                  <c:v>741952.96</c:v>
                </c:pt>
                <c:pt idx="921">
                  <c:v>870593.06</c:v>
                </c:pt>
                <c:pt idx="922">
                  <c:v>30219.87</c:v>
                </c:pt>
                <c:pt idx="923">
                  <c:v>628207.79999999993</c:v>
                </c:pt>
                <c:pt idx="924">
                  <c:v>360667.45</c:v>
                </c:pt>
                <c:pt idx="925">
                  <c:v>597818.13</c:v>
                </c:pt>
                <c:pt idx="926">
                  <c:v>496019.37</c:v>
                </c:pt>
                <c:pt idx="927">
                  <c:v>1315968.3999999999</c:v>
                </c:pt>
                <c:pt idx="928">
                  <c:v>1433528.3</c:v>
                </c:pt>
                <c:pt idx="929">
                  <c:v>242931.69999999998</c:v>
                </c:pt>
                <c:pt idx="930">
                  <c:v>72322.920000000013</c:v>
                </c:pt>
                <c:pt idx="931">
                  <c:v>422732.05000000005</c:v>
                </c:pt>
                <c:pt idx="932">
                  <c:v>572627.19999999995</c:v>
                </c:pt>
                <c:pt idx="933">
                  <c:v>164756.13</c:v>
                </c:pt>
                <c:pt idx="934">
                  <c:v>16476.78</c:v>
                </c:pt>
                <c:pt idx="935">
                  <c:v>4209361.5999999996</c:v>
                </c:pt>
                <c:pt idx="936">
                  <c:v>467568.78</c:v>
                </c:pt>
                <c:pt idx="937">
                  <c:v>2637661.69</c:v>
                </c:pt>
                <c:pt idx="938">
                  <c:v>1342262.24</c:v>
                </c:pt>
                <c:pt idx="939">
                  <c:v>670110</c:v>
                </c:pt>
                <c:pt idx="940">
                  <c:v>443828.27999999997</c:v>
                </c:pt>
                <c:pt idx="941">
                  <c:v>1933746</c:v>
                </c:pt>
                <c:pt idx="942">
                  <c:v>58433.79</c:v>
                </c:pt>
                <c:pt idx="943">
                  <c:v>1355110.68</c:v>
                </c:pt>
                <c:pt idx="944">
                  <c:v>14498.82</c:v>
                </c:pt>
                <c:pt idx="945">
                  <c:v>704856</c:v>
                </c:pt>
                <c:pt idx="946">
                  <c:v>14019.460000000001</c:v>
                </c:pt>
                <c:pt idx="947">
                  <c:v>318009.90000000002</c:v>
                </c:pt>
                <c:pt idx="948">
                  <c:v>357678.10000000003</c:v>
                </c:pt>
                <c:pt idx="949">
                  <c:v>1502067.52</c:v>
                </c:pt>
                <c:pt idx="950">
                  <c:v>317055.48</c:v>
                </c:pt>
                <c:pt idx="951">
                  <c:v>687185.84000000008</c:v>
                </c:pt>
                <c:pt idx="952">
                  <c:v>2883585.05</c:v>
                </c:pt>
                <c:pt idx="953">
                  <c:v>244577.3</c:v>
                </c:pt>
                <c:pt idx="954">
                  <c:v>610768.29</c:v>
                </c:pt>
                <c:pt idx="955">
                  <c:v>2433171.0699999998</c:v>
                </c:pt>
                <c:pt idx="956">
                  <c:v>786597.44000000006</c:v>
                </c:pt>
                <c:pt idx="957">
                  <c:v>3356821.6</c:v>
                </c:pt>
                <c:pt idx="958">
                  <c:v>254353.06</c:v>
                </c:pt>
                <c:pt idx="959">
                  <c:v>1188572.8999999999</c:v>
                </c:pt>
                <c:pt idx="960">
                  <c:v>976163.79</c:v>
                </c:pt>
                <c:pt idx="961">
                  <c:v>280134.95999999996</c:v>
                </c:pt>
                <c:pt idx="962">
                  <c:v>6618546.0800000001</c:v>
                </c:pt>
                <c:pt idx="963">
                  <c:v>906477.78</c:v>
                </c:pt>
                <c:pt idx="964">
                  <c:v>276587.68</c:v>
                </c:pt>
                <c:pt idx="965">
                  <c:v>2387112</c:v>
                </c:pt>
                <c:pt idx="966">
                  <c:v>357962.80000000005</c:v>
                </c:pt>
                <c:pt idx="967">
                  <c:v>559699.98</c:v>
                </c:pt>
                <c:pt idx="968">
                  <c:v>2451380.4</c:v>
                </c:pt>
                <c:pt idx="969">
                  <c:v>602840.48</c:v>
                </c:pt>
                <c:pt idx="970">
                  <c:v>92217.72</c:v>
                </c:pt>
                <c:pt idx="971">
                  <c:v>2668231.6</c:v>
                </c:pt>
                <c:pt idx="972">
                  <c:v>4035682.53</c:v>
                </c:pt>
                <c:pt idx="973">
                  <c:v>81946.150000000009</c:v>
                </c:pt>
                <c:pt idx="974">
                  <c:v>341168.88</c:v>
                </c:pt>
                <c:pt idx="975">
                  <c:v>5641432.2300000004</c:v>
                </c:pt>
                <c:pt idx="976">
                  <c:v>6107319.5300000003</c:v>
                </c:pt>
                <c:pt idx="977">
                  <c:v>35677.919999999998</c:v>
                </c:pt>
                <c:pt idx="978">
                  <c:v>2530335.36</c:v>
                </c:pt>
                <c:pt idx="979">
                  <c:v>2795443.14</c:v>
                </c:pt>
                <c:pt idx="980">
                  <c:v>33893.199999999997</c:v>
                </c:pt>
                <c:pt idx="981">
                  <c:v>426148.45</c:v>
                </c:pt>
                <c:pt idx="982">
                  <c:v>390323.7</c:v>
                </c:pt>
                <c:pt idx="983">
                  <c:v>3454017.8400000003</c:v>
                </c:pt>
                <c:pt idx="984">
                  <c:v>700952.52</c:v>
                </c:pt>
                <c:pt idx="985">
                  <c:v>1096934.8</c:v>
                </c:pt>
                <c:pt idx="986">
                  <c:v>271997.92</c:v>
                </c:pt>
                <c:pt idx="987">
                  <c:v>4218.8999999999996</c:v>
                </c:pt>
                <c:pt idx="988">
                  <c:v>1167004.5</c:v>
                </c:pt>
                <c:pt idx="989">
                  <c:v>4250021.2</c:v>
                </c:pt>
                <c:pt idx="990">
                  <c:v>1222928.7000000002</c:v>
                </c:pt>
                <c:pt idx="991">
                  <c:v>287357.2</c:v>
                </c:pt>
                <c:pt idx="992">
                  <c:v>41742.42</c:v>
                </c:pt>
                <c:pt idx="993">
                  <c:v>2592596</c:v>
                </c:pt>
                <c:pt idx="994">
                  <c:v>1072.95</c:v>
                </c:pt>
                <c:pt idx="995">
                  <c:v>415424.75</c:v>
                </c:pt>
                <c:pt idx="996">
                  <c:v>49364.920000000006</c:v>
                </c:pt>
                <c:pt idx="997">
                  <c:v>60150.51</c:v>
                </c:pt>
                <c:pt idx="998">
                  <c:v>632108.18000000005</c:v>
                </c:pt>
                <c:pt idx="999">
                  <c:v>373737.6</c:v>
                </c:pt>
              </c:numCache>
            </c:numRef>
          </c:yVal>
          <c:smooth val="0"/>
          <c:extLst>
            <c:ext xmlns:c16="http://schemas.microsoft.com/office/drawing/2014/chart" uri="{C3380CC4-5D6E-409C-BE32-E72D297353CC}">
              <c16:uniqueId val="{00000000-3C09-4549-8FAA-8789CDDB4B00}"/>
            </c:ext>
          </c:extLst>
        </c:ser>
        <c:ser>
          <c:idx val="1"/>
          <c:order val="1"/>
          <c:tx>
            <c:strRef>
              <c:f>Hoja1!$T$8</c:f>
              <c:strCache>
                <c:ptCount val="1"/>
                <c:pt idx="0">
                  <c:v>LIC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Hoja1!$T$9:$T$1008</c:f>
              <c:numCache>
                <c:formatCode>_(* #,##0.00_);_(* \(#,##0.00\);_(* "-"??_);_(@_)</c:formatCode>
                <c:ptCount val="1000"/>
                <c:pt idx="0">
                  <c:v>1340324.0607067773</c:v>
                </c:pt>
                <c:pt idx="1">
                  <c:v>136512.96320508758</c:v>
                </c:pt>
                <c:pt idx="2">
                  <c:v>1660129.0881507369</c:v>
                </c:pt>
                <c:pt idx="3">
                  <c:v>2351060.6729893587</c:v>
                </c:pt>
                <c:pt idx="4">
                  <c:v>852427.77699943469</c:v>
                </c:pt>
                <c:pt idx="5">
                  <c:v>978055.05984053691</c:v>
                </c:pt>
                <c:pt idx="6">
                  <c:v>963921.22411914601</c:v>
                </c:pt>
                <c:pt idx="7">
                  <c:v>2007092.8959575312</c:v>
                </c:pt>
                <c:pt idx="8">
                  <c:v>2113946.5904187853</c:v>
                </c:pt>
                <c:pt idx="9">
                  <c:v>2245293.6206025528</c:v>
                </c:pt>
                <c:pt idx="10">
                  <c:v>128806.00499858684</c:v>
                </c:pt>
                <c:pt idx="11">
                  <c:v>1603638.4982640727</c:v>
                </c:pt>
                <c:pt idx="12">
                  <c:v>1524534.610717352</c:v>
                </c:pt>
                <c:pt idx="13">
                  <c:v>417215.59307476063</c:v>
                </c:pt>
                <c:pt idx="14">
                  <c:v>653208.8693415632</c:v>
                </c:pt>
                <c:pt idx="15">
                  <c:v>2393152.6458539809</c:v>
                </c:pt>
                <c:pt idx="16">
                  <c:v>262087.87781535267</c:v>
                </c:pt>
                <c:pt idx="17">
                  <c:v>1800290.9605340457</c:v>
                </c:pt>
                <c:pt idx="18">
                  <c:v>1241445.0073254916</c:v>
                </c:pt>
                <c:pt idx="19">
                  <c:v>889211.19113624771</c:v>
                </c:pt>
                <c:pt idx="20">
                  <c:v>2304089.095197293</c:v>
                </c:pt>
                <c:pt idx="21">
                  <c:v>113938.69260034032</c:v>
                </c:pt>
                <c:pt idx="22">
                  <c:v>688463.95150188066</c:v>
                </c:pt>
                <c:pt idx="23">
                  <c:v>755761.80167443247</c:v>
                </c:pt>
                <c:pt idx="24">
                  <c:v>1467629.8417052624</c:v>
                </c:pt>
                <c:pt idx="25">
                  <c:v>1876714.4095269279</c:v>
                </c:pt>
                <c:pt idx="26">
                  <c:v>371888.23606049898</c:v>
                </c:pt>
                <c:pt idx="27">
                  <c:v>895812.24390762101</c:v>
                </c:pt>
                <c:pt idx="28">
                  <c:v>1480067.8479185472</c:v>
                </c:pt>
                <c:pt idx="29">
                  <c:v>761910.84029891877</c:v>
                </c:pt>
                <c:pt idx="30">
                  <c:v>1684683.2182180721</c:v>
                </c:pt>
                <c:pt idx="31">
                  <c:v>45321.02809639473</c:v>
                </c:pt>
                <c:pt idx="32">
                  <c:v>1224274.5278936117</c:v>
                </c:pt>
                <c:pt idx="33">
                  <c:v>635415.09550300159</c:v>
                </c:pt>
                <c:pt idx="34">
                  <c:v>848715.49262191751</c:v>
                </c:pt>
                <c:pt idx="35">
                  <c:v>2207427.5186621151</c:v>
                </c:pt>
                <c:pt idx="36">
                  <c:v>1995214.2953090153</c:v>
                </c:pt>
                <c:pt idx="37">
                  <c:v>319365.95705654367</c:v>
                </c:pt>
                <c:pt idx="38">
                  <c:v>1739074.6751414067</c:v>
                </c:pt>
                <c:pt idx="39">
                  <c:v>1122639.6089468005</c:v>
                </c:pt>
                <c:pt idx="40">
                  <c:v>141191.50410948173</c:v>
                </c:pt>
                <c:pt idx="41">
                  <c:v>1237661.1815268111</c:v>
                </c:pt>
                <c:pt idx="42">
                  <c:v>665867.44172707724</c:v>
                </c:pt>
                <c:pt idx="43">
                  <c:v>529335.35305481474</c:v>
                </c:pt>
                <c:pt idx="44">
                  <c:v>2074978.090533643</c:v>
                </c:pt>
                <c:pt idx="45">
                  <c:v>2052217.5451975865</c:v>
                </c:pt>
                <c:pt idx="46">
                  <c:v>1506098.032825829</c:v>
                </c:pt>
                <c:pt idx="47">
                  <c:v>1881873.5211266351</c:v>
                </c:pt>
                <c:pt idx="48">
                  <c:v>1548246.4296328842</c:v>
                </c:pt>
                <c:pt idx="49">
                  <c:v>1733623.5954223142</c:v>
                </c:pt>
                <c:pt idx="50">
                  <c:v>493749.05197318399</c:v>
                </c:pt>
                <c:pt idx="51">
                  <c:v>1465676.9245495168</c:v>
                </c:pt>
                <c:pt idx="52">
                  <c:v>2310078.7297791368</c:v>
                </c:pt>
                <c:pt idx="53">
                  <c:v>1541962.1753893232</c:v>
                </c:pt>
                <c:pt idx="54">
                  <c:v>1584892.4958013038</c:v>
                </c:pt>
                <c:pt idx="55">
                  <c:v>551035.73394131183</c:v>
                </c:pt>
                <c:pt idx="56">
                  <c:v>862497.17342778901</c:v>
                </c:pt>
                <c:pt idx="57">
                  <c:v>254680.88384287851</c:v>
                </c:pt>
                <c:pt idx="58">
                  <c:v>1004686.7977652636</c:v>
                </c:pt>
                <c:pt idx="59">
                  <c:v>550764.63317301765</c:v>
                </c:pt>
                <c:pt idx="60">
                  <c:v>901617.37864567328</c:v>
                </c:pt>
                <c:pt idx="61">
                  <c:v>1857469.8452721625</c:v>
                </c:pt>
                <c:pt idx="62">
                  <c:v>43390.599043684226</c:v>
                </c:pt>
                <c:pt idx="63">
                  <c:v>233822.91739023069</c:v>
                </c:pt>
                <c:pt idx="64">
                  <c:v>1304445.5039066081</c:v>
                </c:pt>
                <c:pt idx="65">
                  <c:v>-18697.126306757855</c:v>
                </c:pt>
                <c:pt idx="66">
                  <c:v>186023.29868694203</c:v>
                </c:pt>
                <c:pt idx="67">
                  <c:v>1037982.4069400711</c:v>
                </c:pt>
                <c:pt idx="68">
                  <c:v>865939.66318233917</c:v>
                </c:pt>
                <c:pt idx="69">
                  <c:v>1205031.9115466904</c:v>
                </c:pt>
                <c:pt idx="70">
                  <c:v>160175.47041429946</c:v>
                </c:pt>
                <c:pt idx="71">
                  <c:v>1648905.0666778039</c:v>
                </c:pt>
                <c:pt idx="72">
                  <c:v>955796.71891894052</c:v>
                </c:pt>
                <c:pt idx="73">
                  <c:v>1619230.8047497831</c:v>
                </c:pt>
                <c:pt idx="74">
                  <c:v>1378733.1965639014</c:v>
                </c:pt>
                <c:pt idx="75">
                  <c:v>957894.10193993268</c:v>
                </c:pt>
                <c:pt idx="76">
                  <c:v>336610.53971530491</c:v>
                </c:pt>
                <c:pt idx="77">
                  <c:v>80331.326174628863</c:v>
                </c:pt>
                <c:pt idx="78">
                  <c:v>-54049.389238330041</c:v>
                </c:pt>
                <c:pt idx="79">
                  <c:v>236842.61125682283</c:v>
                </c:pt>
                <c:pt idx="80">
                  <c:v>436577.39874191105</c:v>
                </c:pt>
                <c:pt idx="81">
                  <c:v>589761.39134514693</c:v>
                </c:pt>
                <c:pt idx="82">
                  <c:v>-70075.371887246234</c:v>
                </c:pt>
                <c:pt idx="83">
                  <c:v>972037.99018788326</c:v>
                </c:pt>
                <c:pt idx="84">
                  <c:v>-17592.720463646925</c:v>
                </c:pt>
                <c:pt idx="85">
                  <c:v>1833026.4495629773</c:v>
                </c:pt>
                <c:pt idx="86">
                  <c:v>89699.797938398231</c:v>
                </c:pt>
                <c:pt idx="87">
                  <c:v>1822672.5120426838</c:v>
                </c:pt>
                <c:pt idx="88">
                  <c:v>432760.82054561831</c:v>
                </c:pt>
                <c:pt idx="89">
                  <c:v>102096.31493364333</c:v>
                </c:pt>
                <c:pt idx="90">
                  <c:v>1780705.769789662</c:v>
                </c:pt>
                <c:pt idx="91">
                  <c:v>1697771.15337324</c:v>
                </c:pt>
                <c:pt idx="92">
                  <c:v>500001.54158453492</c:v>
                </c:pt>
                <c:pt idx="93">
                  <c:v>1896638.1065080822</c:v>
                </c:pt>
                <c:pt idx="94">
                  <c:v>1243966.3702678757</c:v>
                </c:pt>
                <c:pt idx="95">
                  <c:v>1889374.6873273076</c:v>
                </c:pt>
                <c:pt idx="96">
                  <c:v>1574059.5104323616</c:v>
                </c:pt>
                <c:pt idx="97">
                  <c:v>902144.94102992234</c:v>
                </c:pt>
                <c:pt idx="98">
                  <c:v>2283117.9976631529</c:v>
                </c:pt>
                <c:pt idx="99">
                  <c:v>1277661.2360802782</c:v>
                </c:pt>
                <c:pt idx="100">
                  <c:v>2368546.3599047349</c:v>
                </c:pt>
                <c:pt idx="101">
                  <c:v>976485.80610779312</c:v>
                </c:pt>
                <c:pt idx="102">
                  <c:v>1398227.7876184632</c:v>
                </c:pt>
                <c:pt idx="103">
                  <c:v>1133152.5002988372</c:v>
                </c:pt>
                <c:pt idx="104">
                  <c:v>1890780.7648570945</c:v>
                </c:pt>
                <c:pt idx="105">
                  <c:v>951600.42382007989</c:v>
                </c:pt>
                <c:pt idx="106">
                  <c:v>2215281.4033246832</c:v>
                </c:pt>
                <c:pt idx="107">
                  <c:v>252760.28595112881</c:v>
                </c:pt>
                <c:pt idx="108">
                  <c:v>1361661.4461078485</c:v>
                </c:pt>
                <c:pt idx="109">
                  <c:v>2129934.3819052717</c:v>
                </c:pt>
                <c:pt idx="110">
                  <c:v>1253287.1600673024</c:v>
                </c:pt>
                <c:pt idx="111">
                  <c:v>59934.696827193053</c:v>
                </c:pt>
                <c:pt idx="112">
                  <c:v>2067548.5001441839</c:v>
                </c:pt>
                <c:pt idx="113">
                  <c:v>931903.41823111649</c:v>
                </c:pt>
                <c:pt idx="114">
                  <c:v>2158642.4944482222</c:v>
                </c:pt>
                <c:pt idx="115">
                  <c:v>1913261.6008429087</c:v>
                </c:pt>
                <c:pt idx="116">
                  <c:v>418852.40384751599</c:v>
                </c:pt>
                <c:pt idx="117">
                  <c:v>1099507.847484133</c:v>
                </c:pt>
                <c:pt idx="118">
                  <c:v>1431417.5054919939</c:v>
                </c:pt>
                <c:pt idx="119">
                  <c:v>2010352.4910421991</c:v>
                </c:pt>
                <c:pt idx="120">
                  <c:v>209930.86598269414</c:v>
                </c:pt>
                <c:pt idx="121">
                  <c:v>1479336.7634837064</c:v>
                </c:pt>
                <c:pt idx="122">
                  <c:v>214051.31141815637</c:v>
                </c:pt>
                <c:pt idx="123">
                  <c:v>1762746.0217939308</c:v>
                </c:pt>
                <c:pt idx="124">
                  <c:v>304302.97332171141</c:v>
                </c:pt>
                <c:pt idx="125">
                  <c:v>895284.32784247445</c:v>
                </c:pt>
                <c:pt idx="126">
                  <c:v>-23114.967020697077</c:v>
                </c:pt>
                <c:pt idx="127">
                  <c:v>-120667.09014311462</c:v>
                </c:pt>
                <c:pt idx="128">
                  <c:v>2018266.5403446932</c:v>
                </c:pt>
                <c:pt idx="129">
                  <c:v>681204.67645018827</c:v>
                </c:pt>
                <c:pt idx="130">
                  <c:v>2078924.1230550129</c:v>
                </c:pt>
                <c:pt idx="131">
                  <c:v>412031.63756416173</c:v>
                </c:pt>
                <c:pt idx="132">
                  <c:v>1663947.1737325604</c:v>
                </c:pt>
                <c:pt idx="133">
                  <c:v>2164658.2359459689</c:v>
                </c:pt>
                <c:pt idx="134">
                  <c:v>201139.04556581398</c:v>
                </c:pt>
                <c:pt idx="135">
                  <c:v>2026410.278178239</c:v>
                </c:pt>
                <c:pt idx="136">
                  <c:v>520376.81928811368</c:v>
                </c:pt>
                <c:pt idx="137">
                  <c:v>1726984.0435792385</c:v>
                </c:pt>
                <c:pt idx="138">
                  <c:v>825085.03049651801</c:v>
                </c:pt>
                <c:pt idx="139">
                  <c:v>1100794.9045859401</c:v>
                </c:pt>
                <c:pt idx="140">
                  <c:v>-57641.049188445002</c:v>
                </c:pt>
                <c:pt idx="141">
                  <c:v>598956.30027717818</c:v>
                </c:pt>
                <c:pt idx="142">
                  <c:v>94658.808849626192</c:v>
                </c:pt>
                <c:pt idx="143">
                  <c:v>1420371.3595981009</c:v>
                </c:pt>
                <c:pt idx="144">
                  <c:v>1419634.3471237002</c:v>
                </c:pt>
                <c:pt idx="145">
                  <c:v>137063.40672879494</c:v>
                </c:pt>
                <c:pt idx="146">
                  <c:v>2044548.231421086</c:v>
                </c:pt>
                <c:pt idx="147">
                  <c:v>1821730.8664363802</c:v>
                </c:pt>
                <c:pt idx="148">
                  <c:v>1051727.2287459536</c:v>
                </c:pt>
                <c:pt idx="149">
                  <c:v>1783066.9975344283</c:v>
                </c:pt>
                <c:pt idx="150">
                  <c:v>345365.75492753478</c:v>
                </c:pt>
                <c:pt idx="151">
                  <c:v>1186242.8525766996</c:v>
                </c:pt>
                <c:pt idx="152">
                  <c:v>201139.04556581398</c:v>
                </c:pt>
                <c:pt idx="153">
                  <c:v>1721289.9409879951</c:v>
                </c:pt>
                <c:pt idx="154">
                  <c:v>1451013.7728302903</c:v>
                </c:pt>
                <c:pt idx="155">
                  <c:v>772597.38090662356</c:v>
                </c:pt>
                <c:pt idx="156">
                  <c:v>322103.86877853912</c:v>
                </c:pt>
                <c:pt idx="157">
                  <c:v>1339081.4600180918</c:v>
                </c:pt>
                <c:pt idx="158">
                  <c:v>1569240.5367841898</c:v>
                </c:pt>
                <c:pt idx="159">
                  <c:v>1953933.1440004981</c:v>
                </c:pt>
                <c:pt idx="160">
                  <c:v>146419.84370707048</c:v>
                </c:pt>
                <c:pt idx="161">
                  <c:v>1919812.8272263247</c:v>
                </c:pt>
                <c:pt idx="162">
                  <c:v>2055470.4138414308</c:v>
                </c:pt>
                <c:pt idx="163">
                  <c:v>1079658.3235617441</c:v>
                </c:pt>
                <c:pt idx="164">
                  <c:v>1110569.0238422556</c:v>
                </c:pt>
                <c:pt idx="165">
                  <c:v>2320443.2476306353</c:v>
                </c:pt>
                <c:pt idx="166">
                  <c:v>1809719.2570823254</c:v>
                </c:pt>
                <c:pt idx="167">
                  <c:v>1903664.1475070163</c:v>
                </c:pt>
                <c:pt idx="168">
                  <c:v>1875307.0846868388</c:v>
                </c:pt>
                <c:pt idx="169">
                  <c:v>1462013.835766471</c:v>
                </c:pt>
                <c:pt idx="170">
                  <c:v>2077995.7028772016</c:v>
                </c:pt>
                <c:pt idx="171">
                  <c:v>824819.22044615226</c:v>
                </c:pt>
                <c:pt idx="172">
                  <c:v>1393544.1675913117</c:v>
                </c:pt>
                <c:pt idx="173">
                  <c:v>496195.90234501543</c:v>
                </c:pt>
                <c:pt idx="174">
                  <c:v>1764401.2892295246</c:v>
                </c:pt>
                <c:pt idx="175">
                  <c:v>1642929.6663348691</c:v>
                </c:pt>
                <c:pt idx="176">
                  <c:v>924012.38715937908</c:v>
                </c:pt>
                <c:pt idx="177">
                  <c:v>906891.66677699785</c:v>
                </c:pt>
                <c:pt idx="178">
                  <c:v>2111628.7139970632</c:v>
                </c:pt>
                <c:pt idx="179">
                  <c:v>661559.3511821212</c:v>
                </c:pt>
                <c:pt idx="180">
                  <c:v>1825732.422143599</c:v>
                </c:pt>
                <c:pt idx="181">
                  <c:v>1438772.2571954762</c:v>
                </c:pt>
                <c:pt idx="182">
                  <c:v>2024083.8112588155</c:v>
                </c:pt>
                <c:pt idx="183">
                  <c:v>1763691.9160714608</c:v>
                </c:pt>
                <c:pt idx="184">
                  <c:v>406027.80421104876</c:v>
                </c:pt>
                <c:pt idx="185">
                  <c:v>920327.5483849009</c:v>
                </c:pt>
                <c:pt idx="186">
                  <c:v>265653.62207294267</c:v>
                </c:pt>
                <c:pt idx="187">
                  <c:v>1250517.4709519076</c:v>
                </c:pt>
                <c:pt idx="188">
                  <c:v>552662.255433638</c:v>
                </c:pt>
                <c:pt idx="189">
                  <c:v>693032.68374026276</c:v>
                </c:pt>
                <c:pt idx="190">
                  <c:v>763247.17680118373</c:v>
                </c:pt>
                <c:pt idx="191">
                  <c:v>385276.30037663638</c:v>
                </c:pt>
                <c:pt idx="192">
                  <c:v>1072685.356495823</c:v>
                </c:pt>
                <c:pt idx="193">
                  <c:v>2090526.3950098294</c:v>
                </c:pt>
                <c:pt idx="194">
                  <c:v>2212971.6369689829</c:v>
                </c:pt>
                <c:pt idx="195">
                  <c:v>624891.01400804205</c:v>
                </c:pt>
                <c:pt idx="196">
                  <c:v>726847.40747480094</c:v>
                </c:pt>
                <c:pt idx="197">
                  <c:v>1487861.7456471787</c:v>
                </c:pt>
                <c:pt idx="198">
                  <c:v>1080174.5776300633</c:v>
                </c:pt>
                <c:pt idx="199">
                  <c:v>718535.8449172033</c:v>
                </c:pt>
                <c:pt idx="200">
                  <c:v>921380.51181018283</c:v>
                </c:pt>
                <c:pt idx="201">
                  <c:v>56350.613584924111</c:v>
                </c:pt>
                <c:pt idx="202">
                  <c:v>1079142.0332957241</c:v>
                </c:pt>
                <c:pt idx="203">
                  <c:v>1992651.3348613812</c:v>
                </c:pt>
                <c:pt idx="204">
                  <c:v>407392.43900042807</c:v>
                </c:pt>
                <c:pt idx="205">
                  <c:v>1864748.0741532585</c:v>
                </c:pt>
                <c:pt idx="206">
                  <c:v>1081206.9771183541</c:v>
                </c:pt>
                <c:pt idx="207">
                  <c:v>810189.64247018774</c:v>
                </c:pt>
                <c:pt idx="208">
                  <c:v>613009.36568570288</c:v>
                </c:pt>
                <c:pt idx="209">
                  <c:v>538289.75900810759</c:v>
                </c:pt>
                <c:pt idx="210">
                  <c:v>2358884.0916388407</c:v>
                </c:pt>
                <c:pt idx="211">
                  <c:v>973608.07666129631</c:v>
                </c:pt>
                <c:pt idx="212">
                  <c:v>268944.73708678735</c:v>
                </c:pt>
                <c:pt idx="213">
                  <c:v>-61509.231322211504</c:v>
                </c:pt>
                <c:pt idx="214">
                  <c:v>1409554.2273539512</c:v>
                </c:pt>
                <c:pt idx="215">
                  <c:v>1314680.3675070561</c:v>
                </c:pt>
                <c:pt idx="216">
                  <c:v>818969.74429890979</c:v>
                </c:pt>
                <c:pt idx="217">
                  <c:v>1567794.3217207629</c:v>
                </c:pt>
                <c:pt idx="218">
                  <c:v>1869441.8602437861</c:v>
                </c:pt>
                <c:pt idx="219">
                  <c:v>626510.55876372033</c:v>
                </c:pt>
                <c:pt idx="220">
                  <c:v>986941.90976607695</c:v>
                </c:pt>
                <c:pt idx="221">
                  <c:v>1536157.0989025109</c:v>
                </c:pt>
                <c:pt idx="222">
                  <c:v>113938.69260034032</c:v>
                </c:pt>
                <c:pt idx="223">
                  <c:v>273332.37725433661</c:v>
                </c:pt>
                <c:pt idx="224">
                  <c:v>2095397.7245252889</c:v>
                </c:pt>
                <c:pt idx="225">
                  <c:v>1256055.7024002655</c:v>
                </c:pt>
                <c:pt idx="226">
                  <c:v>46699.860367943242</c:v>
                </c:pt>
                <c:pt idx="227">
                  <c:v>1660606.427607171</c:v>
                </c:pt>
                <c:pt idx="228">
                  <c:v>544257.03381087806</c:v>
                </c:pt>
                <c:pt idx="229">
                  <c:v>2018266.5403446932</c:v>
                </c:pt>
                <c:pt idx="230">
                  <c:v>497283.29911781679</c:v>
                </c:pt>
                <c:pt idx="231">
                  <c:v>993209.22337254544</c:v>
                </c:pt>
                <c:pt idx="232">
                  <c:v>87220.092213337368</c:v>
                </c:pt>
                <c:pt idx="233">
                  <c:v>182999.4322225661</c:v>
                </c:pt>
                <c:pt idx="234">
                  <c:v>181075.03064115034</c:v>
                </c:pt>
                <c:pt idx="235">
                  <c:v>2111165.1139125139</c:v>
                </c:pt>
                <c:pt idx="236">
                  <c:v>2165120.9334902642</c:v>
                </c:pt>
                <c:pt idx="237">
                  <c:v>2140356.0825928156</c:v>
                </c:pt>
                <c:pt idx="238">
                  <c:v>551577.92361235467</c:v>
                </c:pt>
                <c:pt idx="239">
                  <c:v>1445140.3893975145</c:v>
                </c:pt>
                <c:pt idx="240">
                  <c:v>508697.50297432125</c:v>
                </c:pt>
                <c:pt idx="241">
                  <c:v>1665855.6783863606</c:v>
                </c:pt>
                <c:pt idx="242">
                  <c:v>328126.38100826094</c:v>
                </c:pt>
                <c:pt idx="243">
                  <c:v>151097.27400848735</c:v>
                </c:pt>
                <c:pt idx="244">
                  <c:v>1502211.1914753604</c:v>
                </c:pt>
                <c:pt idx="245">
                  <c:v>-26152.433246044151</c:v>
                </c:pt>
                <c:pt idx="246">
                  <c:v>951862.7518383828</c:v>
                </c:pt>
                <c:pt idx="247">
                  <c:v>2246908.9045425416</c:v>
                </c:pt>
                <c:pt idx="248">
                  <c:v>1411522.1983036771</c:v>
                </c:pt>
                <c:pt idx="249">
                  <c:v>1159238.2169722309</c:v>
                </c:pt>
                <c:pt idx="250">
                  <c:v>1150553.8468173477</c:v>
                </c:pt>
                <c:pt idx="251">
                  <c:v>1502211.1914753604</c:v>
                </c:pt>
                <c:pt idx="252">
                  <c:v>1589943.3476526856</c:v>
                </c:pt>
                <c:pt idx="253">
                  <c:v>1308441.4504629346</c:v>
                </c:pt>
                <c:pt idx="254">
                  <c:v>2236061.9614669015</c:v>
                </c:pt>
                <c:pt idx="255">
                  <c:v>1664662.9048901235</c:v>
                </c:pt>
                <c:pt idx="256">
                  <c:v>871498.10236915736</c:v>
                </c:pt>
                <c:pt idx="257">
                  <c:v>1813017.6084341565</c:v>
                </c:pt>
                <c:pt idx="258">
                  <c:v>659404.83541920222</c:v>
                </c:pt>
                <c:pt idx="259">
                  <c:v>1623544.0695015942</c:v>
                </c:pt>
                <c:pt idx="260">
                  <c:v>572440.02495896525</c:v>
                </c:pt>
                <c:pt idx="261">
                  <c:v>1549937.5370064266</c:v>
                </c:pt>
                <c:pt idx="262">
                  <c:v>111460.31618393192</c:v>
                </c:pt>
                <c:pt idx="263">
                  <c:v>134311.11755128205</c:v>
                </c:pt>
                <c:pt idx="264">
                  <c:v>2052914.627334178</c:v>
                </c:pt>
                <c:pt idx="265">
                  <c:v>1792979.4429904569</c:v>
                </c:pt>
                <c:pt idx="266">
                  <c:v>2071031.4092758442</c:v>
                </c:pt>
                <c:pt idx="267">
                  <c:v>1221745.7466831561</c:v>
                </c:pt>
                <c:pt idx="268">
                  <c:v>1649144.0073733325</c:v>
                </c:pt>
                <c:pt idx="269">
                  <c:v>1421108.2964209898</c:v>
                </c:pt>
                <c:pt idx="270">
                  <c:v>219819.15353417382</c:v>
                </c:pt>
                <c:pt idx="271">
                  <c:v>1006511.2730747826</c:v>
                </c:pt>
                <c:pt idx="272">
                  <c:v>616250.67993307079</c:v>
                </c:pt>
                <c:pt idx="273">
                  <c:v>1710368.2214958565</c:v>
                </c:pt>
                <c:pt idx="274">
                  <c:v>1034087.8934825312</c:v>
                </c:pt>
                <c:pt idx="275">
                  <c:v>892116.2164320742</c:v>
                </c:pt>
                <c:pt idx="276">
                  <c:v>325936.51931550284</c:v>
                </c:pt>
                <c:pt idx="277">
                  <c:v>1532526.8473919551</c:v>
                </c:pt>
                <c:pt idx="278">
                  <c:v>680935.74299099762</c:v>
                </c:pt>
                <c:pt idx="279">
                  <c:v>2179692.1752914637</c:v>
                </c:pt>
                <c:pt idx="280">
                  <c:v>2144292.1407389147</c:v>
                </c:pt>
                <c:pt idx="281">
                  <c:v>2151931.1393176131</c:v>
                </c:pt>
                <c:pt idx="282">
                  <c:v>577042.68361640943</c:v>
                </c:pt>
                <c:pt idx="283">
                  <c:v>1300447.1787099666</c:v>
                </c:pt>
                <c:pt idx="284">
                  <c:v>2336330.3125635306</c:v>
                </c:pt>
                <c:pt idx="285">
                  <c:v>-66759.30339625242</c:v>
                </c:pt>
                <c:pt idx="286">
                  <c:v>2045245.5492171634</c:v>
                </c:pt>
                <c:pt idx="287">
                  <c:v>1936881.1546719589</c:v>
                </c:pt>
                <c:pt idx="288">
                  <c:v>2278968.4796544164</c:v>
                </c:pt>
                <c:pt idx="289">
                  <c:v>1349512.2647407642</c:v>
                </c:pt>
                <c:pt idx="290">
                  <c:v>1440242.3176775826</c:v>
                </c:pt>
                <c:pt idx="291">
                  <c:v>499186.10633735271</c:v>
                </c:pt>
                <c:pt idx="292">
                  <c:v>810189.64247018774</c:v>
                </c:pt>
                <c:pt idx="293">
                  <c:v>-86105.549731289328</c:v>
                </c:pt>
                <c:pt idx="294">
                  <c:v>-62061.849050352466</c:v>
                </c:pt>
                <c:pt idx="295">
                  <c:v>839694.3932032109</c:v>
                </c:pt>
                <c:pt idx="296">
                  <c:v>1696819.8411394164</c:v>
                </c:pt>
                <c:pt idx="297">
                  <c:v>2263980.1825227658</c:v>
                </c:pt>
                <c:pt idx="298">
                  <c:v>1652488.5726523793</c:v>
                </c:pt>
                <c:pt idx="299">
                  <c:v>1727695.607073084</c:v>
                </c:pt>
                <c:pt idx="300">
                  <c:v>1302946.4109784907</c:v>
                </c:pt>
                <c:pt idx="301">
                  <c:v>2072888.7522184234</c:v>
                </c:pt>
                <c:pt idx="302">
                  <c:v>100719.09106163509</c:v>
                </c:pt>
                <c:pt idx="303">
                  <c:v>1994049.3536815089</c:v>
                </c:pt>
                <c:pt idx="304">
                  <c:v>930588.7270592571</c:v>
                </c:pt>
                <c:pt idx="305">
                  <c:v>689807.8513114599</c:v>
                </c:pt>
                <c:pt idx="306">
                  <c:v>1871788.2163541783</c:v>
                </c:pt>
                <c:pt idx="307">
                  <c:v>494020.9384036613</c:v>
                </c:pt>
                <c:pt idx="308">
                  <c:v>1923321.3826529987</c:v>
                </c:pt>
                <c:pt idx="309">
                  <c:v>1933842.8034533518</c:v>
                </c:pt>
                <c:pt idx="310">
                  <c:v>616790.83625063277</c:v>
                </c:pt>
                <c:pt idx="311">
                  <c:v>1092811.4576289465</c:v>
                </c:pt>
                <c:pt idx="312">
                  <c:v>624891.01400804205</c:v>
                </c:pt>
                <c:pt idx="313">
                  <c:v>2132019.0411344548</c:v>
                </c:pt>
                <c:pt idx="314">
                  <c:v>197291.97287179233</c:v>
                </c:pt>
                <c:pt idx="315">
                  <c:v>-45761.77180881807</c:v>
                </c:pt>
                <c:pt idx="316">
                  <c:v>873614.78410092904</c:v>
                </c:pt>
                <c:pt idx="317">
                  <c:v>108706.40205240573</c:v>
                </c:pt>
                <c:pt idx="318">
                  <c:v>2035248.5810273101</c:v>
                </c:pt>
                <c:pt idx="319">
                  <c:v>1195389.982493626</c:v>
                </c:pt>
                <c:pt idx="320">
                  <c:v>1471046.229564901</c:v>
                </c:pt>
                <c:pt idx="321">
                  <c:v>2263518.9052833645</c:v>
                </c:pt>
                <c:pt idx="322">
                  <c:v>2335869.9048942202</c:v>
                </c:pt>
                <c:pt idx="323">
                  <c:v>877053.42275672825</c:v>
                </c:pt>
                <c:pt idx="324">
                  <c:v>1242705.807522675</c:v>
                </c:pt>
                <c:pt idx="325">
                  <c:v>2342315.1467705239</c:v>
                </c:pt>
                <c:pt idx="326">
                  <c:v>-19801.553925259068</c:v>
                </c:pt>
                <c:pt idx="327">
                  <c:v>402752.37724618078</c:v>
                </c:pt>
                <c:pt idx="328">
                  <c:v>1520171.8860648542</c:v>
                </c:pt>
                <c:pt idx="329">
                  <c:v>1752099.6732221243</c:v>
                </c:pt>
                <c:pt idx="330">
                  <c:v>1410292.2802255694</c:v>
                </c:pt>
                <c:pt idx="331">
                  <c:v>1202749.5388158264</c:v>
                </c:pt>
                <c:pt idx="332">
                  <c:v>1141602.6886949467</c:v>
                </c:pt>
                <c:pt idx="333">
                  <c:v>1727695.607073084</c:v>
                </c:pt>
                <c:pt idx="334">
                  <c:v>196467.54900461587</c:v>
                </c:pt>
                <c:pt idx="335">
                  <c:v>1953232.6911583692</c:v>
                </c:pt>
                <c:pt idx="336">
                  <c:v>1428964.2659686957</c:v>
                </c:pt>
                <c:pt idx="337">
                  <c:v>1149531.4401890168</c:v>
                </c:pt>
                <c:pt idx="338">
                  <c:v>394561.95095748763</c:v>
                </c:pt>
                <c:pt idx="339">
                  <c:v>1600997.1861742768</c:v>
                </c:pt>
                <c:pt idx="340">
                  <c:v>1211621.1009158061</c:v>
                </c:pt>
                <c:pt idx="341">
                  <c:v>1327140.9031670301</c:v>
                </c:pt>
                <c:pt idx="342">
                  <c:v>762712.65988828812</c:v>
                </c:pt>
                <c:pt idx="343">
                  <c:v>1412751.9040854166</c:v>
                </c:pt>
                <c:pt idx="344">
                  <c:v>1800762.532857415</c:v>
                </c:pt>
                <c:pt idx="345">
                  <c:v>1092811.4576289465</c:v>
                </c:pt>
                <c:pt idx="346">
                  <c:v>29599.674549964373</c:v>
                </c:pt>
                <c:pt idx="347">
                  <c:v>159075.19074565393</c:v>
                </c:pt>
                <c:pt idx="348">
                  <c:v>2041061.317384047</c:v>
                </c:pt>
                <c:pt idx="349">
                  <c:v>1770783.8243417055</c:v>
                </c:pt>
                <c:pt idx="350">
                  <c:v>2206503.4051562133</c:v>
                </c:pt>
                <c:pt idx="351">
                  <c:v>1855121.2796483927</c:v>
                </c:pt>
                <c:pt idx="352">
                  <c:v>793408.35373478709</c:v>
                </c:pt>
                <c:pt idx="353">
                  <c:v>2180385.8655930082</c:v>
                </c:pt>
                <c:pt idx="354">
                  <c:v>1034347.5887283101</c:v>
                </c:pt>
                <c:pt idx="355">
                  <c:v>114764.78715981595</c:v>
                </c:pt>
                <c:pt idx="356">
                  <c:v>1836084.1221000697</c:v>
                </c:pt>
                <c:pt idx="357">
                  <c:v>1240436.1961682159</c:v>
                </c:pt>
                <c:pt idx="358">
                  <c:v>237391.61853159801</c:v>
                </c:pt>
                <c:pt idx="359">
                  <c:v>1487131.4032848869</c:v>
                </c:pt>
                <c:pt idx="360">
                  <c:v>1531074.2963373817</c:v>
                </c:pt>
                <c:pt idx="361">
                  <c:v>87771.149420868082</c:v>
                </c:pt>
                <c:pt idx="362">
                  <c:v>1356457.2910442324</c:v>
                </c:pt>
                <c:pt idx="363">
                  <c:v>2076138.7554216674</c:v>
                </c:pt>
                <c:pt idx="364">
                  <c:v>1178101.7328326083</c:v>
                </c:pt>
                <c:pt idx="365">
                  <c:v>258247.41848051641</c:v>
                </c:pt>
                <c:pt idx="366">
                  <c:v>505165.21468149708</c:v>
                </c:pt>
                <c:pt idx="367">
                  <c:v>868851.61388774565</c:v>
                </c:pt>
                <c:pt idx="368">
                  <c:v>2079156.2225338265</c:v>
                </c:pt>
                <c:pt idx="369">
                  <c:v>495108.44873335119</c:v>
                </c:pt>
                <c:pt idx="370">
                  <c:v>1676107.8109500131</c:v>
                </c:pt>
                <c:pt idx="371">
                  <c:v>1620189.4787957079</c:v>
                </c:pt>
                <c:pt idx="372">
                  <c:v>644314.56137286767</c:v>
                </c:pt>
                <c:pt idx="373">
                  <c:v>2102587.0087032267</c:v>
                </c:pt>
                <c:pt idx="374">
                  <c:v>1110569.0238422556</c:v>
                </c:pt>
                <c:pt idx="375">
                  <c:v>649705.67238825525</c:v>
                </c:pt>
                <c:pt idx="376">
                  <c:v>649436.16213406343</c:v>
                </c:pt>
                <c:pt idx="377">
                  <c:v>1462990.8344281777</c:v>
                </c:pt>
                <c:pt idx="378">
                  <c:v>77299.94790217944</c:v>
                </c:pt>
                <c:pt idx="379">
                  <c:v>1839141.1434571736</c:v>
                </c:pt>
                <c:pt idx="380">
                  <c:v>948976.70803908806</c:v>
                </c:pt>
                <c:pt idx="381">
                  <c:v>2282656.9630954452</c:v>
                </c:pt>
                <c:pt idx="382">
                  <c:v>55247.765925056039</c:v>
                </c:pt>
                <c:pt idx="383">
                  <c:v>1496863.6405849999</c:v>
                </c:pt>
                <c:pt idx="384">
                  <c:v>287314.01214649109</c:v>
                </c:pt>
                <c:pt idx="385">
                  <c:v>1076043.5323275004</c:v>
                </c:pt>
                <c:pt idx="386">
                  <c:v>2325279.1002305001</c:v>
                </c:pt>
                <c:pt idx="387">
                  <c:v>919011.17311231536</c:v>
                </c:pt>
                <c:pt idx="388">
                  <c:v>87771.149420868082</c:v>
                </c:pt>
                <c:pt idx="389">
                  <c:v>1523080.6311256215</c:v>
                </c:pt>
                <c:pt idx="390">
                  <c:v>703776.69915209292</c:v>
                </c:pt>
                <c:pt idx="391">
                  <c:v>1472997.7580605864</c:v>
                </c:pt>
                <c:pt idx="392">
                  <c:v>1729118.6019181858</c:v>
                </c:pt>
                <c:pt idx="393">
                  <c:v>-86934.808879174321</c:v>
                </c:pt>
                <c:pt idx="394">
                  <c:v>1494674.9507044405</c:v>
                </c:pt>
                <c:pt idx="395">
                  <c:v>1939918.9878207981</c:v>
                </c:pt>
                <c:pt idx="396">
                  <c:v>1409308.1927118581</c:v>
                </c:pt>
                <c:pt idx="397">
                  <c:v>282928.27297308703</c:v>
                </c:pt>
                <c:pt idx="398">
                  <c:v>1015106.7715212872</c:v>
                </c:pt>
                <c:pt idx="399">
                  <c:v>1228318.5979966517</c:v>
                </c:pt>
                <c:pt idx="400">
                  <c:v>453471.87528808269</c:v>
                </c:pt>
                <c:pt idx="401">
                  <c:v>1361661.4461078485</c:v>
                </c:pt>
                <c:pt idx="402">
                  <c:v>594629.90393109701</c:v>
                </c:pt>
                <c:pt idx="403">
                  <c:v>558624.94226352044</c:v>
                </c:pt>
                <c:pt idx="404">
                  <c:v>268396.24075657444</c:v>
                </c:pt>
                <c:pt idx="405">
                  <c:v>1877652.5557669739</c:v>
                </c:pt>
                <c:pt idx="406">
                  <c:v>1631925.3594045897</c:v>
                </c:pt>
                <c:pt idx="407">
                  <c:v>1384661.3556481879</c:v>
                </c:pt>
                <c:pt idx="408">
                  <c:v>2186165.9970617522</c:v>
                </c:pt>
                <c:pt idx="409">
                  <c:v>759772.39583640103</c:v>
                </c:pt>
                <c:pt idx="410">
                  <c:v>339073.21552374738</c:v>
                </c:pt>
                <c:pt idx="411">
                  <c:v>2374296.7001764346</c:v>
                </c:pt>
                <c:pt idx="412">
                  <c:v>-51010.46142942147</c:v>
                </c:pt>
                <c:pt idx="413">
                  <c:v>1812782.0383565046</c:v>
                </c:pt>
                <c:pt idx="414">
                  <c:v>683355.96105846646</c:v>
                </c:pt>
                <c:pt idx="415">
                  <c:v>-14831.801395010349</c:v>
                </c:pt>
                <c:pt idx="416">
                  <c:v>-12071.019330673676</c:v>
                </c:pt>
                <c:pt idx="417">
                  <c:v>1379968.6461609919</c:v>
                </c:pt>
                <c:pt idx="418">
                  <c:v>1417668.6101765293</c:v>
                </c:pt>
                <c:pt idx="419">
                  <c:v>585432.66438671178</c:v>
                </c:pt>
                <c:pt idx="420">
                  <c:v>1163321.2050633032</c:v>
                </c:pt>
                <c:pt idx="421">
                  <c:v>737028.51920018869</c:v>
                </c:pt>
                <c:pt idx="422">
                  <c:v>1350752.9652886731</c:v>
                </c:pt>
                <c:pt idx="423">
                  <c:v>355759.04613683221</c:v>
                </c:pt>
                <c:pt idx="424">
                  <c:v>2105601.2641184498</c:v>
                </c:pt>
                <c:pt idx="425">
                  <c:v>1290691.265257078</c:v>
                </c:pt>
                <c:pt idx="426">
                  <c:v>1815844.1334443621</c:v>
                </c:pt>
                <c:pt idx="427">
                  <c:v>744525.19613857369</c:v>
                </c:pt>
                <c:pt idx="428">
                  <c:v>1818670.0777737307</c:v>
                </c:pt>
                <c:pt idx="429">
                  <c:v>1791091.9403736426</c:v>
                </c:pt>
                <c:pt idx="430">
                  <c:v>1683730.7407562244</c:v>
                </c:pt>
                <c:pt idx="431">
                  <c:v>481238.48466439388</c:v>
                </c:pt>
                <c:pt idx="432">
                  <c:v>1566347.8641731918</c:v>
                </c:pt>
                <c:pt idx="433">
                  <c:v>1133152.5002988372</c:v>
                </c:pt>
                <c:pt idx="434">
                  <c:v>2213664.5842737807</c:v>
                </c:pt>
                <c:pt idx="435">
                  <c:v>996341.08094520774</c:v>
                </c:pt>
                <c:pt idx="436">
                  <c:v>103748.92803738534</c:v>
                </c:pt>
                <c:pt idx="437">
                  <c:v>570002.8402576634</c:v>
                </c:pt>
                <c:pt idx="438">
                  <c:v>2306853.6564275213</c:v>
                </c:pt>
                <c:pt idx="439">
                  <c:v>1033568.476878286</c:v>
                </c:pt>
                <c:pt idx="440">
                  <c:v>1478118.1338244723</c:v>
                </c:pt>
                <c:pt idx="441">
                  <c:v>1534705.1909588552</c:v>
                </c:pt>
                <c:pt idx="442">
                  <c:v>808326.29669522739</c:v>
                </c:pt>
                <c:pt idx="443">
                  <c:v>1931271.4835766391</c:v>
                </c:pt>
                <c:pt idx="444">
                  <c:v>1794158.9941297164</c:v>
                </c:pt>
                <c:pt idx="445">
                  <c:v>206908.91271166576</c:v>
                </c:pt>
                <c:pt idx="446">
                  <c:v>1476411.7249623158</c:v>
                </c:pt>
                <c:pt idx="447">
                  <c:v>1730.8129414418654</c:v>
                </c:pt>
                <c:pt idx="448">
                  <c:v>-96610.301067012973</c:v>
                </c:pt>
                <c:pt idx="449">
                  <c:v>595441.18746097269</c:v>
                </c:pt>
                <c:pt idx="450">
                  <c:v>622191.40793806966</c:v>
                </c:pt>
                <c:pt idx="451">
                  <c:v>1737178.935604359</c:v>
                </c:pt>
                <c:pt idx="452">
                  <c:v>2308005.4989260426</c:v>
                </c:pt>
                <c:pt idx="453">
                  <c:v>1433134.2794651669</c:v>
                </c:pt>
                <c:pt idx="454">
                  <c:v>2130397.6534002582</c:v>
                </c:pt>
                <c:pt idx="455">
                  <c:v>763514.42640522902</c:v>
                </c:pt>
                <c:pt idx="456">
                  <c:v>174476.36166342156</c:v>
                </c:pt>
                <c:pt idx="457">
                  <c:v>1519686.9930806682</c:v>
                </c:pt>
                <c:pt idx="458">
                  <c:v>2309848.3762220205</c:v>
                </c:pt>
                <c:pt idx="459">
                  <c:v>1003122.6323302344</c:v>
                </c:pt>
                <c:pt idx="460">
                  <c:v>-137539.68820500266</c:v>
                </c:pt>
                <c:pt idx="461">
                  <c:v>2176454.7412482188</c:v>
                </c:pt>
                <c:pt idx="462">
                  <c:v>-22562.717968124809</c:v>
                </c:pt>
                <c:pt idx="463">
                  <c:v>1258571.5645753958</c:v>
                </c:pt>
                <c:pt idx="464">
                  <c:v>286217.63404850499</c:v>
                </c:pt>
                <c:pt idx="465">
                  <c:v>2299941.8827419919</c:v>
                </c:pt>
                <c:pt idx="466">
                  <c:v>1584892.4958013038</c:v>
                </c:pt>
                <c:pt idx="467">
                  <c:v>304029.03168396489</c:v>
                </c:pt>
                <c:pt idx="468">
                  <c:v>153848.45562726966</c:v>
                </c:pt>
                <c:pt idx="469">
                  <c:v>731135.17284866318</c:v>
                </c:pt>
                <c:pt idx="470">
                  <c:v>758970.38229406276</c:v>
                </c:pt>
                <c:pt idx="471">
                  <c:v>2100036.2062975573</c:v>
                </c:pt>
                <c:pt idx="472">
                  <c:v>914797.49943876127</c:v>
                </c:pt>
                <c:pt idx="473">
                  <c:v>1243462.1736607002</c:v>
                </c:pt>
                <c:pt idx="474">
                  <c:v>1451992.2160554845</c:v>
                </c:pt>
                <c:pt idx="475">
                  <c:v>374894.30878477788</c:v>
                </c:pt>
                <c:pt idx="476">
                  <c:v>1279667.508210327</c:v>
                </c:pt>
                <c:pt idx="477">
                  <c:v>81158.031757885445</c:v>
                </c:pt>
                <c:pt idx="478">
                  <c:v>2383265.7504656101</c:v>
                </c:pt>
                <c:pt idx="479">
                  <c:v>1540511.2883119283</c:v>
                </c:pt>
                <c:pt idx="480">
                  <c:v>34564.838270482549</c:v>
                </c:pt>
                <c:pt idx="481">
                  <c:v>1317672.9956024245</c:v>
                </c:pt>
                <c:pt idx="482">
                  <c:v>-4065.532150835119</c:v>
                </c:pt>
                <c:pt idx="483">
                  <c:v>1811368.5325500958</c:v>
                </c:pt>
                <c:pt idx="484">
                  <c:v>1255552.4163306453</c:v>
                </c:pt>
                <c:pt idx="485">
                  <c:v>1051986.3270907053</c:v>
                </c:pt>
                <c:pt idx="486">
                  <c:v>658866.15768558392</c:v>
                </c:pt>
                <c:pt idx="487">
                  <c:v>23806.377823152114</c:v>
                </c:pt>
                <c:pt idx="488">
                  <c:v>1028112.50467552</c:v>
                </c:pt>
                <c:pt idx="489">
                  <c:v>675556.01112930349</c:v>
                </c:pt>
                <c:pt idx="490">
                  <c:v>557540.96120992303</c:v>
                </c:pt>
                <c:pt idx="491">
                  <c:v>128530.73077029234</c:v>
                </c:pt>
                <c:pt idx="492">
                  <c:v>755494.3820313334</c:v>
                </c:pt>
                <c:pt idx="493">
                  <c:v>1573095.9295735536</c:v>
                </c:pt>
                <c:pt idx="494">
                  <c:v>1123409.3758818593</c:v>
                </c:pt>
                <c:pt idx="495">
                  <c:v>932166.33330712118</c:v>
                </c:pt>
                <c:pt idx="496">
                  <c:v>1792743.5200400904</c:v>
                </c:pt>
                <c:pt idx="497">
                  <c:v>-71733.473533259094</c:v>
                </c:pt>
                <c:pt idx="498">
                  <c:v>1113652.8205559014</c:v>
                </c:pt>
                <c:pt idx="499">
                  <c:v>1158472.3875554621</c:v>
                </c:pt>
                <c:pt idx="500">
                  <c:v>418034.01218301273</c:v>
                </c:pt>
                <c:pt idx="501">
                  <c:v>2293489.7712173923</c:v>
                </c:pt>
                <c:pt idx="502">
                  <c:v>1869911.1599907617</c:v>
                </c:pt>
                <c:pt idx="503">
                  <c:v>2141050.7217522184</c:v>
                </c:pt>
                <c:pt idx="504">
                  <c:v>529335.35305481474</c:v>
                </c:pt>
                <c:pt idx="505">
                  <c:v>2336790.7150983391</c:v>
                </c:pt>
                <c:pt idx="506">
                  <c:v>2229829.164596247</c:v>
                </c:pt>
                <c:pt idx="507">
                  <c:v>279090.25734212319</c:v>
                </c:pt>
                <c:pt idx="508">
                  <c:v>935057.88862445857</c:v>
                </c:pt>
                <c:pt idx="509">
                  <c:v>1484452.8886081821</c:v>
                </c:pt>
                <c:pt idx="510">
                  <c:v>1102853.7184174603</c:v>
                </c:pt>
                <c:pt idx="511">
                  <c:v>1925426.1741026368</c:v>
                </c:pt>
                <c:pt idx="512">
                  <c:v>379539.38941543852</c:v>
                </c:pt>
                <c:pt idx="513">
                  <c:v>945302.17917467339</c:v>
                </c:pt>
                <c:pt idx="514">
                  <c:v>2159799.4653164125</c:v>
                </c:pt>
                <c:pt idx="515">
                  <c:v>837836.13936230505</c:v>
                </c:pt>
                <c:pt idx="516">
                  <c:v>287862.18697732355</c:v>
                </c:pt>
                <c:pt idx="517">
                  <c:v>2087046.2890427513</c:v>
                </c:pt>
                <c:pt idx="518">
                  <c:v>1873899.6329109441</c:v>
                </c:pt>
                <c:pt idx="519">
                  <c:v>857728.70484769868</c:v>
                </c:pt>
                <c:pt idx="520">
                  <c:v>1991952.2890070195</c:v>
                </c:pt>
                <c:pt idx="521">
                  <c:v>1323654.2707963234</c:v>
                </c:pt>
                <c:pt idx="522">
                  <c:v>1510225.7064990355</c:v>
                </c:pt>
                <c:pt idx="523">
                  <c:v>818703.78405642742</c:v>
                </c:pt>
                <c:pt idx="524">
                  <c:v>1772438.0233558696</c:v>
                </c:pt>
                <c:pt idx="525">
                  <c:v>2325739.6273338064</c:v>
                </c:pt>
                <c:pt idx="526">
                  <c:v>2328272.4327499545</c:v>
                </c:pt>
                <c:pt idx="527">
                  <c:v>2037108.8225446611</c:v>
                </c:pt>
                <c:pt idx="528">
                  <c:v>962611.34145569534</c:v>
                </c:pt>
                <c:pt idx="529">
                  <c:v>1619710.1540007163</c:v>
                </c:pt>
                <c:pt idx="530">
                  <c:v>821363.09371117002</c:v>
                </c:pt>
                <c:pt idx="531">
                  <c:v>895020.35881166416</c:v>
                </c:pt>
                <c:pt idx="532">
                  <c:v>887362.08072219673</c:v>
                </c:pt>
                <c:pt idx="533">
                  <c:v>334421.31740326906</c:v>
                </c:pt>
                <c:pt idx="534">
                  <c:v>673403.55438882066</c:v>
                </c:pt>
                <c:pt idx="535">
                  <c:v>1170460.6099787785</c:v>
                </c:pt>
                <c:pt idx="536">
                  <c:v>350015.86262645957</c:v>
                </c:pt>
                <c:pt idx="537">
                  <c:v>-102969.27867454101</c:v>
                </c:pt>
                <c:pt idx="538">
                  <c:v>779538.49478413491</c:v>
                </c:pt>
                <c:pt idx="539">
                  <c:v>1683730.7407562244</c:v>
                </c:pt>
                <c:pt idx="540">
                  <c:v>786742.22766585997</c:v>
                </c:pt>
                <c:pt idx="541">
                  <c:v>1749495.8103700073</c:v>
                </c:pt>
                <c:pt idx="542">
                  <c:v>-133113.68274179718</c:v>
                </c:pt>
                <c:pt idx="543">
                  <c:v>1301197.0461033003</c:v>
                </c:pt>
                <c:pt idx="544">
                  <c:v>927695.72855165659</c:v>
                </c:pt>
                <c:pt idx="545">
                  <c:v>2005695.7700014976</c:v>
                </c:pt>
                <c:pt idx="546">
                  <c:v>1991253.2188051543</c:v>
                </c:pt>
                <c:pt idx="547">
                  <c:v>1321661.101318382</c:v>
                </c:pt>
                <c:pt idx="548">
                  <c:v>2090990.3721926284</c:v>
                </c:pt>
                <c:pt idx="549">
                  <c:v>2098644.7513390989</c:v>
                </c:pt>
                <c:pt idx="550">
                  <c:v>782740.70385612373</c:v>
                </c:pt>
                <c:pt idx="551">
                  <c:v>548866.81724493578</c:v>
                </c:pt>
                <c:pt idx="552">
                  <c:v>679590.99959749985</c:v>
                </c:pt>
                <c:pt idx="553">
                  <c:v>879433.31298333476</c:v>
                </c:pt>
                <c:pt idx="554">
                  <c:v>53041.996343544655</c:v>
                </c:pt>
                <c:pt idx="555">
                  <c:v>365055.00107568194</c:v>
                </c:pt>
                <c:pt idx="556">
                  <c:v>452927.08602246211</c:v>
                </c:pt>
                <c:pt idx="557">
                  <c:v>2093774.0536385211</c:v>
                </c:pt>
                <c:pt idx="558">
                  <c:v>1338584.3561352929</c:v>
                </c:pt>
                <c:pt idx="559">
                  <c:v>2105601.2641184498</c:v>
                </c:pt>
                <c:pt idx="560">
                  <c:v>269767.464408589</c:v>
                </c:pt>
                <c:pt idx="561">
                  <c:v>2140587.6309208525</c:v>
                </c:pt>
                <c:pt idx="562">
                  <c:v>731671.04346732236</c:v>
                </c:pt>
                <c:pt idx="563">
                  <c:v>2063368.3310015837</c:v>
                </c:pt>
                <c:pt idx="564">
                  <c:v>1526957.3300497814</c:v>
                </c:pt>
                <c:pt idx="565">
                  <c:v>2316528.0817897487</c:v>
                </c:pt>
                <c:pt idx="566">
                  <c:v>2159336.6825622618</c:v>
                </c:pt>
                <c:pt idx="567">
                  <c:v>1600276.6954186419</c:v>
                </c:pt>
                <c:pt idx="568">
                  <c:v>383910.48312108032</c:v>
                </c:pt>
                <c:pt idx="569">
                  <c:v>1526715.0906761407</c:v>
                </c:pt>
                <c:pt idx="570">
                  <c:v>1983794.9448569294</c:v>
                </c:pt>
                <c:pt idx="571">
                  <c:v>1969103.1758957598</c:v>
                </c:pt>
                <c:pt idx="572">
                  <c:v>845532.46992047376</c:v>
                </c:pt>
                <c:pt idx="573">
                  <c:v>977270.46981120203</c:v>
                </c:pt>
                <c:pt idx="574">
                  <c:v>1510953.8964298507</c:v>
                </c:pt>
                <c:pt idx="575">
                  <c:v>2062671.5637670795</c:v>
                </c:pt>
                <c:pt idx="576">
                  <c:v>1634079.3613803592</c:v>
                </c:pt>
                <c:pt idx="577">
                  <c:v>2030829.876887735</c:v>
                </c:pt>
                <c:pt idx="578">
                  <c:v>2004065.6703752032</c:v>
                </c:pt>
                <c:pt idx="579">
                  <c:v>713439.07030052179</c:v>
                </c:pt>
                <c:pt idx="580">
                  <c:v>1600757.0289297414</c:v>
                </c:pt>
                <c:pt idx="581">
                  <c:v>1091007.5273102839</c:v>
                </c:pt>
                <c:pt idx="582">
                  <c:v>2343696.1402385347</c:v>
                </c:pt>
                <c:pt idx="583">
                  <c:v>1728407.1264969141</c:v>
                </c:pt>
                <c:pt idx="584">
                  <c:v>2049429.0037525289</c:v>
                </c:pt>
                <c:pt idx="585">
                  <c:v>1883280.2589295844</c:v>
                </c:pt>
                <c:pt idx="586">
                  <c:v>1441712.0828215943</c:v>
                </c:pt>
                <c:pt idx="587">
                  <c:v>1439017.2878088308</c:v>
                </c:pt>
                <c:pt idx="588">
                  <c:v>1876479.8641847114</c:v>
                </c:pt>
                <c:pt idx="589">
                  <c:v>808592.50812069012</c:v>
                </c:pt>
                <c:pt idx="590">
                  <c:v>445298.67166843527</c:v>
                </c:pt>
                <c:pt idx="591">
                  <c:v>1161024.8218210223</c:v>
                </c:pt>
                <c:pt idx="592">
                  <c:v>2324127.7594855721</c:v>
                </c:pt>
                <c:pt idx="593">
                  <c:v>1671817.4614634623</c:v>
                </c:pt>
                <c:pt idx="594">
                  <c:v>850571.80246773304</c:v>
                </c:pt>
                <c:pt idx="595">
                  <c:v>2190327.0102510108</c:v>
                </c:pt>
                <c:pt idx="596">
                  <c:v>2303167.5309605496</c:v>
                </c:pt>
                <c:pt idx="597">
                  <c:v>784608.25325299741</c:v>
                </c:pt>
                <c:pt idx="598">
                  <c:v>1399213.4160153484</c:v>
                </c:pt>
                <c:pt idx="599">
                  <c:v>979362.54598128318</c:v>
                </c:pt>
                <c:pt idx="600">
                  <c:v>629749.15339115972</c:v>
                </c:pt>
                <c:pt idx="601">
                  <c:v>1987291.3592321766</c:v>
                </c:pt>
                <c:pt idx="602">
                  <c:v>912426.45884110068</c:v>
                </c:pt>
                <c:pt idx="603">
                  <c:v>1245226.6956139493</c:v>
                </c:pt>
                <c:pt idx="604">
                  <c:v>1107483.89708419</c:v>
                </c:pt>
                <c:pt idx="605">
                  <c:v>1643407.8321287474</c:v>
                </c:pt>
                <c:pt idx="606">
                  <c:v>740509.67190128705</c:v>
                </c:pt>
                <c:pt idx="607">
                  <c:v>1821024.5904534259</c:v>
                </c:pt>
                <c:pt idx="608">
                  <c:v>-44933.074115715135</c:v>
                </c:pt>
                <c:pt idx="609">
                  <c:v>1030451.2470114217</c:v>
                </c:pt>
                <c:pt idx="610">
                  <c:v>2197954.071204362</c:v>
                </c:pt>
                <c:pt idx="611">
                  <c:v>1589702.8958027333</c:v>
                </c:pt>
                <c:pt idx="612">
                  <c:v>1281422.5028414836</c:v>
                </c:pt>
                <c:pt idx="613">
                  <c:v>1494431.724961173</c:v>
                </c:pt>
                <c:pt idx="614">
                  <c:v>1687064.0367689661</c:v>
                </c:pt>
                <c:pt idx="615">
                  <c:v>1825732.422143599</c:v>
                </c:pt>
                <c:pt idx="616">
                  <c:v>1155408.2206478883</c:v>
                </c:pt>
                <c:pt idx="617">
                  <c:v>1844783.1794449086</c:v>
                </c:pt>
                <c:pt idx="618">
                  <c:v>404936.04275017721</c:v>
                </c:pt>
                <c:pt idx="619">
                  <c:v>1410538.2808390458</c:v>
                </c:pt>
                <c:pt idx="620">
                  <c:v>989292.71312011534</c:v>
                </c:pt>
                <c:pt idx="621">
                  <c:v>956058.91972307872</c:v>
                </c:pt>
                <c:pt idx="622">
                  <c:v>2280812.7674261467</c:v>
                </c:pt>
                <c:pt idx="623">
                  <c:v>1619470.4824336623</c:v>
                </c:pt>
                <c:pt idx="624">
                  <c:v>2090758.3846848975</c:v>
                </c:pt>
                <c:pt idx="625">
                  <c:v>48354.408761858154</c:v>
                </c:pt>
                <c:pt idx="626">
                  <c:v>1169950.8985567961</c:v>
                </c:pt>
                <c:pt idx="627">
                  <c:v>1317672.9956024245</c:v>
                </c:pt>
                <c:pt idx="628">
                  <c:v>866469.17198007193</c:v>
                </c:pt>
                <c:pt idx="629">
                  <c:v>651592.11004354898</c:v>
                </c:pt>
                <c:pt idx="630">
                  <c:v>775267.52287176123</c:v>
                </c:pt>
                <c:pt idx="631">
                  <c:v>1796046.0559684876</c:v>
                </c:pt>
                <c:pt idx="632">
                  <c:v>1076043.5323275004</c:v>
                </c:pt>
                <c:pt idx="633">
                  <c:v>1446364.3969953854</c:v>
                </c:pt>
                <c:pt idx="634">
                  <c:v>-59851.408520546189</c:v>
                </c:pt>
                <c:pt idx="635">
                  <c:v>1914899.6437163383</c:v>
                </c:pt>
                <c:pt idx="636">
                  <c:v>1551628.3038120491</c:v>
                </c:pt>
                <c:pt idx="637">
                  <c:v>1263600.450090437</c:v>
                </c:pt>
                <c:pt idx="638">
                  <c:v>133485.39597688839</c:v>
                </c:pt>
                <c:pt idx="639">
                  <c:v>486134.80337331491</c:v>
                </c:pt>
                <c:pt idx="640">
                  <c:v>1135458.1080935444</c:v>
                </c:pt>
                <c:pt idx="641">
                  <c:v>1451992.2160554845</c:v>
                </c:pt>
                <c:pt idx="642">
                  <c:v>72063.472674013203</c:v>
                </c:pt>
                <c:pt idx="643">
                  <c:v>1399952.5469273061</c:v>
                </c:pt>
                <c:pt idx="644">
                  <c:v>1149531.4401890168</c:v>
                </c:pt>
                <c:pt idx="645">
                  <c:v>830665.52062836103</c:v>
                </c:pt>
                <c:pt idx="646">
                  <c:v>1187768.2297906613</c:v>
                </c:pt>
                <c:pt idx="647">
                  <c:v>879962.09880568844</c:v>
                </c:pt>
                <c:pt idx="648">
                  <c:v>377353.57053629484</c:v>
                </c:pt>
                <c:pt idx="649">
                  <c:v>748004.27860844845</c:v>
                </c:pt>
                <c:pt idx="650">
                  <c:v>2115568.9813437969</c:v>
                </c:pt>
                <c:pt idx="651">
                  <c:v>270041.7022648328</c:v>
                </c:pt>
                <c:pt idx="652">
                  <c:v>228331.90159939218</c:v>
                </c:pt>
                <c:pt idx="653">
                  <c:v>-36646.744036664721</c:v>
                </c:pt>
                <c:pt idx="654">
                  <c:v>1853242.1614916958</c:v>
                </c:pt>
                <c:pt idx="655">
                  <c:v>1030970.8721687497</c:v>
                </c:pt>
                <c:pt idx="656">
                  <c:v>2037806.3727644794</c:v>
                </c:pt>
                <c:pt idx="657">
                  <c:v>-72562.541151525773</c:v>
                </c:pt>
                <c:pt idx="658">
                  <c:v>1663947.1737325604</c:v>
                </c:pt>
                <c:pt idx="659">
                  <c:v>1826909.1329149166</c:v>
                </c:pt>
                <c:pt idx="660">
                  <c:v>2062207.0407431745</c:v>
                </c:pt>
                <c:pt idx="661">
                  <c:v>1971435.9480825458</c:v>
                </c:pt>
                <c:pt idx="662">
                  <c:v>329768.66968647158</c:v>
                </c:pt>
                <c:pt idx="663">
                  <c:v>1577671.9910789537</c:v>
                </c:pt>
                <c:pt idx="664">
                  <c:v>1686111.7735458161</c:v>
                </c:pt>
                <c:pt idx="665">
                  <c:v>2273204.4828258585</c:v>
                </c:pt>
                <c:pt idx="666">
                  <c:v>1811839.717421863</c:v>
                </c:pt>
                <c:pt idx="667">
                  <c:v>1572614.099124558</c:v>
                </c:pt>
                <c:pt idx="668">
                  <c:v>2155402.7273463621</c:v>
                </c:pt>
                <c:pt idx="669">
                  <c:v>2269745.6467941087</c:v>
                </c:pt>
                <c:pt idx="670">
                  <c:v>2288649.9671920128</c:v>
                </c:pt>
                <c:pt idx="671">
                  <c:v>629479.29578205827</c:v>
                </c:pt>
                <c:pt idx="672">
                  <c:v>2368086.3003260833</c:v>
                </c:pt>
                <c:pt idx="673">
                  <c:v>799804.17656576564</c:v>
                </c:pt>
                <c:pt idx="674">
                  <c:v>725775.24458707729</c:v>
                </c:pt>
                <c:pt idx="675">
                  <c:v>75646.386674444599</c:v>
                </c:pt>
                <c:pt idx="676">
                  <c:v>1215672.7873893513</c:v>
                </c:pt>
                <c:pt idx="677">
                  <c:v>1631925.3594045897</c:v>
                </c:pt>
                <c:pt idx="678">
                  <c:v>861967.45485501341</c:v>
                </c:pt>
                <c:pt idx="679">
                  <c:v>1385155.1413353616</c:v>
                </c:pt>
                <c:pt idx="680">
                  <c:v>2333567.7893613791</c:v>
                </c:pt>
                <c:pt idx="681">
                  <c:v>1115194.2194083014</c:v>
                </c:pt>
                <c:pt idx="682">
                  <c:v>1548488.0372893189</c:v>
                </c:pt>
                <c:pt idx="683">
                  <c:v>663444.2955693499</c:v>
                </c:pt>
                <c:pt idx="684">
                  <c:v>2230521.7549706409</c:v>
                </c:pt>
                <c:pt idx="685">
                  <c:v>544528.2288617359</c:v>
                </c:pt>
                <c:pt idx="686">
                  <c:v>1602197.8774017086</c:v>
                </c:pt>
                <c:pt idx="687">
                  <c:v>1870145.8045091915</c:v>
                </c:pt>
                <c:pt idx="688">
                  <c:v>2166046.3064969424</c:v>
                </c:pt>
                <c:pt idx="689">
                  <c:v>1352737.6178933431</c:v>
                </c:pt>
                <c:pt idx="690">
                  <c:v>2315376.4890471459</c:v>
                </c:pt>
                <c:pt idx="691">
                  <c:v>1318171.6377916108</c:v>
                </c:pt>
                <c:pt idx="692">
                  <c:v>1003122.6323302344</c:v>
                </c:pt>
                <c:pt idx="693">
                  <c:v>2218745.7432983783</c:v>
                </c:pt>
                <c:pt idx="694">
                  <c:v>93005.864756578114</c:v>
                </c:pt>
                <c:pt idx="695">
                  <c:v>238764.09894524867</c:v>
                </c:pt>
                <c:pt idx="696">
                  <c:v>-81959.418165842711</c:v>
                </c:pt>
                <c:pt idx="697">
                  <c:v>2108615.1650988525</c:v>
                </c:pt>
                <c:pt idx="698">
                  <c:v>1325397.8117872647</c:v>
                </c:pt>
                <c:pt idx="699">
                  <c:v>88046.675564732752</c:v>
                </c:pt>
                <c:pt idx="700">
                  <c:v>495108.44873335119</c:v>
                </c:pt>
                <c:pt idx="701">
                  <c:v>2272282.1588155353</c:v>
                </c:pt>
                <c:pt idx="702">
                  <c:v>2134335.1412218418</c:v>
                </c:pt>
                <c:pt idx="703">
                  <c:v>2190558.1610438069</c:v>
                </c:pt>
                <c:pt idx="704">
                  <c:v>1412997.8197921857</c:v>
                </c:pt>
                <c:pt idx="705">
                  <c:v>1618032.3244785522</c:v>
                </c:pt>
                <c:pt idx="706">
                  <c:v>1538334.4807260348</c:v>
                </c:pt>
                <c:pt idx="707">
                  <c:v>290602.91855432611</c:v>
                </c:pt>
                <c:pt idx="708">
                  <c:v>1474461.0746817051</c:v>
                </c:pt>
                <c:pt idx="709">
                  <c:v>1378238.9552257226</c:v>
                </c:pt>
                <c:pt idx="710">
                  <c:v>736225.04090152786</c:v>
                </c:pt>
                <c:pt idx="711">
                  <c:v>808060.0788868079</c:v>
                </c:pt>
                <c:pt idx="712">
                  <c:v>2018731.9803718706</c:v>
                </c:pt>
                <c:pt idx="713">
                  <c:v>362594.61432395293</c:v>
                </c:pt>
                <c:pt idx="714">
                  <c:v>1145184.5331431385</c:v>
                </c:pt>
                <c:pt idx="715">
                  <c:v>-95227.99789054619</c:v>
                </c:pt>
                <c:pt idx="716">
                  <c:v>1937348.5472488776</c:v>
                </c:pt>
                <c:pt idx="717">
                  <c:v>-30570.855939799047</c:v>
                </c:pt>
                <c:pt idx="718">
                  <c:v>1535431.1769888101</c:v>
                </c:pt>
                <c:pt idx="719">
                  <c:v>1681110.9838198416</c:v>
                </c:pt>
                <c:pt idx="720">
                  <c:v>-44104.388133795292</c:v>
                </c:pt>
                <c:pt idx="721">
                  <c:v>1626418.4859657739</c:v>
                </c:pt>
                <c:pt idx="722">
                  <c:v>742651.44408855145</c:v>
                </c:pt>
                <c:pt idx="723">
                  <c:v>2191713.8888911009</c:v>
                </c:pt>
                <c:pt idx="724">
                  <c:v>38702.105413780228</c:v>
                </c:pt>
                <c:pt idx="725">
                  <c:v>1475436.4623988119</c:v>
                </c:pt>
                <c:pt idx="726">
                  <c:v>70409.729042999243</c:v>
                </c:pt>
                <c:pt idx="727">
                  <c:v>415578.67270176695</c:v>
                </c:pt>
                <c:pt idx="728">
                  <c:v>1009898.4834920685</c:v>
                </c:pt>
                <c:pt idx="729">
                  <c:v>903463.71734552714</c:v>
                </c:pt>
                <c:pt idx="730">
                  <c:v>1010940.4135167478</c:v>
                </c:pt>
                <c:pt idx="731">
                  <c:v>120547.01392685893</c:v>
                </c:pt>
                <c:pt idx="732">
                  <c:v>1560800.8526055212</c:v>
                </c:pt>
                <c:pt idx="733">
                  <c:v>1272140.8821756386</c:v>
                </c:pt>
                <c:pt idx="734">
                  <c:v>2160725.0084859668</c:v>
                </c:pt>
                <c:pt idx="735">
                  <c:v>193444.5077797728</c:v>
                </c:pt>
                <c:pt idx="736">
                  <c:v>561605.55864234839</c:v>
                </c:pt>
                <c:pt idx="737">
                  <c:v>1378486.0802897026</c:v>
                </c:pt>
                <c:pt idx="738">
                  <c:v>-54878.214671473339</c:v>
                </c:pt>
                <c:pt idx="739">
                  <c:v>1960469.429656252</c:v>
                </c:pt>
                <c:pt idx="740">
                  <c:v>1908814.6838035595</c:v>
                </c:pt>
                <c:pt idx="741">
                  <c:v>-21458.236091576051</c:v>
                </c:pt>
                <c:pt idx="742">
                  <c:v>818703.78405642742</c:v>
                </c:pt>
                <c:pt idx="743">
                  <c:v>1697533.3331496918</c:v>
                </c:pt>
                <c:pt idx="744">
                  <c:v>1883514.7030996536</c:v>
                </c:pt>
                <c:pt idx="745">
                  <c:v>1151064.9936576399</c:v>
                </c:pt>
                <c:pt idx="746">
                  <c:v>926117.33751351584</c:v>
                </c:pt>
                <c:pt idx="747">
                  <c:v>727383.45576291275</c:v>
                </c:pt>
                <c:pt idx="748">
                  <c:v>1824320.239044342</c:v>
                </c:pt>
                <c:pt idx="749">
                  <c:v>967849.66279784834</c:v>
                </c:pt>
                <c:pt idx="750">
                  <c:v>1656548.3213534509</c:v>
                </c:pt>
                <c:pt idx="751">
                  <c:v>389100.2075420969</c:v>
                </c:pt>
                <c:pt idx="752">
                  <c:v>535848.06180274102</c:v>
                </c:pt>
                <c:pt idx="753">
                  <c:v>846328.31742983265</c:v>
                </c:pt>
                <c:pt idx="754">
                  <c:v>1832555.9803199368</c:v>
                </c:pt>
                <c:pt idx="755">
                  <c:v>2065226.2756869192</c:v>
                </c:pt>
                <c:pt idx="756">
                  <c:v>1898043.55503583</c:v>
                </c:pt>
                <c:pt idx="757">
                  <c:v>2097253.2197088273</c:v>
                </c:pt>
                <c:pt idx="758">
                  <c:v>262910.77586772066</c:v>
                </c:pt>
                <c:pt idx="759">
                  <c:v>2035016.0398102938</c:v>
                </c:pt>
                <c:pt idx="760">
                  <c:v>2175067.1618921421</c:v>
                </c:pt>
                <c:pt idx="761">
                  <c:v>1124948.6585768145</c:v>
                </c:pt>
                <c:pt idx="762">
                  <c:v>892116.2164320742</c:v>
                </c:pt>
                <c:pt idx="763">
                  <c:v>1657980.7809995376</c:v>
                </c:pt>
                <c:pt idx="764">
                  <c:v>231626.61344528018</c:v>
                </c:pt>
                <c:pt idx="765">
                  <c:v>1656548.3213534509</c:v>
                </c:pt>
                <c:pt idx="766">
                  <c:v>2367166.1667191782</c:v>
                </c:pt>
                <c:pt idx="767">
                  <c:v>2182235.6281021661</c:v>
                </c:pt>
                <c:pt idx="768">
                  <c:v>-122603.07555102571</c:v>
                </c:pt>
                <c:pt idx="769">
                  <c:v>-5169.6678578415303</c:v>
                </c:pt>
                <c:pt idx="770">
                  <c:v>1217950.789813505</c:v>
                </c:pt>
                <c:pt idx="771">
                  <c:v>-9586.4331510273914</c:v>
                </c:pt>
                <c:pt idx="772">
                  <c:v>626.79495191879687</c:v>
                </c:pt>
                <c:pt idx="773">
                  <c:v>121648.30371327259</c:v>
                </c:pt>
                <c:pt idx="774">
                  <c:v>1104140.1783158102</c:v>
                </c:pt>
                <c:pt idx="775">
                  <c:v>1533979.1407346842</c:v>
                </c:pt>
                <c:pt idx="776">
                  <c:v>1930570.1494098739</c:v>
                </c:pt>
                <c:pt idx="777">
                  <c:v>822426.63505436655</c:v>
                </c:pt>
                <c:pt idx="778">
                  <c:v>909791.25534956739</c:v>
                </c:pt>
                <c:pt idx="779">
                  <c:v>399749.52802458615</c:v>
                </c:pt>
                <c:pt idx="780">
                  <c:v>1894529.7068452598</c:v>
                </c:pt>
                <c:pt idx="781">
                  <c:v>826413.98221851257</c:v>
                </c:pt>
                <c:pt idx="782">
                  <c:v>1959769.2228905451</c:v>
                </c:pt>
                <c:pt idx="783">
                  <c:v>596522.83846708736</c:v>
                </c:pt>
                <c:pt idx="784">
                  <c:v>1295696.0711923472</c:v>
                </c:pt>
                <c:pt idx="785">
                  <c:v>1528410.6146689747</c:v>
                </c:pt>
                <c:pt idx="786">
                  <c:v>604362.73198660079</c:v>
                </c:pt>
                <c:pt idx="787">
                  <c:v>897923.61446238111</c:v>
                </c:pt>
                <c:pt idx="788">
                  <c:v>1418405.8247076543</c:v>
                </c:pt>
                <c:pt idx="789">
                  <c:v>1724849.0880018959</c:v>
                </c:pt>
                <c:pt idx="790">
                  <c:v>665598.22296908125</c:v>
                </c:pt>
                <c:pt idx="791">
                  <c:v>40908.509708403231</c:v>
                </c:pt>
                <c:pt idx="792">
                  <c:v>1114166.6571988235</c:v>
                </c:pt>
                <c:pt idx="793">
                  <c:v>223114.65059564618</c:v>
                </c:pt>
                <c:pt idx="794">
                  <c:v>978578.07889585954</c:v>
                </c:pt>
                <c:pt idx="795">
                  <c:v>2053146.9833284144</c:v>
                </c:pt>
                <c:pt idx="796">
                  <c:v>1704190.3352022683</c:v>
                </c:pt>
                <c:pt idx="797">
                  <c:v>997645.66615116445</c:v>
                </c:pt>
                <c:pt idx="798">
                  <c:v>289780.72407123912</c:v>
                </c:pt>
                <c:pt idx="799">
                  <c:v>610037.59665910865</c:v>
                </c:pt>
                <c:pt idx="800">
                  <c:v>2012680.4616198612</c:v>
                </c:pt>
                <c:pt idx="801">
                  <c:v>154123.56363921511</c:v>
                </c:pt>
                <c:pt idx="802">
                  <c:v>18564.266773240728</c:v>
                </c:pt>
                <c:pt idx="803">
                  <c:v>2070334.8683389514</c:v>
                </c:pt>
                <c:pt idx="804">
                  <c:v>919537.74600051343</c:v>
                </c:pt>
                <c:pt idx="805">
                  <c:v>1753993.0385140199</c:v>
                </c:pt>
                <c:pt idx="806">
                  <c:v>1569722.5546949368</c:v>
                </c:pt>
                <c:pt idx="807">
                  <c:v>253309.03932591499</c:v>
                </c:pt>
                <c:pt idx="808">
                  <c:v>2159105.2883895622</c:v>
                </c:pt>
                <c:pt idx="809">
                  <c:v>1942722.6847559863</c:v>
                </c:pt>
                <c:pt idx="810">
                  <c:v>1097190.5668478399</c:v>
                </c:pt>
                <c:pt idx="811">
                  <c:v>1583689.4885804923</c:v>
                </c:pt>
                <c:pt idx="812">
                  <c:v>2145912.7084868141</c:v>
                </c:pt>
                <c:pt idx="813">
                  <c:v>2114410.1409620373</c:v>
                </c:pt>
                <c:pt idx="814">
                  <c:v>-87211.231020215026</c:v>
                </c:pt>
                <c:pt idx="815">
                  <c:v>2216436.2244888968</c:v>
                </c:pt>
                <c:pt idx="816">
                  <c:v>2171829.2241788735</c:v>
                </c:pt>
                <c:pt idx="817">
                  <c:v>1147486.175339727</c:v>
                </c:pt>
                <c:pt idx="818">
                  <c:v>2077299.3643359239</c:v>
                </c:pt>
                <c:pt idx="819">
                  <c:v>1162045.5310852195</c:v>
                </c:pt>
                <c:pt idx="820">
                  <c:v>1110826.0577349081</c:v>
                </c:pt>
                <c:pt idx="821">
                  <c:v>222840.03736769338</c:v>
                </c:pt>
                <c:pt idx="822">
                  <c:v>1257062.1608902344</c:v>
                </c:pt>
                <c:pt idx="823">
                  <c:v>2081012.938398334</c:v>
                </c:pt>
                <c:pt idx="824">
                  <c:v>140365.91704498467</c:v>
                </c:pt>
                <c:pt idx="825">
                  <c:v>876259.99752020626</c:v>
                </c:pt>
                <c:pt idx="826">
                  <c:v>1263349.0956504054</c:v>
                </c:pt>
                <c:pt idx="827">
                  <c:v>1451013.7728302903</c:v>
                </c:pt>
                <c:pt idx="828">
                  <c:v>817373.88547065423</c:v>
                </c:pt>
                <c:pt idx="829">
                  <c:v>1773146.8991225723</c:v>
                </c:pt>
                <c:pt idx="830">
                  <c:v>951600.42382007989</c:v>
                </c:pt>
                <c:pt idx="831">
                  <c:v>456740.33591479075</c:v>
                </c:pt>
                <c:pt idx="832">
                  <c:v>1794394.8916506297</c:v>
                </c:pt>
                <c:pt idx="833">
                  <c:v>1795810.1880141785</c:v>
                </c:pt>
                <c:pt idx="834">
                  <c:v>1666332.7487301661</c:v>
                </c:pt>
                <c:pt idx="835">
                  <c:v>547782.26432319696</c:v>
                </c:pt>
                <c:pt idx="836">
                  <c:v>1945058.7659951544</c:v>
                </c:pt>
                <c:pt idx="837">
                  <c:v>2239293.3273755368</c:v>
                </c:pt>
                <c:pt idx="838">
                  <c:v>2193100.7049653367</c:v>
                </c:pt>
                <c:pt idx="839">
                  <c:v>494020.9384036613</c:v>
                </c:pt>
                <c:pt idx="840">
                  <c:v>65999.46659718774</c:v>
                </c:pt>
                <c:pt idx="841">
                  <c:v>2013611.5774942064</c:v>
                </c:pt>
                <c:pt idx="842">
                  <c:v>1473241.6637716915</c:v>
                </c:pt>
                <c:pt idx="843">
                  <c:v>1668240.8074796963</c:v>
                </c:pt>
                <c:pt idx="844">
                  <c:v>77299.94790217944</c:v>
                </c:pt>
                <c:pt idx="845">
                  <c:v>2351290.7939825845</c:v>
                </c:pt>
                <c:pt idx="846">
                  <c:v>691689.09417967964</c:v>
                </c:pt>
                <c:pt idx="847">
                  <c:v>288684.43142308737</c:v>
                </c:pt>
                <c:pt idx="848">
                  <c:v>814181.46849292936</c:v>
                </c:pt>
                <c:pt idx="849">
                  <c:v>2168359.6105468804</c:v>
                </c:pt>
                <c:pt idx="850">
                  <c:v>1287185.6750331032</c:v>
                </c:pt>
                <c:pt idx="851">
                  <c:v>308411.80335759785</c:v>
                </c:pt>
                <c:pt idx="852">
                  <c:v>996080.13878647902</c:v>
                </c:pt>
                <c:pt idx="853">
                  <c:v>215150.01853253524</c:v>
                </c:pt>
                <c:pt idx="854">
                  <c:v>1988689.75246802</c:v>
                </c:pt>
                <c:pt idx="855">
                  <c:v>523363.45140711137</c:v>
                </c:pt>
                <c:pt idx="856">
                  <c:v>1970736.1462522796</c:v>
                </c:pt>
                <c:pt idx="857">
                  <c:v>389646.43397135672</c:v>
                </c:pt>
                <c:pt idx="858">
                  <c:v>1723900.0908700391</c:v>
                </c:pt>
                <c:pt idx="859">
                  <c:v>2216667.1837736787</c:v>
                </c:pt>
                <c:pt idx="860">
                  <c:v>70134.099534055305</c:v>
                </c:pt>
                <c:pt idx="861">
                  <c:v>1514351.2350990514</c:v>
                </c:pt>
                <c:pt idx="862">
                  <c:v>1755886.1078008167</c:v>
                </c:pt>
                <c:pt idx="863">
                  <c:v>1786844.0605085166</c:v>
                </c:pt>
                <c:pt idx="864">
                  <c:v>1758961.7172191332</c:v>
                </c:pt>
                <c:pt idx="865">
                  <c:v>2293720.222607811</c:v>
                </c:pt>
                <c:pt idx="866">
                  <c:v>938211.24211190536</c:v>
                </c:pt>
                <c:pt idx="867">
                  <c:v>463275.83347536298</c:v>
                </c:pt>
                <c:pt idx="868">
                  <c:v>683624.84871280077</c:v>
                </c:pt>
                <c:pt idx="869">
                  <c:v>1740733.1963603876</c:v>
                </c:pt>
                <c:pt idx="870">
                  <c:v>563231.14369661245</c:v>
                </c:pt>
                <c:pt idx="871">
                  <c:v>2156096.9940870153</c:v>
                </c:pt>
                <c:pt idx="872">
                  <c:v>759237.72600304219</c:v>
                </c:pt>
                <c:pt idx="873">
                  <c:v>1062084.2406362677</c:v>
                </c:pt>
                <c:pt idx="874">
                  <c:v>2014542.6521520072</c:v>
                </c:pt>
                <c:pt idx="875">
                  <c:v>686851.1018496207</c:v>
                </c:pt>
                <c:pt idx="876">
                  <c:v>796340.2198162151</c:v>
                </c:pt>
                <c:pt idx="877">
                  <c:v>1605078.8921366697</c:v>
                </c:pt>
                <c:pt idx="878">
                  <c:v>1615874.6733170087</c:v>
                </c:pt>
                <c:pt idx="879">
                  <c:v>2316297.7659170772</c:v>
                </c:pt>
                <c:pt idx="880">
                  <c:v>2102355.1281534648</c:v>
                </c:pt>
                <c:pt idx="881">
                  <c:v>2175529.6955406033</c:v>
                </c:pt>
                <c:pt idx="882">
                  <c:v>627860.05353380088</c:v>
                </c:pt>
                <c:pt idx="883">
                  <c:v>1001558.1633295767</c:v>
                </c:pt>
                <c:pt idx="884">
                  <c:v>1083787.3414171613</c:v>
                </c:pt>
                <c:pt idx="885">
                  <c:v>1704903.3450032321</c:v>
                </c:pt>
                <c:pt idx="886">
                  <c:v>430034.31642138935</c:v>
                </c:pt>
                <c:pt idx="887">
                  <c:v>401387.4900559627</c:v>
                </c:pt>
                <c:pt idx="888">
                  <c:v>1480311.527186546</c:v>
                </c:pt>
                <c:pt idx="889">
                  <c:v>1429945.6614762205</c:v>
                </c:pt>
                <c:pt idx="890">
                  <c:v>2346227.8434533603</c:v>
                </c:pt>
                <c:pt idx="891">
                  <c:v>1990554.1242172243</c:v>
                </c:pt>
                <c:pt idx="892">
                  <c:v>2115800.7432611696</c:v>
                </c:pt>
                <c:pt idx="893">
                  <c:v>120822.33898518007</c:v>
                </c:pt>
                <c:pt idx="894">
                  <c:v>211853.79812185842</c:v>
                </c:pt>
                <c:pt idx="895">
                  <c:v>2020360.9403237659</c:v>
                </c:pt>
                <c:pt idx="896">
                  <c:v>1907644.2469104556</c:v>
                </c:pt>
                <c:pt idx="897">
                  <c:v>1810190.4990532263</c:v>
                </c:pt>
                <c:pt idx="898">
                  <c:v>364508.26768683433</c:v>
                </c:pt>
                <c:pt idx="899">
                  <c:v>1852302.5135151888</c:v>
                </c:pt>
                <c:pt idx="900">
                  <c:v>2102587.0087032267</c:v>
                </c:pt>
                <c:pt idx="901">
                  <c:v>90801.846614301496</c:v>
                </c:pt>
                <c:pt idx="902">
                  <c:v>1642212.3738297636</c:v>
                </c:pt>
                <c:pt idx="903">
                  <c:v>249193.1729201235</c:v>
                </c:pt>
                <c:pt idx="904">
                  <c:v>1603878.5796559514</c:v>
                </c:pt>
                <c:pt idx="905">
                  <c:v>1528894.9851834357</c:v>
                </c:pt>
                <c:pt idx="906">
                  <c:v>251937.13923764881</c:v>
                </c:pt>
                <c:pt idx="907">
                  <c:v>1189039.1161249953</c:v>
                </c:pt>
                <c:pt idx="908">
                  <c:v>1660367.7606986025</c:v>
                </c:pt>
                <c:pt idx="909">
                  <c:v>2212509.6637979546</c:v>
                </c:pt>
                <c:pt idx="910">
                  <c:v>157699.79918242389</c:v>
                </c:pt>
                <c:pt idx="911">
                  <c:v>828539.96270122507</c:v>
                </c:pt>
                <c:pt idx="912">
                  <c:v>1143905.5142072556</c:v>
                </c:pt>
                <c:pt idx="913">
                  <c:v>1170970.2835183779</c:v>
                </c:pt>
                <c:pt idx="914">
                  <c:v>152472.88786272943</c:v>
                </c:pt>
                <c:pt idx="915">
                  <c:v>564585.68656288076</c:v>
                </c:pt>
                <c:pt idx="916">
                  <c:v>1366861.665084268</c:v>
                </c:pt>
                <c:pt idx="917">
                  <c:v>2064994.0406431637</c:v>
                </c:pt>
                <c:pt idx="918">
                  <c:v>1618272.0327891831</c:v>
                </c:pt>
                <c:pt idx="919">
                  <c:v>1766529.164837125</c:v>
                </c:pt>
                <c:pt idx="920">
                  <c:v>1160514.4105109337</c:v>
                </c:pt>
                <c:pt idx="921">
                  <c:v>1370326.2998608556</c:v>
                </c:pt>
                <c:pt idx="922">
                  <c:v>747469.09818300186</c:v>
                </c:pt>
                <c:pt idx="923">
                  <c:v>697868.52888322389</c:v>
                </c:pt>
                <c:pt idx="924">
                  <c:v>1839141.1434571736</c:v>
                </c:pt>
                <c:pt idx="925">
                  <c:v>252760.28595112881</c:v>
                </c:pt>
                <c:pt idx="926">
                  <c:v>1472997.7580605864</c:v>
                </c:pt>
                <c:pt idx="927">
                  <c:v>1246486.7836159714</c:v>
                </c:pt>
                <c:pt idx="928">
                  <c:v>2235600.3125203252</c:v>
                </c:pt>
                <c:pt idx="929">
                  <c:v>187947.45390315214</c:v>
                </c:pt>
                <c:pt idx="930">
                  <c:v>-6825.9131968260044</c:v>
                </c:pt>
                <c:pt idx="931">
                  <c:v>2144060.6233635205</c:v>
                </c:pt>
                <c:pt idx="932">
                  <c:v>1267872.030067961</c:v>
                </c:pt>
                <c:pt idx="933">
                  <c:v>-67864.639545936108</c:v>
                </c:pt>
                <c:pt idx="934">
                  <c:v>348374.73598902742</c:v>
                </c:pt>
                <c:pt idx="935">
                  <c:v>2310078.7297791368</c:v>
                </c:pt>
                <c:pt idx="936">
                  <c:v>60486.070875827689</c:v>
                </c:pt>
                <c:pt idx="937">
                  <c:v>935320.71080705686</c:v>
                </c:pt>
                <c:pt idx="938">
                  <c:v>1272391.9062540641</c:v>
                </c:pt>
                <c:pt idx="939">
                  <c:v>582185.40830941126</c:v>
                </c:pt>
                <c:pt idx="940">
                  <c:v>152472.88786272943</c:v>
                </c:pt>
                <c:pt idx="941">
                  <c:v>1833026.4495629773</c:v>
                </c:pt>
                <c:pt idx="942">
                  <c:v>1520171.8860648542</c:v>
                </c:pt>
                <c:pt idx="943">
                  <c:v>740241.92484837619</c:v>
                </c:pt>
                <c:pt idx="944">
                  <c:v>290328.85611035302</c:v>
                </c:pt>
                <c:pt idx="945">
                  <c:v>1565383.4241185966</c:v>
                </c:pt>
                <c:pt idx="946">
                  <c:v>-112647.17939634057</c:v>
                </c:pt>
                <c:pt idx="947">
                  <c:v>1625939.4770335746</c:v>
                </c:pt>
                <c:pt idx="948">
                  <c:v>1824320.239044342</c:v>
                </c:pt>
                <c:pt idx="949">
                  <c:v>1427737.3343702492</c:v>
                </c:pt>
                <c:pt idx="950">
                  <c:v>428125.5777083342</c:v>
                </c:pt>
                <c:pt idx="951">
                  <c:v>2027806.0381122832</c:v>
                </c:pt>
                <c:pt idx="952">
                  <c:v>1031490.462610946</c:v>
                </c:pt>
                <c:pt idx="953">
                  <c:v>190146.37035304942</c:v>
                </c:pt>
                <c:pt idx="954">
                  <c:v>1809012.3634590995</c:v>
                </c:pt>
                <c:pt idx="955">
                  <c:v>854548.47888448741</c:v>
                </c:pt>
                <c:pt idx="956">
                  <c:v>1744049.5398263172</c:v>
                </c:pt>
                <c:pt idx="957">
                  <c:v>1857235.0052634513</c:v>
                </c:pt>
                <c:pt idx="958">
                  <c:v>316901.62101404869</c:v>
                </c:pt>
                <c:pt idx="959">
                  <c:v>1865921.6555055303</c:v>
                </c:pt>
                <c:pt idx="960">
                  <c:v>275251.78428272787</c:v>
                </c:pt>
                <c:pt idx="961">
                  <c:v>45596.797596191085</c:v>
                </c:pt>
                <c:pt idx="962">
                  <c:v>2373606.6987453727</c:v>
                </c:pt>
                <c:pt idx="963">
                  <c:v>1441712.0828215943</c:v>
                </c:pt>
                <c:pt idx="964">
                  <c:v>556727.93336002401</c:v>
                </c:pt>
                <c:pt idx="965">
                  <c:v>1322906.9011795034</c:v>
                </c:pt>
                <c:pt idx="966">
                  <c:v>1825732.422143599</c:v>
                </c:pt>
                <c:pt idx="967">
                  <c:v>852427.77699943469</c:v>
                </c:pt>
                <c:pt idx="968">
                  <c:v>1359431.576936424</c:v>
                </c:pt>
                <c:pt idx="969">
                  <c:v>1786135.9453700972</c:v>
                </c:pt>
                <c:pt idx="970">
                  <c:v>2369006.4146727845</c:v>
                </c:pt>
                <c:pt idx="971">
                  <c:v>1481286.1666138952</c:v>
                </c:pt>
                <c:pt idx="972">
                  <c:v>1465676.9245495168</c:v>
                </c:pt>
                <c:pt idx="973">
                  <c:v>337705.08840297314</c:v>
                </c:pt>
                <c:pt idx="974">
                  <c:v>476613.15711155278</c:v>
                </c:pt>
                <c:pt idx="975">
                  <c:v>2087046.2890427513</c:v>
                </c:pt>
                <c:pt idx="976">
                  <c:v>2197260.7796536819</c:v>
                </c:pt>
                <c:pt idx="977">
                  <c:v>902936.22905838361</c:v>
                </c:pt>
                <c:pt idx="978">
                  <c:v>2375446.6787917712</c:v>
                </c:pt>
                <c:pt idx="979">
                  <c:v>1607719.0267486915</c:v>
                </c:pt>
                <c:pt idx="980">
                  <c:v>-76984.423486195999</c:v>
                </c:pt>
                <c:pt idx="981">
                  <c:v>2160725.0084859668</c:v>
                </c:pt>
                <c:pt idx="982">
                  <c:v>1985426.6817607605</c:v>
                </c:pt>
                <c:pt idx="983">
                  <c:v>1283928.8397213593</c:v>
                </c:pt>
                <c:pt idx="984">
                  <c:v>1103625.621949241</c:v>
                </c:pt>
                <c:pt idx="985">
                  <c:v>550764.63317301765</c:v>
                </c:pt>
                <c:pt idx="986">
                  <c:v>545341.79057860177</c:v>
                </c:pt>
                <c:pt idx="987">
                  <c:v>-135050.02488924941</c:v>
                </c:pt>
                <c:pt idx="988">
                  <c:v>1833026.4495629773</c:v>
                </c:pt>
                <c:pt idx="989">
                  <c:v>2331495.7750294548</c:v>
                </c:pt>
                <c:pt idx="990">
                  <c:v>1936180.0428113369</c:v>
                </c:pt>
                <c:pt idx="991">
                  <c:v>1469826.2685309895</c:v>
                </c:pt>
                <c:pt idx="992">
                  <c:v>1072685.356495823</c:v>
                </c:pt>
                <c:pt idx="993">
                  <c:v>1439017.2878088308</c:v>
                </c:pt>
                <c:pt idx="994">
                  <c:v>-106010.7499299453</c:v>
                </c:pt>
                <c:pt idx="995">
                  <c:v>2108383.3390917317</c:v>
                </c:pt>
                <c:pt idx="996">
                  <c:v>29047.960018339421</c:v>
                </c:pt>
                <c:pt idx="997">
                  <c:v>1564660.0230586182</c:v>
                </c:pt>
                <c:pt idx="998">
                  <c:v>976224.23517995642</c:v>
                </c:pt>
                <c:pt idx="999">
                  <c:v>795807.20942864928</c:v>
                </c:pt>
              </c:numCache>
            </c:numRef>
          </c:yVal>
          <c:smooth val="0"/>
          <c:extLst>
            <c:ext xmlns:c16="http://schemas.microsoft.com/office/drawing/2014/chart" uri="{C3380CC4-5D6E-409C-BE32-E72D297353CC}">
              <c16:uniqueId val="{00000001-3C09-4549-8FAA-8789CDDB4B00}"/>
            </c:ext>
          </c:extLst>
        </c:ser>
        <c:ser>
          <c:idx val="2"/>
          <c:order val="2"/>
          <c:tx>
            <c:strRef>
              <c:f>Hoja1!$U$8</c:f>
              <c:strCache>
                <c:ptCount val="1"/>
                <c:pt idx="0">
                  <c:v>LSC</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Hoja1!$U$9:$U$1008</c:f>
              <c:numCache>
                <c:formatCode>0.00</c:formatCode>
                <c:ptCount val="1000"/>
                <c:pt idx="0">
                  <c:v>1493910.2911874319</c:v>
                </c:pt>
                <c:pt idx="1">
                  <c:v>400370.32506575913</c:v>
                </c:pt>
                <c:pt idx="2">
                  <c:v>1840114.2250893102</c:v>
                </c:pt>
                <c:pt idx="3">
                  <c:v>2648842.3623381606</c:v>
                </c:pt>
                <c:pt idx="4">
                  <c:v>1021031.6702004361</c:v>
                </c:pt>
                <c:pt idx="5">
                  <c:v>1136990.9079387744</c:v>
                </c:pt>
                <c:pt idx="6">
                  <c:v>1123775.326236078</c:v>
                </c:pt>
                <c:pt idx="7">
                  <c:v>2239688.2188215004</c:v>
                </c:pt>
                <c:pt idx="8">
                  <c:v>2365811.0431580306</c:v>
                </c:pt>
                <c:pt idx="9">
                  <c:v>2522139.3666202221</c:v>
                </c:pt>
                <c:pt idx="10">
                  <c:v>393896.10386717739</c:v>
                </c:pt>
                <c:pt idx="11">
                  <c:v>1777077.7314188506</c:v>
                </c:pt>
                <c:pt idx="12">
                  <c:v>1690059.2316488908</c:v>
                </c:pt>
                <c:pt idx="13">
                  <c:v>638293.68486767402</c:v>
                </c:pt>
                <c:pt idx="14">
                  <c:v>842929.91154450574</c:v>
                </c:pt>
                <c:pt idx="15">
                  <c:v>2699434.5262996131</c:v>
                </c:pt>
                <c:pt idx="16">
                  <c:v>506252.51717416174</c:v>
                </c:pt>
                <c:pt idx="17">
                  <c:v>1999276.5322918494</c:v>
                </c:pt>
                <c:pt idx="18">
                  <c:v>1392733.4208184464</c:v>
                </c:pt>
                <c:pt idx="19">
                  <c:v>1054647.6823959968</c:v>
                </c:pt>
                <c:pt idx="20">
                  <c:v>2592493.9187503401</c:v>
                </c:pt>
                <c:pt idx="21">
                  <c:v>381413.99884133623</c:v>
                </c:pt>
                <c:pt idx="22">
                  <c:v>874022.49017225264</c:v>
                </c:pt>
                <c:pt idx="23">
                  <c:v>933848.78395240463</c:v>
                </c:pt>
                <c:pt idx="24">
                  <c:v>1628449.8584899337</c:v>
                </c:pt>
                <c:pt idx="25">
                  <c:v>2087456.0585365319</c:v>
                </c:pt>
                <c:pt idx="26">
                  <c:v>599546.90683751809</c:v>
                </c:pt>
                <c:pt idx="27">
                  <c:v>1060708.39695059</c:v>
                </c:pt>
                <c:pt idx="28">
                  <c:v>1641841.8576216209</c:v>
                </c:pt>
                <c:pt idx="29">
                  <c:v>939348.57126780762</c:v>
                </c:pt>
                <c:pt idx="30">
                  <c:v>1867726.5764049569</c:v>
                </c:pt>
                <c:pt idx="31">
                  <c:v>323920.46077865548</c:v>
                </c:pt>
                <c:pt idx="32">
                  <c:v>1375463.8931236975</c:v>
                </c:pt>
                <c:pt idx="33">
                  <c:v>827296.61964251578</c:v>
                </c:pt>
                <c:pt idx="34">
                  <c:v>1017653.3648754118</c:v>
                </c:pt>
                <c:pt idx="35">
                  <c:v>2476944.2749023191</c:v>
                </c:pt>
                <c:pt idx="36">
                  <c:v>2225736.8141250452</c:v>
                </c:pt>
                <c:pt idx="37">
                  <c:v>554826.81277805066</c:v>
                </c:pt>
                <c:pt idx="38">
                  <c:v>1929316.9081874755</c:v>
                </c:pt>
                <c:pt idx="39">
                  <c:v>1275017.0055480835</c:v>
                </c:pt>
                <c:pt idx="40">
                  <c:v>404301.78594302223</c:v>
                </c:pt>
                <c:pt idx="41">
                  <c:v>1388920.1862215472</c:v>
                </c:pt>
                <c:pt idx="42">
                  <c:v>854075.46173180861</c:v>
                </c:pt>
                <c:pt idx="43">
                  <c:v>734839.85041954787</c:v>
                </c:pt>
                <c:pt idx="44">
                  <c:v>2319692.466612678</c:v>
                </c:pt>
                <c:pt idx="45">
                  <c:v>2292818.8840309456</c:v>
                </c:pt>
                <c:pt idx="46">
                  <c:v>1670004.0368694756</c:v>
                </c:pt>
                <c:pt idx="47">
                  <c:v>2093439.3021836749</c:v>
                </c:pt>
                <c:pt idx="48">
                  <c:v>1715981.540651147</c:v>
                </c:pt>
                <c:pt idx="49">
                  <c:v>1923119.1619666789</c:v>
                </c:pt>
                <c:pt idx="50">
                  <c:v>704078.49071311404</c:v>
                </c:pt>
                <c:pt idx="51">
                  <c:v>1626351.01010137</c:v>
                </c:pt>
                <c:pt idx="52">
                  <c:v>2599672.5221875007</c:v>
                </c:pt>
                <c:pt idx="53">
                  <c:v>1709097.5568757032</c:v>
                </c:pt>
                <c:pt idx="54">
                  <c:v>1756319.0198246038</c:v>
                </c:pt>
                <c:pt idx="55">
                  <c:v>753657.12497614359</c:v>
                </c:pt>
                <c:pt idx="56">
                  <c:v>1030208.1601075507</c:v>
                </c:pt>
                <c:pt idx="57">
                  <c:v>499984.80243459204</c:v>
                </c:pt>
                <c:pt idx="58">
                  <c:v>1162019.1807039913</c:v>
                </c:pt>
                <c:pt idx="59">
                  <c:v>753421.75505139923</c:v>
                </c:pt>
                <c:pt idx="60">
                  <c:v>1066045.6174593882</c:v>
                </c:pt>
                <c:pt idx="61">
                  <c:v>2065170.0259621269</c:v>
                </c:pt>
                <c:pt idx="62">
                  <c:v>322305.5949800954</c:v>
                </c:pt>
                <c:pt idx="63">
                  <c:v>482350.99621630169</c:v>
                </c:pt>
                <c:pt idx="64">
                  <c:v>1456857.068190034</c:v>
                </c:pt>
                <c:pt idx="65">
                  <c:v>270437.41439683893</c:v>
                </c:pt>
                <c:pt idx="66">
                  <c:v>442024.7143308635</c:v>
                </c:pt>
                <c:pt idx="67">
                  <c:v>1193551.8202381323</c:v>
                </c:pt>
                <c:pt idx="68">
                  <c:v>1033349.7893625032</c:v>
                </c:pt>
                <c:pt idx="69">
                  <c:v>1356214.7367996806</c:v>
                </c:pt>
                <c:pt idx="70">
                  <c:v>420264.29745787202</c:v>
                </c:pt>
                <c:pt idx="71">
                  <c:v>1827534.1239894258</c:v>
                </c:pt>
                <c:pt idx="72">
                  <c:v>1116199.2399520851</c:v>
                </c:pt>
                <c:pt idx="73">
                  <c:v>1794406.0199806532</c:v>
                </c:pt>
                <c:pt idx="74">
                  <c:v>1534004.1127513</c:v>
                </c:pt>
                <c:pt idx="75">
                  <c:v>1118153.6224754022</c:v>
                </c:pt>
                <c:pt idx="76">
                  <c:v>569489.88378072495</c:v>
                </c:pt>
                <c:pt idx="77">
                  <c:v>353231.94071633118</c:v>
                </c:pt>
                <c:pt idx="78">
                  <c:v>240961.42861946262</c:v>
                </c:pt>
                <c:pt idx="79">
                  <c:v>484902.47997313482</c:v>
                </c:pt>
                <c:pt idx="80">
                  <c:v>654891.29840626859</c:v>
                </c:pt>
                <c:pt idx="81">
                  <c:v>787356.77667683701</c:v>
                </c:pt>
                <c:pt idx="82">
                  <c:v>227612.11107213653</c:v>
                </c:pt>
                <c:pt idx="83">
                  <c:v>1131359.1516515391</c:v>
                </c:pt>
                <c:pt idx="84">
                  <c:v>271358.89132588264</c:v>
                </c:pt>
                <c:pt idx="85">
                  <c:v>2036940.4695952914</c:v>
                </c:pt>
                <c:pt idx="86">
                  <c:v>361083.47251587629</c:v>
                </c:pt>
                <c:pt idx="87">
                  <c:v>2025009.6966218839</c:v>
                </c:pt>
                <c:pt idx="88">
                  <c:v>651617.28690001986</c:v>
                </c:pt>
                <c:pt idx="89">
                  <c:v>371478.13670737087</c:v>
                </c:pt>
                <c:pt idx="90">
                  <c:v>1976824.6555140244</c:v>
                </c:pt>
                <c:pt idx="91">
                  <c:v>1882494.5293669151</c:v>
                </c:pt>
                <c:pt idx="92">
                  <c:v>709474.8270416524</c:v>
                </c:pt>
                <c:pt idx="93">
                  <c:v>2110582.3704636632</c:v>
                </c:pt>
                <c:pt idx="94">
                  <c:v>1395276.7648064492</c:v>
                </c:pt>
                <c:pt idx="95">
                  <c:v>2102145.1981602395</c:v>
                </c:pt>
                <c:pt idx="96">
                  <c:v>1744360.8240068061</c:v>
                </c:pt>
                <c:pt idx="97">
                  <c:v>1066530.9964612166</c:v>
                </c:pt>
                <c:pt idx="98">
                  <c:v>2567376.1832179618</c:v>
                </c:pt>
                <c:pt idx="99">
                  <c:v>1429448.9718612269</c:v>
                </c:pt>
                <c:pt idx="100">
                  <c:v>2669848.448093723</c:v>
                </c:pt>
                <c:pt idx="101">
                  <c:v>1135521.3375132866</c:v>
                </c:pt>
                <c:pt idx="102">
                  <c:v>1554520.7064467922</c:v>
                </c:pt>
                <c:pt idx="103">
                  <c:v>1285269.4126106319</c:v>
                </c:pt>
                <c:pt idx="104">
                  <c:v>2103777.9447886851</c:v>
                </c:pt>
                <c:pt idx="105">
                  <c:v>1112292.0039623273</c:v>
                </c:pt>
                <c:pt idx="106">
                  <c:v>2486310.3938030656</c:v>
                </c:pt>
                <c:pt idx="107">
                  <c:v>498360.10547507112</c:v>
                </c:pt>
                <c:pt idx="108">
                  <c:v>1516129.3853876851</c:v>
                </c:pt>
                <c:pt idx="109">
                  <c:v>2384769.7294912115</c:v>
                </c:pt>
                <c:pt idx="110">
                  <c:v>1404695.3906494526</c:v>
                </c:pt>
                <c:pt idx="111">
                  <c:v>336149.73877890618</c:v>
                </c:pt>
                <c:pt idx="112">
                  <c:v>2310914.9948249003</c:v>
                </c:pt>
                <c:pt idx="113">
                  <c:v>1094003.707573391</c:v>
                </c:pt>
                <c:pt idx="114">
                  <c:v>2418863.9828850543</c:v>
                </c:pt>
                <c:pt idx="115">
                  <c:v>2129918.2953345822</c:v>
                </c:pt>
                <c:pt idx="116">
                  <c:v>639695.69825315056</c:v>
                </c:pt>
                <c:pt idx="117">
                  <c:v>1252566.4046372718</c:v>
                </c:pt>
                <c:pt idx="118">
                  <c:v>1589704.5321334805</c:v>
                </c:pt>
                <c:pt idx="119">
                  <c:v>2243519.2134393738</c:v>
                </c:pt>
                <c:pt idx="120">
                  <c:v>462180.09732947481</c:v>
                </c:pt>
                <c:pt idx="121">
                  <c:v>1641053.5299773454</c:v>
                </c:pt>
                <c:pt idx="122">
                  <c:v>465656.71228959248</c:v>
                </c:pt>
                <c:pt idx="123">
                  <c:v>1956292.6308388175</c:v>
                </c:pt>
                <c:pt idx="124">
                  <c:v>542033.90839575662</c:v>
                </c:pt>
                <c:pt idx="125">
                  <c:v>1060223.3716296591</c:v>
                </c:pt>
                <c:pt idx="126">
                  <c:v>266751.72402215959</c:v>
                </c:pt>
                <c:pt idx="127">
                  <c:v>185519.69250193011</c:v>
                </c:pt>
                <c:pt idx="128">
                  <c:v>2252825.1677001943</c:v>
                </c:pt>
                <c:pt idx="129">
                  <c:v>867607.05651190132</c:v>
                </c:pt>
                <c:pt idx="130">
                  <c:v>2324356.4358729655</c:v>
                </c:pt>
                <c:pt idx="131">
                  <c:v>633854.69721053843</c:v>
                </c:pt>
                <c:pt idx="132">
                  <c:v>1844399.6705961053</c:v>
                </c:pt>
                <c:pt idx="133">
                  <c:v>2426016.479406313</c:v>
                </c:pt>
                <c:pt idx="134">
                  <c:v>454764.85556911782</c:v>
                </c:pt>
                <c:pt idx="135">
                  <c:v>2262407.9041230022</c:v>
                </c:pt>
                <c:pt idx="136">
                  <c:v>727084.85131597321</c:v>
                </c:pt>
                <c:pt idx="137">
                  <c:v>1915577.5344046718</c:v>
                </c:pt>
                <c:pt idx="138">
                  <c:v>996207.93532037071</c:v>
                </c:pt>
                <c:pt idx="139">
                  <c:v>1253811.7010006576</c:v>
                </c:pt>
                <c:pt idx="140">
                  <c:v>237968.969560075</c:v>
                </c:pt>
                <c:pt idx="141">
                  <c:v>795381.87130811997</c:v>
                </c:pt>
                <c:pt idx="142">
                  <c:v>365240.93407934415</c:v>
                </c:pt>
                <c:pt idx="143">
                  <c:v>1577959.4968406337</c:v>
                </c:pt>
                <c:pt idx="144">
                  <c:v>1577177.0972359185</c:v>
                </c:pt>
                <c:pt idx="145">
                  <c:v>400832.82292812911</c:v>
                </c:pt>
                <c:pt idx="146">
                  <c:v>2283774.6649371702</c:v>
                </c:pt>
                <c:pt idx="147">
                  <c:v>2023925.4594560328</c:v>
                </c:pt>
                <c:pt idx="148">
                  <c:v>1206649.9451632989</c:v>
                </c:pt>
                <c:pt idx="149">
                  <c:v>1979528.1346996445</c:v>
                </c:pt>
                <c:pt idx="150">
                  <c:v>576941.7307457322</c:v>
                </c:pt>
                <c:pt idx="151">
                  <c:v>1337524.9644848108</c:v>
                </c:pt>
                <c:pt idx="152">
                  <c:v>454764.85556911782</c:v>
                </c:pt>
                <c:pt idx="153">
                  <c:v>1909116.3403629872</c:v>
                </c:pt>
                <c:pt idx="154">
                  <c:v>1610625.9202382769</c:v>
                </c:pt>
                <c:pt idx="155">
                  <c:v>948920.85838164925</c:v>
                </c:pt>
                <c:pt idx="156">
                  <c:v>557153.60798644181</c:v>
                </c:pt>
                <c:pt idx="157">
                  <c:v>1492620.5384109239</c:v>
                </c:pt>
                <c:pt idx="158">
                  <c:v>1739050.3837942053</c:v>
                </c:pt>
                <c:pt idx="159">
                  <c:v>2177372.6527657192</c:v>
                </c:pt>
                <c:pt idx="160">
                  <c:v>408696.38951316802</c:v>
                </c:pt>
                <c:pt idx="161">
                  <c:v>2137548.2483562483</c:v>
                </c:pt>
                <c:pt idx="162">
                  <c:v>2296656.6050896421</c:v>
                </c:pt>
                <c:pt idx="163">
                  <c:v>1233417.6851956837</c:v>
                </c:pt>
                <c:pt idx="164">
                  <c:v>1263283.4680798114</c:v>
                </c:pt>
                <c:pt idx="165">
                  <c:v>2612099.1855227426</c:v>
                </c:pt>
                <c:pt idx="166">
                  <c:v>2010107.0634651161</c:v>
                </c:pt>
                <c:pt idx="167">
                  <c:v>2118750.4502558894</c:v>
                </c:pt>
                <c:pt idx="168">
                  <c:v>2085824.5592183887</c:v>
                </c:pt>
                <c:pt idx="169">
                  <c:v>1622417.038488836</c:v>
                </c:pt>
                <c:pt idx="170">
                  <c:v>2323258.9732786217</c:v>
                </c:pt>
                <c:pt idx="171">
                  <c:v>995967.27467769792</c:v>
                </c:pt>
                <c:pt idx="172">
                  <c:v>1549581.3833062092</c:v>
                </c:pt>
                <c:pt idx="173">
                  <c:v>706189.87657863065</c:v>
                </c:pt>
                <c:pt idx="174">
                  <c:v>1958182.6582544942</c:v>
                </c:pt>
                <c:pt idx="175">
                  <c:v>1820847.7570063944</c:v>
                </c:pt>
                <c:pt idx="176">
                  <c:v>1086700.6178539686</c:v>
                </c:pt>
                <c:pt idx="177">
                  <c:v>1070900.7431888368</c:v>
                </c:pt>
                <c:pt idx="178">
                  <c:v>2363064.2126493659</c:v>
                </c:pt>
                <c:pt idx="179">
                  <c:v>850280.02118814609</c:v>
                </c:pt>
                <c:pt idx="180">
                  <c:v>2028533.9055304714</c:v>
                </c:pt>
                <c:pt idx="181">
                  <c:v>1597543.9012211582</c:v>
                </c:pt>
                <c:pt idx="182">
                  <c:v>2259669.6641120389</c:v>
                </c:pt>
                <c:pt idx="183">
                  <c:v>1957372.6193334421</c:v>
                </c:pt>
                <c:pt idx="184">
                  <c:v>628716.17531680083</c:v>
                </c:pt>
                <c:pt idx="185">
                  <c:v>1083294.8669259055</c:v>
                </c:pt>
                <c:pt idx="186">
                  <c:v>509270.89192607428</c:v>
                </c:pt>
                <c:pt idx="187">
                  <c:v>1401893.9021414223</c:v>
                </c:pt>
                <c:pt idx="188">
                  <c:v>755069.42764204938</c:v>
                </c:pt>
                <c:pt idx="189">
                  <c:v>878063.75971552788</c:v>
                </c:pt>
                <c:pt idx="190">
                  <c:v>940544.58823073586</c:v>
                </c:pt>
                <c:pt idx="191">
                  <c:v>610975.90648027498</c:v>
                </c:pt>
                <c:pt idx="192">
                  <c:v>1226715.9435495611</c:v>
                </c:pt>
                <c:pt idx="193">
                  <c:v>2338077.698570081</c:v>
                </c:pt>
                <c:pt idx="194">
                  <c:v>2483555.4532283791</c:v>
                </c:pt>
                <c:pt idx="195">
                  <c:v>818068.34410896746</c:v>
                </c:pt>
                <c:pt idx="196">
                  <c:v>908064.34330386086</c:v>
                </c:pt>
                <c:pt idx="197">
                  <c:v>1650255.0220702265</c:v>
                </c:pt>
                <c:pt idx="198">
                  <c:v>1233914.3725134416</c:v>
                </c:pt>
                <c:pt idx="199">
                  <c:v>900675.31437725993</c:v>
                </c:pt>
                <c:pt idx="200">
                  <c:v>1084267.7862727782</c:v>
                </c:pt>
                <c:pt idx="201">
                  <c:v>333149.70301167248</c:v>
                </c:pt>
                <c:pt idx="202">
                  <c:v>1232921.0340756262</c:v>
                </c:pt>
                <c:pt idx="203">
                  <c:v>2222728.5969492537</c:v>
                </c:pt>
                <c:pt idx="204">
                  <c:v>629883.89399261482</c:v>
                </c:pt>
                <c:pt idx="205">
                  <c:v>2073592.3885652293</c:v>
                </c:pt>
                <c:pt idx="206">
                  <c:v>1234907.8557973055</c:v>
                </c:pt>
                <c:pt idx="207">
                  <c:v>982740.96453653602</c:v>
                </c:pt>
                <c:pt idx="208">
                  <c:v>807665.28193760558</c:v>
                </c:pt>
                <c:pt idx="209">
                  <c:v>742598.97733653069</c:v>
                </c:pt>
                <c:pt idx="210">
                  <c:v>2658238.9472519932</c:v>
                </c:pt>
                <c:pt idx="211">
                  <c:v>1132827.8893363583</c:v>
                </c:pt>
                <c:pt idx="212">
                  <c:v>512057.42522869352</c:v>
                </c:pt>
                <c:pt idx="213">
                  <c:v>234746.56199130026</c:v>
                </c:pt>
                <c:pt idx="214">
                  <c:v>1566491.9185910828</c:v>
                </c:pt>
                <c:pt idx="215">
                  <c:v>1467387.5030041707</c:v>
                </c:pt>
                <c:pt idx="216">
                  <c:v>990674.39557808964</c:v>
                </c:pt>
                <c:pt idx="217">
                  <c:v>1737457.7746993999</c:v>
                </c:pt>
                <c:pt idx="218">
                  <c:v>2079028.0163354753</c:v>
                </c:pt>
                <c:pt idx="219">
                  <c:v>819487.62351152138</c:v>
                </c:pt>
                <c:pt idx="220">
                  <c:v>1145324.0615765492</c:v>
                </c:pt>
                <c:pt idx="221">
                  <c:v>1702747.3367295875</c:v>
                </c:pt>
                <c:pt idx="222">
                  <c:v>381413.99884133623</c:v>
                </c:pt>
                <c:pt idx="223">
                  <c:v>515773.31614976283</c:v>
                </c:pt>
                <c:pt idx="224">
                  <c:v>2343842.2536084345</c:v>
                </c:pt>
                <c:pt idx="225">
                  <c:v>1407498.0259399151</c:v>
                </c:pt>
                <c:pt idx="226">
                  <c:v>325073.98197230027</c:v>
                </c:pt>
                <c:pt idx="227">
                  <c:v>1840649.8270189532</c:v>
                </c:pt>
                <c:pt idx="228">
                  <c:v>747774.05778061098</c:v>
                </c:pt>
                <c:pt idx="229">
                  <c:v>2252825.1677001943</c:v>
                </c:pt>
                <c:pt idx="230">
                  <c:v>707128.36257798399</c:v>
                </c:pt>
                <c:pt idx="231">
                  <c:v>1151212.0446030085</c:v>
                </c:pt>
                <c:pt idx="232">
                  <c:v>359004.94200358918</c:v>
                </c:pt>
                <c:pt idx="233">
                  <c:v>439477.40317181416</c:v>
                </c:pt>
                <c:pt idx="234">
                  <c:v>437856.50990195933</c:v>
                </c:pt>
                <c:pt idx="235">
                  <c:v>2362514.8713478376</c:v>
                </c:pt>
                <c:pt idx="236">
                  <c:v>2426566.7232480953</c:v>
                </c:pt>
                <c:pt idx="237">
                  <c:v>2397139.2099904069</c:v>
                </c:pt>
                <c:pt idx="238">
                  <c:v>754127.87669117807</c:v>
                </c:pt>
                <c:pt idx="239">
                  <c:v>1604344.0070381248</c:v>
                </c:pt>
                <c:pt idx="240">
                  <c:v>716985.9278291032</c:v>
                </c:pt>
                <c:pt idx="241">
                  <c:v>1846542.9314866143</c:v>
                </c:pt>
                <c:pt idx="242">
                  <c:v>562273.45100357058</c:v>
                </c:pt>
                <c:pt idx="243">
                  <c:v>412628.96099340834</c:v>
                </c:pt>
                <c:pt idx="244">
                  <c:v>1665787.3471313256</c:v>
                </c:pt>
                <c:pt idx="245">
                  <c:v>264218.0126240814</c:v>
                </c:pt>
                <c:pt idx="246">
                  <c:v>1112536.1466370628</c:v>
                </c:pt>
                <c:pt idx="247">
                  <c:v>2524069.3775315038</c:v>
                </c:pt>
                <c:pt idx="248">
                  <c:v>1568575.7131856661</c:v>
                </c:pt>
                <c:pt idx="249">
                  <c:v>1310843.7066271813</c:v>
                </c:pt>
                <c:pt idx="250">
                  <c:v>1302308.0732187503</c:v>
                </c:pt>
                <c:pt idx="251">
                  <c:v>1665787.3471313256</c:v>
                </c:pt>
                <c:pt idx="252">
                  <c:v>1761904.052527034</c:v>
                </c:pt>
                <c:pt idx="253">
                  <c:v>1460964.6527223261</c:v>
                </c:pt>
                <c:pt idx="254">
                  <c:v>2511112.198034327</c:v>
                </c:pt>
                <c:pt idx="255">
                  <c:v>1845203.351517658</c:v>
                </c:pt>
                <c:pt idx="256">
                  <c:v>1038427.234729497</c:v>
                </c:pt>
                <c:pt idx="257">
                  <c:v>2013899.3018158264</c:v>
                </c:pt>
                <c:pt idx="258">
                  <c:v>848382.77140675578</c:v>
                </c:pt>
                <c:pt idx="259">
                  <c:v>1799209.2277035378</c:v>
                </c:pt>
                <c:pt idx="260">
                  <c:v>772264.01870854443</c:v>
                </c:pt>
                <c:pt idx="261">
                  <c:v>1717835.7281288756</c:v>
                </c:pt>
                <c:pt idx="262">
                  <c:v>379334.13902039675</c:v>
                </c:pt>
                <c:pt idx="263">
                  <c:v>398520.40517525538</c:v>
                </c:pt>
                <c:pt idx="264">
                  <c:v>2293641.2139734705</c:v>
                </c:pt>
                <c:pt idx="265">
                  <c:v>1990887.4583512398</c:v>
                </c:pt>
                <c:pt idx="266">
                  <c:v>2315029.1460888195</c:v>
                </c:pt>
                <c:pt idx="267">
                  <c:v>1372927.9674037667</c:v>
                </c:pt>
                <c:pt idx="268">
                  <c:v>1827801.653986936</c:v>
                </c:pt>
                <c:pt idx="269">
                  <c:v>1578741.9720968611</c:v>
                </c:pt>
                <c:pt idx="270">
                  <c:v>470524.75472738687</c:v>
                </c:pt>
                <c:pt idx="271">
                  <c:v>1163740.000245743</c:v>
                </c:pt>
                <c:pt idx="272">
                  <c:v>810501.6160067016</c:v>
                </c:pt>
                <c:pt idx="273">
                  <c:v>1896740.4079753477</c:v>
                </c:pt>
                <c:pt idx="274">
                  <c:v>1189849.2733000924</c:v>
                </c:pt>
                <c:pt idx="275">
                  <c:v>1057313.8347235955</c:v>
                </c:pt>
                <c:pt idx="276">
                  <c:v>560411.54715201934</c:v>
                </c:pt>
                <c:pt idx="277">
                  <c:v>1698780.5278445636</c:v>
                </c:pt>
                <c:pt idx="278">
                  <c:v>867369.51927805319</c:v>
                </c:pt>
                <c:pt idx="279">
                  <c:v>2443903.1351083312</c:v>
                </c:pt>
                <c:pt idx="280">
                  <c:v>2401813.1536259651</c:v>
                </c:pt>
                <c:pt idx="281">
                  <c:v>2410887.6879175426</c:v>
                </c:pt>
                <c:pt idx="282">
                  <c:v>776271.36183275736</c:v>
                </c:pt>
                <c:pt idx="283">
                  <c:v>1452751.8622980569</c:v>
                </c:pt>
                <c:pt idx="284">
                  <c:v>2631158.5984095144</c:v>
                </c:pt>
                <c:pt idx="285">
                  <c:v>230373.69089760663</c:v>
                </c:pt>
                <c:pt idx="286">
                  <c:v>2284596.759220209</c:v>
                </c:pt>
                <c:pt idx="287">
                  <c:v>2157452.2815024368</c:v>
                </c:pt>
                <c:pt idx="288">
                  <c:v>2562409.2287520021</c:v>
                </c:pt>
                <c:pt idx="289">
                  <c:v>1503461.5027958751</c:v>
                </c:pt>
                <c:pt idx="290">
                  <c:v>1599112.6648972835</c:v>
                </c:pt>
                <c:pt idx="291">
                  <c:v>708770.85020971857</c:v>
                </c:pt>
                <c:pt idx="292">
                  <c:v>982740.96453653602</c:v>
                </c:pt>
                <c:pt idx="293">
                  <c:v>214266.98871993733</c:v>
                </c:pt>
                <c:pt idx="294">
                  <c:v>234286.2383333639</c:v>
                </c:pt>
                <c:pt idx="295">
                  <c:v>1009454.4607308042</c:v>
                </c:pt>
                <c:pt idx="296">
                  <c:v>1881419.9588285841</c:v>
                </c:pt>
                <c:pt idx="297">
                  <c:v>2544476.9308361406</c:v>
                </c:pt>
                <c:pt idx="298">
                  <c:v>1831547.6784104307</c:v>
                </c:pt>
                <c:pt idx="299">
                  <c:v>1916385.3829899426</c:v>
                </c:pt>
                <c:pt idx="300">
                  <c:v>1455317.3369599192</c:v>
                </c:pt>
                <c:pt idx="301">
                  <c:v>2317223.5686905496</c:v>
                </c:pt>
                <c:pt idx="302">
                  <c:v>370323.00711418584</c:v>
                </c:pt>
                <c:pt idx="303">
                  <c:v>2224369.402287358</c:v>
                </c:pt>
                <c:pt idx="304">
                  <c:v>1092786.045280057</c:v>
                </c:pt>
                <c:pt idx="305">
                  <c:v>875210.94382786681</c:v>
                </c:pt>
                <c:pt idx="306">
                  <c:v>2081746.3671554695</c:v>
                </c:pt>
                <c:pt idx="307">
                  <c:v>704313.07497567544</c:v>
                </c:pt>
                <c:pt idx="308">
                  <c:v>2141636.7533251541</c:v>
                </c:pt>
                <c:pt idx="309">
                  <c:v>2153906.513711541</c:v>
                </c:pt>
                <c:pt idx="310">
                  <c:v>810974.40107521717</c:v>
                </c:pt>
                <c:pt idx="311">
                  <c:v>1246094.5564734528</c:v>
                </c:pt>
                <c:pt idx="312">
                  <c:v>818068.34410896746</c:v>
                </c:pt>
                <c:pt idx="313">
                  <c:v>2387243.3064993764</c:v>
                </c:pt>
                <c:pt idx="314">
                  <c:v>451521.33856059826</c:v>
                </c:pt>
                <c:pt idx="315">
                  <c:v>247867.93198111045</c:v>
                </c:pt>
                <c:pt idx="316">
                  <c:v>1040362.3185420346</c:v>
                </c:pt>
                <c:pt idx="317">
                  <c:v>377023.34622153628</c:v>
                </c:pt>
                <c:pt idx="318">
                  <c:v>2272815.4876093995</c:v>
                </c:pt>
                <c:pt idx="319">
                  <c:v>1346610.7795172762</c:v>
                </c:pt>
                <c:pt idx="320">
                  <c:v>1632124.0603328366</c:v>
                </c:pt>
                <c:pt idx="321">
                  <c:v>2543925.2666894644</c:v>
                </c:pt>
                <c:pt idx="322">
                  <c:v>2630606.0646927473</c:v>
                </c:pt>
                <c:pt idx="323">
                  <c:v>1043507.7988957379</c:v>
                </c:pt>
                <c:pt idx="324">
                  <c:v>1394004.9740864565</c:v>
                </c:pt>
                <c:pt idx="325">
                  <c:v>2638342.0022215266</c:v>
                </c:pt>
                <c:pt idx="326">
                  <c:v>269515.95924318547</c:v>
                </c:pt>
                <c:pt idx="327">
                  <c:v>625913.95396520488</c:v>
                </c:pt>
                <c:pt idx="328">
                  <c:v>1685305.4838266924</c:v>
                </c:pt>
                <c:pt idx="329">
                  <c:v>1944147.7982238841</c:v>
                </c:pt>
                <c:pt idx="330">
                  <c:v>1567273.2777985805</c:v>
                </c:pt>
                <c:pt idx="331">
                  <c:v>1353938.8732931965</c:v>
                </c:pt>
                <c:pt idx="332">
                  <c:v>1293532.7570847978</c:v>
                </c:pt>
                <c:pt idx="333">
                  <c:v>1916385.3829899426</c:v>
                </c:pt>
                <c:pt idx="334">
                  <c:v>450826.35034865874</c:v>
                </c:pt>
                <c:pt idx="335">
                  <c:v>2176553.6935287323</c:v>
                </c:pt>
                <c:pt idx="336">
                  <c:v>1587093.0647263923</c:v>
                </c:pt>
                <c:pt idx="337">
                  <c:v>1301304.5970749266</c:v>
                </c:pt>
                <c:pt idx="338">
                  <c:v>618910.25946273818</c:v>
                </c:pt>
                <c:pt idx="339">
                  <c:v>1774147.8658852209</c:v>
                </c:pt>
                <c:pt idx="340">
                  <c:v>1362793.7854495703</c:v>
                </c:pt>
                <c:pt idx="341">
                  <c:v>1480250.50199613</c:v>
                </c:pt>
                <c:pt idx="342">
                  <c:v>940066.16375755414</c:v>
                </c:pt>
                <c:pt idx="343">
                  <c:v>1569878.3608691196</c:v>
                </c:pt>
                <c:pt idx="344">
                  <c:v>1999817.9013545571</c:v>
                </c:pt>
                <c:pt idx="345">
                  <c:v>1246094.5564734528</c:v>
                </c:pt>
                <c:pt idx="346">
                  <c:v>310772.98482188222</c:v>
                </c:pt>
                <c:pt idx="347">
                  <c:v>419338.6943543629</c:v>
                </c:pt>
                <c:pt idx="348">
                  <c:v>2279664.5185786295</c:v>
                </c:pt>
                <c:pt idx="349">
                  <c:v>1965474.8318543569</c:v>
                </c:pt>
                <c:pt idx="350">
                  <c:v>2475842.5056360667</c:v>
                </c:pt>
                <c:pt idx="351">
                  <c:v>2062453.8846555103</c:v>
                </c:pt>
                <c:pt idx="352">
                  <c:v>967614.59961050097</c:v>
                </c:pt>
                <c:pt idx="353">
                  <c:v>2444728.856885903</c:v>
                </c:pt>
                <c:pt idx="354">
                  <c:v>1190096.0487473519</c:v>
                </c:pt>
                <c:pt idx="355">
                  <c:v>382107.31636097661</c:v>
                </c:pt>
                <c:pt idx="356">
                  <c:v>2040466.9160677018</c:v>
                </c:pt>
                <c:pt idx="357">
                  <c:v>1391716.3492035675</c:v>
                </c:pt>
                <c:pt idx="358">
                  <c:v>485366.41408443695</c:v>
                </c:pt>
                <c:pt idx="359">
                  <c:v>1649465.952353402</c:v>
                </c:pt>
                <c:pt idx="360">
                  <c:v>1697194.2547409048</c:v>
                </c:pt>
                <c:pt idx="361">
                  <c:v>359466.82618213579</c:v>
                </c:pt>
                <c:pt idx="362">
                  <c:v>1510697.6558974893</c:v>
                </c:pt>
                <c:pt idx="363">
                  <c:v>2321064.1551898466</c:v>
                </c:pt>
                <c:pt idx="364">
                  <c:v>1329459.022051665</c:v>
                </c:pt>
                <c:pt idx="365">
                  <c:v>503002.38680645672</c:v>
                </c:pt>
                <c:pt idx="366">
                  <c:v>713934.0971124249</c:v>
                </c:pt>
                <c:pt idx="367">
                  <c:v>1036009.0162805219</c:v>
                </c:pt>
                <c:pt idx="368">
                  <c:v>2324630.8070871895</c:v>
                </c:pt>
                <c:pt idx="369">
                  <c:v>705251.44741814025</c:v>
                </c:pt>
                <c:pt idx="370">
                  <c:v>1858069.0387236241</c:v>
                </c:pt>
                <c:pt idx="371">
                  <c:v>1795473.2287068826</c:v>
                </c:pt>
                <c:pt idx="372">
                  <c:v>835110.68664292537</c:v>
                </c:pt>
                <c:pt idx="373">
                  <c:v>2352353.5609146948</c:v>
                </c:pt>
                <c:pt idx="374">
                  <c:v>1263283.4680798114</c:v>
                </c:pt>
                <c:pt idx="375">
                  <c:v>839848.989488311</c:v>
                </c:pt>
                <c:pt idx="376">
                  <c:v>839612.02904946427</c:v>
                </c:pt>
                <c:pt idx="377">
                  <c:v>1623465.922599284</c:v>
                </c:pt>
                <c:pt idx="378">
                  <c:v>350692.14136535535</c:v>
                </c:pt>
                <c:pt idx="379">
                  <c:v>2043994.0137201005</c:v>
                </c:pt>
                <c:pt idx="380">
                  <c:v>1109851.0128129323</c:v>
                </c:pt>
                <c:pt idx="381">
                  <c:v>2566824.2763995919</c:v>
                </c:pt>
                <c:pt idx="382">
                  <c:v>332226.66789938591</c:v>
                </c:pt>
                <c:pt idx="383">
                  <c:v>1659992.5427748354</c:v>
                </c:pt>
                <c:pt idx="384">
                  <c:v>527621.68660258001</c:v>
                </c:pt>
                <c:pt idx="385">
                  <c:v>1229941.8867273859</c:v>
                </c:pt>
                <c:pt idx="386">
                  <c:v>2617899.2174766893</c:v>
                </c:pt>
                <c:pt idx="387">
                  <c:v>1082078.8887332978</c:v>
                </c:pt>
                <c:pt idx="388">
                  <c:v>359466.82618213579</c:v>
                </c:pt>
                <c:pt idx="389">
                  <c:v>1688474.3870823891</c:v>
                </c:pt>
                <c:pt idx="390">
                  <c:v>887578.57202524412</c:v>
                </c:pt>
                <c:pt idx="391">
                  <c:v>1634224.2973814604</c:v>
                </c:pt>
                <c:pt idx="392">
                  <c:v>1918001.2123030724</c:v>
                </c:pt>
                <c:pt idx="393">
                  <c:v>213576.83578870635</c:v>
                </c:pt>
                <c:pt idx="394">
                  <c:v>1657622.9964180468</c:v>
                </c:pt>
                <c:pt idx="395">
                  <c:v>2160998.5673630997</c:v>
                </c:pt>
                <c:pt idx="396">
                  <c:v>1566231.4825401371</c:v>
                </c:pt>
                <c:pt idx="397">
                  <c:v>523903.89468736551</c:v>
                </c:pt>
                <c:pt idx="398">
                  <c:v>1171858.0346695143</c:v>
                </c:pt>
                <c:pt idx="399">
                  <c:v>1379523.3541092761</c:v>
                </c:pt>
                <c:pt idx="400">
                  <c:v>669398.00482849358</c:v>
                </c:pt>
                <c:pt idx="401">
                  <c:v>1516129.3853876851</c:v>
                </c:pt>
                <c:pt idx="402">
                  <c:v>791604.73656558257</c:v>
                </c:pt>
                <c:pt idx="403">
                  <c:v>760249.09605901747</c:v>
                </c:pt>
                <c:pt idx="404">
                  <c:v>511592.98017282912</c:v>
                </c:pt>
                <c:pt idx="405">
                  <c:v>2088543.7950686405</c:v>
                </c:pt>
                <c:pt idx="406">
                  <c:v>1808554.4120568952</c:v>
                </c:pt>
                <c:pt idx="407">
                  <c:v>1540231.2502999413</c:v>
                </c:pt>
                <c:pt idx="408">
                  <c:v>2451610.4927431257</c:v>
                </c:pt>
                <c:pt idx="409">
                  <c:v>937435.25018601608</c:v>
                </c:pt>
                <c:pt idx="410">
                  <c:v>571585.44420963048</c:v>
                </c:pt>
                <c:pt idx="411">
                  <c:v>2676759.87514799</c:v>
                </c:pt>
                <c:pt idx="412">
                  <c:v>243493.67843397931</c:v>
                </c:pt>
                <c:pt idx="413">
                  <c:v>2013628.4012004395</c:v>
                </c:pt>
                <c:pt idx="414">
                  <c:v>869507.53744793241</c:v>
                </c:pt>
                <c:pt idx="415">
                  <c:v>273662.67918763263</c:v>
                </c:pt>
                <c:pt idx="416">
                  <c:v>275966.60405368259</c:v>
                </c:pt>
                <c:pt idx="417">
                  <c:v>1535301.0166194029</c:v>
                </c:pt>
                <c:pt idx="418">
                  <c:v>1575091.0686387802</c:v>
                </c:pt>
                <c:pt idx="419">
                  <c:v>783581.97254665359</c:v>
                </c:pt>
                <c:pt idx="420">
                  <c:v>1314864.2496247275</c:v>
                </c:pt>
                <c:pt idx="421">
                  <c:v>917129.1179139422</c:v>
                </c:pt>
                <c:pt idx="422">
                  <c:v>1504753.1557131596</c:v>
                </c:pt>
                <c:pt idx="423">
                  <c:v>585794.32587190391</c:v>
                </c:pt>
                <c:pt idx="424">
                  <c:v>2355923.424508974</c:v>
                </c:pt>
                <c:pt idx="425">
                  <c:v>1442755.4187224375</c:v>
                </c:pt>
                <c:pt idx="426">
                  <c:v>2017150.4251220843</c:v>
                </c:pt>
                <c:pt idx="427">
                  <c:v>923813.62038063968</c:v>
                </c:pt>
                <c:pt idx="428">
                  <c:v>2020402.1291091801</c:v>
                </c:pt>
                <c:pt idx="429">
                  <c:v>1988723.1954237449</c:v>
                </c:pt>
                <c:pt idx="430">
                  <c:v>1866653.1710946499</c:v>
                </c:pt>
                <c:pt idx="431">
                  <c:v>693291.40614212607</c:v>
                </c:pt>
                <c:pt idx="432">
                  <c:v>1735865.4080887388</c:v>
                </c:pt>
                <c:pt idx="433">
                  <c:v>1285269.4126106319</c:v>
                </c:pt>
                <c:pt idx="434">
                  <c:v>2484381.9180026976</c:v>
                </c:pt>
                <c:pt idx="435">
                  <c:v>1154157.8353468101</c:v>
                </c:pt>
                <c:pt idx="436">
                  <c:v>372864.34776186082</c:v>
                </c:pt>
                <c:pt idx="437">
                  <c:v>770142.96717249823</c:v>
                </c:pt>
                <c:pt idx="438">
                  <c:v>2595807.0058365753</c:v>
                </c:pt>
                <c:pt idx="439">
                  <c:v>1189355.7485182602</c:v>
                </c:pt>
                <c:pt idx="440">
                  <c:v>1639739.8061713865</c:v>
                </c:pt>
                <c:pt idx="441">
                  <c:v>1701160.4205150111</c:v>
                </c:pt>
                <c:pt idx="442">
                  <c:v>981059.01546022564</c:v>
                </c:pt>
                <c:pt idx="443">
                  <c:v>2150906.6559648286</c:v>
                </c:pt>
                <c:pt idx="444">
                  <c:v>1992240.2606771737</c:v>
                </c:pt>
                <c:pt idx="445">
                  <c:v>459630.87297707796</c:v>
                </c:pt>
                <c:pt idx="446">
                  <c:v>1637900.9201822721</c:v>
                </c:pt>
                <c:pt idx="447">
                  <c:v>287488.30643350002</c:v>
                </c:pt>
                <c:pt idx="448">
                  <c:v>205525.8537201919</c:v>
                </c:pt>
                <c:pt idx="449">
                  <c:v>792312.86511482298</c:v>
                </c:pt>
                <c:pt idx="450">
                  <c:v>815703.24324855348</c:v>
                </c:pt>
                <c:pt idx="451">
                  <c:v>1927160.8821802139</c:v>
                </c:pt>
                <c:pt idx="452">
                  <c:v>2597187.5168032479</c:v>
                </c:pt>
                <c:pt idx="453">
                  <c:v>1591533.0530115785</c:v>
                </c:pt>
                <c:pt idx="454">
                  <c:v>2385319.3993823025</c:v>
                </c:pt>
                <c:pt idx="455">
                  <c:v>940783.8093197291</c:v>
                </c:pt>
                <c:pt idx="456">
                  <c:v>432299.88224676024</c:v>
                </c:pt>
                <c:pt idx="457">
                  <c:v>1684777.4354248014</c:v>
                </c:pt>
                <c:pt idx="458">
                  <c:v>2599396.4050515792</c:v>
                </c:pt>
                <c:pt idx="459">
                  <c:v>1160544.5219807883</c:v>
                </c:pt>
                <c:pt idx="460">
                  <c:v>171497.57828845989</c:v>
                </c:pt>
                <c:pt idx="461">
                  <c:v>2440049.9794490351</c:v>
                </c:pt>
                <c:pt idx="462">
                  <c:v>267212.41635566461</c:v>
                </c:pt>
                <c:pt idx="463">
                  <c:v>1410046.8706951712</c:v>
                </c:pt>
                <c:pt idx="464">
                  <c:v>526692.18192841148</c:v>
                </c:pt>
                <c:pt idx="465">
                  <c:v>2587524.6587309451</c:v>
                </c:pt>
                <c:pt idx="466">
                  <c:v>1756319.0198246038</c:v>
                </c:pt>
                <c:pt idx="467">
                  <c:v>541801.37934046448</c:v>
                </c:pt>
                <c:pt idx="468">
                  <c:v>414942.4863050126</c:v>
                </c:pt>
                <c:pt idx="469">
                  <c:v>911880.10901861719</c:v>
                </c:pt>
                <c:pt idx="470">
                  <c:v>936717.85164923826</c:v>
                </c:pt>
                <c:pt idx="471">
                  <c:v>2349333.1856969385</c:v>
                </c:pt>
                <c:pt idx="472">
                  <c:v>1078189.0313182333</c:v>
                </c:pt>
                <c:pt idx="473">
                  <c:v>1394768.0200275471</c:v>
                </c:pt>
                <c:pt idx="474">
                  <c:v>1611673.3597852373</c:v>
                </c:pt>
                <c:pt idx="475">
                  <c:v>602112.01173666446</c:v>
                </c:pt>
                <c:pt idx="476">
                  <c:v>1431494.4652754874</c:v>
                </c:pt>
                <c:pt idx="477">
                  <c:v>353924.64721219055</c:v>
                </c:pt>
                <c:pt idx="478">
                  <c:v>2687543.1818873221</c:v>
                </c:pt>
                <c:pt idx="479">
                  <c:v>1707509.6197948658</c:v>
                </c:pt>
                <c:pt idx="480">
                  <c:v>314924.29357605992</c:v>
                </c:pt>
                <c:pt idx="481">
                  <c:v>1470472.5232252663</c:v>
                </c:pt>
                <c:pt idx="482">
                  <c:v>282648.7669719652</c:v>
                </c:pt>
                <c:pt idx="483">
                  <c:v>2012003.0828486162</c:v>
                </c:pt>
                <c:pt idx="484">
                  <c:v>1406988.3706234577</c:v>
                </c:pt>
                <c:pt idx="485">
                  <c:v>1206897.317511586</c:v>
                </c:pt>
                <c:pt idx="486">
                  <c:v>847908.507754297</c:v>
                </c:pt>
                <c:pt idx="487">
                  <c:v>305930.39699488261</c:v>
                </c:pt>
                <c:pt idx="488">
                  <c:v>1184175.836167214</c:v>
                </c:pt>
                <c:pt idx="489">
                  <c:v>862619.83727897413</c:v>
                </c:pt>
                <c:pt idx="490">
                  <c:v>759307.19434046024</c:v>
                </c:pt>
                <c:pt idx="491">
                  <c:v>393664.90740243322</c:v>
                </c:pt>
                <c:pt idx="492">
                  <c:v>933609.73290246516</c:v>
                </c:pt>
                <c:pt idx="493">
                  <c:v>1743298.52209346</c:v>
                </c:pt>
                <c:pt idx="494">
                  <c:v>1275766.6506921405</c:v>
                </c:pt>
                <c:pt idx="495">
                  <c:v>1094247.2631904248</c:v>
                </c:pt>
                <c:pt idx="496">
                  <c:v>1990616.9106085675</c:v>
                </c:pt>
                <c:pt idx="497">
                  <c:v>226231.38855991742</c:v>
                </c:pt>
                <c:pt idx="498">
                  <c:v>1266277.3196826295</c:v>
                </c:pt>
                <c:pt idx="499">
                  <c:v>1310090.1239648343</c:v>
                </c:pt>
                <c:pt idx="500">
                  <c:v>638994.67783853807</c:v>
                </c:pt>
                <c:pt idx="501">
                  <c:v>2579795.5908504627</c:v>
                </c:pt>
                <c:pt idx="502">
                  <c:v>2079571.6579745768</c:v>
                </c:pt>
                <c:pt idx="503">
                  <c:v>2397963.9829101204</c:v>
                </c:pt>
                <c:pt idx="504">
                  <c:v>734839.85041954787</c:v>
                </c:pt>
                <c:pt idx="505">
                  <c:v>2631711.1372607835</c:v>
                </c:pt>
                <c:pt idx="506">
                  <c:v>2503670.2861929373</c:v>
                </c:pt>
                <c:pt idx="507">
                  <c:v>520651.32061578811</c:v>
                </c:pt>
                <c:pt idx="508">
                  <c:v>1096926.8854965128</c:v>
                </c:pt>
                <c:pt idx="509">
                  <c:v>1646573.2894066817</c:v>
                </c:pt>
                <c:pt idx="510">
                  <c:v>1255804.6527134466</c:v>
                </c:pt>
                <c:pt idx="511">
                  <c:v>2144090.1981128645</c:v>
                </c:pt>
                <c:pt idx="512">
                  <c:v>606076.93288766104</c:v>
                </c:pt>
                <c:pt idx="513">
                  <c:v>1106434.9519748059</c:v>
                </c:pt>
                <c:pt idx="514">
                  <c:v>2420239.3654820579</c:v>
                </c:pt>
                <c:pt idx="515">
                  <c:v>1007767.4197204394</c:v>
                </c:pt>
                <c:pt idx="516">
                  <c:v>528086.45315782493</c:v>
                </c:pt>
                <c:pt idx="517">
                  <c:v>2333960.7441415796</c:v>
                </c:pt>
                <c:pt idx="518">
                  <c:v>2084193.1868360518</c:v>
                </c:pt>
                <c:pt idx="519">
                  <c:v>1025860.1562129454</c:v>
                </c:pt>
                <c:pt idx="520">
                  <c:v>2221908.2307244996</c:v>
                </c:pt>
                <c:pt idx="521">
                  <c:v>1476646.5446642952</c:v>
                </c:pt>
                <c:pt idx="522">
                  <c:v>1674486.364977926</c:v>
                </c:pt>
                <c:pt idx="523">
                  <c:v>990433.88512753346</c:v>
                </c:pt>
                <c:pt idx="524">
                  <c:v>1967365.9276914634</c:v>
                </c:pt>
                <c:pt idx="525">
                  <c:v>2618451.6317594605</c:v>
                </c:pt>
                <c:pt idx="526">
                  <c:v>2621490.003966738</c:v>
                </c:pt>
                <c:pt idx="527">
                  <c:v>2275007.0116363582</c:v>
                </c:pt>
                <c:pt idx="528">
                  <c:v>1122552.8554343353</c:v>
                </c:pt>
                <c:pt idx="529">
                  <c:v>1794939.6121157971</c:v>
                </c:pt>
                <c:pt idx="530">
                  <c:v>992839.28240317747</c:v>
                </c:pt>
                <c:pt idx="531">
                  <c:v>1059980.8699674308</c:v>
                </c:pt>
                <c:pt idx="532">
                  <c:v>1052951.4979587772</c:v>
                </c:pt>
                <c:pt idx="533">
                  <c:v>567627.34054845164</c:v>
                </c:pt>
                <c:pt idx="534">
                  <c:v>860720.52847514767</c:v>
                </c:pt>
                <c:pt idx="535">
                  <c:v>1321906.0241143347</c:v>
                </c:pt>
                <c:pt idx="536">
                  <c:v>580901.6248284647</c:v>
                </c:pt>
                <c:pt idx="537">
                  <c:v>200236.00538783075</c:v>
                </c:pt>
                <c:pt idx="538">
                  <c:v>955147.98252314283</c:v>
                </c:pt>
                <c:pt idx="539">
                  <c:v>1866653.1710946499</c:v>
                </c:pt>
                <c:pt idx="540">
                  <c:v>961618.9583534617</c:v>
                </c:pt>
                <c:pt idx="541">
                  <c:v>1941180.483452576</c:v>
                </c:pt>
                <c:pt idx="542">
                  <c:v>175175.10391387297</c:v>
                </c:pt>
                <c:pt idx="543">
                  <c:v>1453521.4069838391</c:v>
                </c:pt>
                <c:pt idx="544">
                  <c:v>1090107.8661642321</c:v>
                </c:pt>
                <c:pt idx="545">
                  <c:v>2238046.5206193025</c:v>
                </c:pt>
                <c:pt idx="546">
                  <c:v>2221087.8888472491</c:v>
                </c:pt>
                <c:pt idx="547">
                  <c:v>1474587.9485979273</c:v>
                </c:pt>
                <c:pt idx="548">
                  <c:v>2338626.66277336</c:v>
                </c:pt>
                <c:pt idx="549">
                  <c:v>2347685.8164971652</c:v>
                </c:pt>
                <c:pt idx="550">
                  <c:v>958023.42176761793</c:v>
                </c:pt>
                <c:pt idx="551">
                  <c:v>751774.27612821036</c:v>
                </c:pt>
                <c:pt idx="552">
                  <c:v>866181.90920635778</c:v>
                </c:pt>
                <c:pt idx="553">
                  <c:v>1045686.1449064792</c:v>
                </c:pt>
                <c:pt idx="554">
                  <c:v>330380.67193658801</c:v>
                </c:pt>
                <c:pt idx="555">
                  <c:v>593718.37449636869</c:v>
                </c:pt>
                <c:pt idx="556">
                  <c:v>668929.85270803713</c:v>
                </c:pt>
                <c:pt idx="557">
                  <c:v>2341920.6296439315</c:v>
                </c:pt>
                <c:pt idx="558">
                  <c:v>1492104.7009076453</c:v>
                </c:pt>
                <c:pt idx="559">
                  <c:v>2355923.424508974</c:v>
                </c:pt>
                <c:pt idx="560">
                  <c:v>512754.10998600785</c:v>
                </c:pt>
                <c:pt idx="561">
                  <c:v>2397414.1323554087</c:v>
                </c:pt>
                <c:pt idx="562">
                  <c:v>912357.17978603533</c:v>
                </c:pt>
                <c:pt idx="563">
                  <c:v>2305978.6914928043</c:v>
                </c:pt>
                <c:pt idx="564">
                  <c:v>1692701.2192468478</c:v>
                </c:pt>
                <c:pt idx="565">
                  <c:v>2607404.3495819718</c:v>
                </c:pt>
                <c:pt idx="566">
                  <c:v>2419689.206850131</c:v>
                </c:pt>
                <c:pt idx="567">
                  <c:v>1773348.9445617399</c:v>
                </c:pt>
                <c:pt idx="568">
                  <c:v>609809.3702706378</c:v>
                </c:pt>
                <c:pt idx="569">
                  <c:v>1692436.9879274501</c:v>
                </c:pt>
                <c:pt idx="570">
                  <c:v>2212339.1006182367</c:v>
                </c:pt>
                <c:pt idx="571">
                  <c:v>2195123.2159179705</c:v>
                </c:pt>
                <c:pt idx="572">
                  <c:v>1014758.7392603917</c:v>
                </c:pt>
                <c:pt idx="573">
                  <c:v>1136256.0858889935</c:v>
                </c:pt>
                <c:pt idx="574">
                  <c:v>1675277.5871262271</c:v>
                </c:pt>
                <c:pt idx="575">
                  <c:v>2305156.0466481922</c:v>
                </c:pt>
                <c:pt idx="576">
                  <c:v>1810958.6463184739</c:v>
                </c:pt>
                <c:pt idx="577">
                  <c:v>2267611.24858124</c:v>
                </c:pt>
                <c:pt idx="578">
                  <c:v>2236131.3253943264</c:v>
                </c:pt>
                <c:pt idx="579">
                  <c:v>896149.14582620701</c:v>
                </c:pt>
                <c:pt idx="580">
                  <c:v>1773881.552436718</c:v>
                </c:pt>
                <c:pt idx="581">
                  <c:v>1244353.191940845</c:v>
                </c:pt>
                <c:pt idx="582">
                  <c:v>2639999.8329117475</c:v>
                </c:pt>
                <c:pt idx="583">
                  <c:v>1917193.2756452283</c:v>
                </c:pt>
                <c:pt idx="584">
                  <c:v>2289529.7771595386</c:v>
                </c:pt>
                <c:pt idx="585">
                  <c:v>2095071.3885389578</c:v>
                </c:pt>
                <c:pt idx="586">
                  <c:v>1600681.723911504</c:v>
                </c:pt>
                <c:pt idx="587">
                  <c:v>1597805.3413008424</c:v>
                </c:pt>
                <c:pt idx="588">
                  <c:v>2087184.1331857096</c:v>
                </c:pt>
                <c:pt idx="589">
                  <c:v>981299.27472780168</c:v>
                </c:pt>
                <c:pt idx="590">
                  <c:v>662377.08765698143</c:v>
                </c:pt>
                <c:pt idx="591">
                  <c:v>1312602.3966296609</c:v>
                </c:pt>
                <c:pt idx="592">
                  <c:v>2616518.2047564243</c:v>
                </c:pt>
                <c:pt idx="593">
                  <c:v>1853242.9157354787</c:v>
                </c:pt>
                <c:pt idx="594">
                  <c:v>1019342.3498808671</c:v>
                </c:pt>
                <c:pt idx="595">
                  <c:v>2456565.9520285623</c:v>
                </c:pt>
                <c:pt idx="596">
                  <c:v>2591389.6002149284</c:v>
                </c:pt>
                <c:pt idx="597">
                  <c:v>959701.16722201498</c:v>
                </c:pt>
                <c:pt idx="598">
                  <c:v>1555560.9608220616</c:v>
                </c:pt>
                <c:pt idx="599">
                  <c:v>1138215.7752632215</c:v>
                </c:pt>
                <c:pt idx="600">
                  <c:v>822326.67720054591</c:v>
                </c:pt>
                <c:pt idx="601">
                  <c:v>2216439.7466385695</c:v>
                </c:pt>
                <c:pt idx="602">
                  <c:v>1076001.8356785458</c:v>
                </c:pt>
                <c:pt idx="603">
                  <c:v>1396548.7929255685</c:v>
                </c:pt>
                <c:pt idx="604">
                  <c:v>1260290.946521413</c:v>
                </c:pt>
                <c:pt idx="605">
                  <c:v>1821382.5325985933</c:v>
                </c:pt>
                <c:pt idx="606">
                  <c:v>920232.08422234654</c:v>
                </c:pt>
                <c:pt idx="607">
                  <c:v>2023112.3233598713</c:v>
                </c:pt>
                <c:pt idx="608">
                  <c:v>248558.6463671235</c:v>
                </c:pt>
                <c:pt idx="609">
                  <c:v>1186395.3300686604</c:v>
                </c:pt>
                <c:pt idx="610">
                  <c:v>2465652.423945487</c:v>
                </c:pt>
                <c:pt idx="611">
                  <c:v>1761638.0336839475</c:v>
                </c:pt>
                <c:pt idx="612">
                  <c:v>1433284.7654956013</c:v>
                </c:pt>
                <c:pt idx="613">
                  <c:v>1657359.7514682759</c:v>
                </c:pt>
                <c:pt idx="614">
                  <c:v>1870410.4647844492</c:v>
                </c:pt>
                <c:pt idx="615">
                  <c:v>2028533.9055304714</c:v>
                </c:pt>
                <c:pt idx="616">
                  <c:v>1307076.6425559442</c:v>
                </c:pt>
                <c:pt idx="617">
                  <c:v>2050507.2743652933</c:v>
                </c:pt>
                <c:pt idx="618">
                  <c:v>627782.05400551774</c:v>
                </c:pt>
                <c:pt idx="619">
                  <c:v>1567533.7478781424</c:v>
                </c:pt>
                <c:pt idx="620">
                  <c:v>1147531.4944598589</c:v>
                </c:pt>
                <c:pt idx="621">
                  <c:v>1116443.5098409855</c:v>
                </c:pt>
                <c:pt idx="622">
                  <c:v>2564616.7065245812</c:v>
                </c:pt>
                <c:pt idx="623">
                  <c:v>1794672.8129898123</c:v>
                </c:pt>
                <c:pt idx="624">
                  <c:v>2338352.179588052</c:v>
                </c:pt>
                <c:pt idx="625">
                  <c:v>326458.25773661735</c:v>
                </c:pt>
                <c:pt idx="626">
                  <c:v>1321402.79415024</c:v>
                </c:pt>
                <c:pt idx="627">
                  <c:v>1470472.5232252663</c:v>
                </c:pt>
                <c:pt idx="628">
                  <c:v>1033833.2219508478</c:v>
                </c:pt>
                <c:pt idx="629">
                  <c:v>841507.846684288</c:v>
                </c:pt>
                <c:pt idx="630">
                  <c:v>951315.42334689794</c:v>
                </c:pt>
                <c:pt idx="631">
                  <c:v>1994404.9643827118</c:v>
                </c:pt>
                <c:pt idx="632">
                  <c:v>1229941.8867273859</c:v>
                </c:pt>
                <c:pt idx="633">
                  <c:v>1605652.3529054474</c:v>
                </c:pt>
                <c:pt idx="634">
                  <c:v>236127.5633478669</c:v>
                </c:pt>
                <c:pt idx="635">
                  <c:v>2131825.5473124227</c:v>
                </c:pt>
                <c:pt idx="636">
                  <c:v>1719690.2561745236</c:v>
                </c:pt>
                <c:pt idx="637">
                  <c:v>1415147.3990409032</c:v>
                </c:pt>
                <c:pt idx="638">
                  <c:v>397826.71467053308</c:v>
                </c:pt>
                <c:pt idx="639">
                  <c:v>697511.55990790064</c:v>
                </c:pt>
                <c:pt idx="640">
                  <c:v>1287522.0410532723</c:v>
                </c:pt>
                <c:pt idx="641">
                  <c:v>1611673.3597852373</c:v>
                </c:pt>
                <c:pt idx="642">
                  <c:v>346305.67342578701</c:v>
                </c:pt>
                <c:pt idx="643">
                  <c:v>1556341.2419892198</c:v>
                </c:pt>
                <c:pt idx="644">
                  <c:v>1301304.5970749266</c:v>
                </c:pt>
                <c:pt idx="645">
                  <c:v>1001263.3297423394</c:v>
                </c:pt>
                <c:pt idx="646">
                  <c:v>1339038.4114290809</c:v>
                </c:pt>
                <c:pt idx="647">
                  <c:v>1046170.300470203</c:v>
                </c:pt>
                <c:pt idx="648">
                  <c:v>604210.98622249544</c:v>
                </c:pt>
                <c:pt idx="649">
                  <c:v>926918.65692026762</c:v>
                </c:pt>
                <c:pt idx="650">
                  <c:v>2367733.9470842895</c:v>
                </c:pt>
                <c:pt idx="651">
                  <c:v>512986.34282280272</c:v>
                </c:pt>
                <c:pt idx="652">
                  <c:v>477712.598146367</c:v>
                </c:pt>
                <c:pt idx="653">
                  <c:v>255466.43707923288</c:v>
                </c:pt>
                <c:pt idx="654">
                  <c:v>2060281.2372678979</c:v>
                </c:pt>
                <c:pt idx="655">
                  <c:v>1186888.6462974099</c:v>
                </c:pt>
                <c:pt idx="656">
                  <c:v>2275828.8734956561</c:v>
                </c:pt>
                <c:pt idx="657">
                  <c:v>225541.04409906812</c:v>
                </c:pt>
                <c:pt idx="658">
                  <c:v>1844399.6705961053</c:v>
                </c:pt>
                <c:pt idx="659">
                  <c:v>2029889.5482243472</c:v>
                </c:pt>
                <c:pt idx="660">
                  <c:v>2304607.6282860194</c:v>
                </c:pt>
                <c:pt idx="661">
                  <c:v>2197855.150661571</c:v>
                </c:pt>
                <c:pt idx="662">
                  <c:v>563669.98648359184</c:v>
                </c:pt>
                <c:pt idx="663">
                  <c:v>1748345.4037557943</c:v>
                </c:pt>
                <c:pt idx="664">
                  <c:v>1869336.8452354451</c:v>
                </c:pt>
                <c:pt idx="665">
                  <c:v>2555511.4582545934</c:v>
                </c:pt>
                <c:pt idx="666">
                  <c:v>2012544.8393629265</c:v>
                </c:pt>
                <c:pt idx="667">
                  <c:v>1742767.411156378</c:v>
                </c:pt>
                <c:pt idx="668">
                  <c:v>2415013.1602843734</c:v>
                </c:pt>
                <c:pt idx="669">
                  <c:v>2551373.2338907635</c:v>
                </c:pt>
                <c:pt idx="670">
                  <c:v>2573999.5103220297</c:v>
                </c:pt>
                <c:pt idx="671">
                  <c:v>822090.06411660858</c:v>
                </c:pt>
                <c:pt idx="672">
                  <c:v>2669295.566286297</c:v>
                </c:pt>
                <c:pt idx="673">
                  <c:v>973374.07341245026</c:v>
                </c:pt>
                <c:pt idx="674">
                  <c:v>907110.62341942987</c:v>
                </c:pt>
                <c:pt idx="675">
                  <c:v>349306.87843485823</c:v>
                </c:pt>
                <c:pt idx="676">
                  <c:v>1366845.6300646437</c:v>
                </c:pt>
                <c:pt idx="677">
                  <c:v>1808554.4120568952</c:v>
                </c:pt>
                <c:pt idx="678">
                  <c:v>1029724.9372942492</c:v>
                </c:pt>
                <c:pt idx="679">
                  <c:v>1540750.4059988447</c:v>
                </c:pt>
                <c:pt idx="680">
                  <c:v>2627843.4732952025</c:v>
                </c:pt>
                <c:pt idx="681">
                  <c:v>1267774.7449884613</c:v>
                </c:pt>
                <c:pt idx="682">
                  <c:v>1716246.4036877512</c:v>
                </c:pt>
                <c:pt idx="683">
                  <c:v>851940.37165218813</c:v>
                </c:pt>
                <c:pt idx="684">
                  <c:v>2504497.1078976598</c:v>
                </c:pt>
                <c:pt idx="685">
                  <c:v>748009.33342279168</c:v>
                </c:pt>
                <c:pt idx="686">
                  <c:v>1775479.5281229825</c:v>
                </c:pt>
                <c:pt idx="687">
                  <c:v>2079843.4841491857</c:v>
                </c:pt>
                <c:pt idx="688">
                  <c:v>2427667.2330135712</c:v>
                </c:pt>
                <c:pt idx="689">
                  <c:v>1506820.2686527988</c:v>
                </c:pt>
                <c:pt idx="690">
                  <c:v>2606023.5888593816</c:v>
                </c:pt>
                <c:pt idx="691">
                  <c:v>1470986.8224221575</c:v>
                </c:pt>
                <c:pt idx="692">
                  <c:v>1160544.5219807883</c:v>
                </c:pt>
                <c:pt idx="693">
                  <c:v>2490443.1142249503</c:v>
                </c:pt>
                <c:pt idx="694">
                  <c:v>363855.0540141603</c:v>
                </c:pt>
                <c:pt idx="695">
                  <c:v>486526.28713597963</c:v>
                </c:pt>
                <c:pt idx="696">
                  <c:v>217717.91755007062</c:v>
                </c:pt>
                <c:pt idx="697">
                  <c:v>2359493.6425380744</c:v>
                </c:pt>
                <c:pt idx="698">
                  <c:v>1478448.2985246244</c:v>
                </c:pt>
                <c:pt idx="699">
                  <c:v>359697.77073130978</c:v>
                </c:pt>
                <c:pt idx="700">
                  <c:v>705251.44741814025</c:v>
                </c:pt>
                <c:pt idx="701">
                  <c:v>2554407.8994927625</c:v>
                </c:pt>
                <c:pt idx="702">
                  <c:v>2389991.9133423762</c:v>
                </c:pt>
                <c:pt idx="703">
                  <c:v>2456841.2719288049</c:v>
                </c:pt>
                <c:pt idx="704">
                  <c:v>1570138.9158553893</c:v>
                </c:pt>
                <c:pt idx="705">
                  <c:v>1793072.1467866907</c:v>
                </c:pt>
                <c:pt idx="706">
                  <c:v>1705128.1911434117</c:v>
                </c:pt>
                <c:pt idx="707">
                  <c:v>530410.42851120885</c:v>
                </c:pt>
                <c:pt idx="708">
                  <c:v>1635799.8049185735</c:v>
                </c:pt>
                <c:pt idx="709">
                  <c:v>1533485.4127034012</c:v>
                </c:pt>
                <c:pt idx="710">
                  <c:v>916413.18413348717</c:v>
                </c:pt>
                <c:pt idx="711">
                  <c:v>980818.76257560658</c:v>
                </c:pt>
                <c:pt idx="712">
                  <c:v>2253372.6690590945</c:v>
                </c:pt>
                <c:pt idx="713">
                  <c:v>591620.5250107497</c:v>
                </c:pt>
                <c:pt idx="714">
                  <c:v>1297041.5023391475</c:v>
                </c:pt>
                <c:pt idx="715">
                  <c:v>206675.90400891841</c:v>
                </c:pt>
                <c:pt idx="716">
                  <c:v>2157997.830311595</c:v>
                </c:pt>
                <c:pt idx="717">
                  <c:v>260532.90422921773</c:v>
                </c:pt>
                <c:pt idx="718">
                  <c:v>1701953.8465641721</c:v>
                </c:pt>
                <c:pt idx="719">
                  <c:v>1863701.7504076075</c:v>
                </c:pt>
                <c:pt idx="720">
                  <c:v>249249.37246431963</c:v>
                </c:pt>
                <c:pt idx="721">
                  <c:v>1802412.459555822</c:v>
                </c:pt>
                <c:pt idx="722">
                  <c:v>922142.07757939142</c:v>
                </c:pt>
                <c:pt idx="723">
                  <c:v>2458217.8975467049</c:v>
                </c:pt>
                <c:pt idx="724">
                  <c:v>318384.08682834217</c:v>
                </c:pt>
                <c:pt idx="725">
                  <c:v>1636850.2999736213</c:v>
                </c:pt>
                <c:pt idx="726">
                  <c:v>344920.59289856907</c:v>
                </c:pt>
                <c:pt idx="727">
                  <c:v>636891.78108243574</c:v>
                </c:pt>
                <c:pt idx="728">
                  <c:v>1166936.9088379596</c:v>
                </c:pt>
                <c:pt idx="729">
                  <c:v>1067744.573610805</c:v>
                </c:pt>
                <c:pt idx="730">
                  <c:v>1167920.861585435</c:v>
                </c:pt>
                <c:pt idx="731">
                  <c:v>386960.97414774552</c:v>
                </c:pt>
                <c:pt idx="732">
                  <c:v>1729763.5937165204</c:v>
                </c:pt>
                <c:pt idx="733">
                  <c:v>1423826.9705190163</c:v>
                </c:pt>
                <c:pt idx="734">
                  <c:v>2421339.7050846578</c:v>
                </c:pt>
                <c:pt idx="735">
                  <c:v>448278.21395007655</c:v>
                </c:pt>
                <c:pt idx="736">
                  <c:v>762839.65730361489</c:v>
                </c:pt>
                <c:pt idx="737">
                  <c:v>1533744.75833246</c:v>
                </c:pt>
                <c:pt idx="738">
                  <c:v>240270.84197348994</c:v>
                </c:pt>
                <c:pt idx="739">
                  <c:v>2185017.546515048</c:v>
                </c:pt>
                <c:pt idx="740">
                  <c:v>2124742.269206197</c:v>
                </c:pt>
                <c:pt idx="741">
                  <c:v>268133.81725127052</c:v>
                </c:pt>
                <c:pt idx="742">
                  <c:v>990433.88512753346</c:v>
                </c:pt>
                <c:pt idx="743">
                  <c:v>1882225.878897425</c:v>
                </c:pt>
                <c:pt idx="744">
                  <c:v>2095343.4150619269</c:v>
                </c:pt>
                <c:pt idx="745">
                  <c:v>1302809.8677645351</c:v>
                </c:pt>
                <c:pt idx="746">
                  <c:v>1088647.4330441409</c:v>
                </c:pt>
                <c:pt idx="747">
                  <c:v>908541.23640182638</c:v>
                </c:pt>
                <c:pt idx="748">
                  <c:v>2026907.2644714967</c:v>
                </c:pt>
                <c:pt idx="749">
                  <c:v>1127443.9479529553</c:v>
                </c:pt>
                <c:pt idx="750">
                  <c:v>1836097.9314910159</c:v>
                </c:pt>
                <c:pt idx="751">
                  <c:v>614242.58901735581</c:v>
                </c:pt>
                <c:pt idx="752">
                  <c:v>740482.43830454943</c:v>
                </c:pt>
                <c:pt idx="753">
                  <c:v>1015482.3038301489</c:v>
                </c:pt>
                <c:pt idx="754">
                  <c:v>2036397.9974522549</c:v>
                </c:pt>
                <c:pt idx="755">
                  <c:v>2308172.5123517779</c:v>
                </c:pt>
                <c:pt idx="756">
                  <c:v>2112215.7460941477</c:v>
                </c:pt>
                <c:pt idx="757">
                  <c:v>2346038.5239692051</c:v>
                </c:pt>
                <c:pt idx="758">
                  <c:v>506949.0312009097</c:v>
                </c:pt>
                <c:pt idx="759">
                  <c:v>2272541.5581333772</c:v>
                </c:pt>
                <c:pt idx="760">
                  <c:v>2438398.7346468801</c:v>
                </c:pt>
                <c:pt idx="761">
                  <c:v>1277266.1921554175</c:v>
                </c:pt>
                <c:pt idx="762">
                  <c:v>1057313.8347235955</c:v>
                </c:pt>
                <c:pt idx="763">
                  <c:v>1837704.2960031615</c:v>
                </c:pt>
                <c:pt idx="764">
                  <c:v>480495.53461694292</c:v>
                </c:pt>
                <c:pt idx="765">
                  <c:v>1836097.9314910159</c:v>
                </c:pt>
                <c:pt idx="766">
                  <c:v>2668189.817121048</c:v>
                </c:pt>
                <c:pt idx="767">
                  <c:v>2446930.8599210544</c:v>
                </c:pt>
                <c:pt idx="768">
                  <c:v>183910.38305857059</c:v>
                </c:pt>
                <c:pt idx="769">
                  <c:v>281727.01990681695</c:v>
                </c:pt>
                <c:pt idx="770">
                  <c:v>1369125.863877838</c:v>
                </c:pt>
                <c:pt idx="771">
                  <c:v>278040.25411138427</c:v>
                </c:pt>
                <c:pt idx="772">
                  <c:v>286566.44165086851</c:v>
                </c:pt>
                <c:pt idx="773">
                  <c:v>387885.5671334865</c:v>
                </c:pt>
                <c:pt idx="774">
                  <c:v>1257050.5462802902</c:v>
                </c:pt>
                <c:pt idx="775">
                  <c:v>1700367.0586600662</c:v>
                </c:pt>
                <c:pt idx="776">
                  <c:v>2150088.5780524774</c:v>
                </c:pt>
                <c:pt idx="777">
                  <c:v>993801.62383213558</c:v>
                </c:pt>
                <c:pt idx="778">
                  <c:v>1073572.3322396926</c:v>
                </c:pt>
                <c:pt idx="779">
                  <c:v>623345.62556337425</c:v>
                </c:pt>
                <c:pt idx="780">
                  <c:v>2108132.5338891381</c:v>
                </c:pt>
                <c:pt idx="781">
                  <c:v>997411.33706356934</c:v>
                </c:pt>
                <c:pt idx="782">
                  <c:v>2184198.3412016388</c:v>
                </c:pt>
                <c:pt idx="783">
                  <c:v>793257.09688086296</c:v>
                </c:pt>
                <c:pt idx="784">
                  <c:v>1447880.0266479414</c:v>
                </c:pt>
                <c:pt idx="785">
                  <c:v>1694286.7587858867</c:v>
                </c:pt>
                <c:pt idx="786">
                  <c:v>800104.85345947056</c:v>
                </c:pt>
                <c:pt idx="787">
                  <c:v>1062648.7919401391</c:v>
                </c:pt>
                <c:pt idx="788">
                  <c:v>1575873.266186771</c:v>
                </c:pt>
                <c:pt idx="789">
                  <c:v>1913154.2537446667</c:v>
                </c:pt>
                <c:pt idx="790">
                  <c:v>853838.20979676605</c:v>
                </c:pt>
                <c:pt idx="791">
                  <c:v>320229.44807802839</c:v>
                </c:pt>
                <c:pt idx="792">
                  <c:v>1266776.4244257845</c:v>
                </c:pt>
                <c:pt idx="793">
                  <c:v>473306.90598237846</c:v>
                </c:pt>
                <c:pt idx="794">
                  <c:v>1137480.8302695295</c:v>
                </c:pt>
                <c:pt idx="795">
                  <c:v>2293915.3286722722</c:v>
                </c:pt>
                <c:pt idx="796">
                  <c:v>1889750.0562499305</c:v>
                </c:pt>
                <c:pt idx="797">
                  <c:v>1155385.6036060469</c:v>
                </c:pt>
                <c:pt idx="798">
                  <c:v>529713.21091517992</c:v>
                </c:pt>
                <c:pt idx="799">
                  <c:v>805065.87334077468</c:v>
                </c:pt>
                <c:pt idx="800">
                  <c:v>2246255.9497920983</c:v>
                </c:pt>
                <c:pt idx="801">
                  <c:v>415173.84898610588</c:v>
                </c:pt>
                <c:pt idx="802">
                  <c:v>301549.56487705943</c:v>
                </c:pt>
                <c:pt idx="803">
                  <c:v>2314206.274946596</c:v>
                </c:pt>
                <c:pt idx="804">
                  <c:v>1082565.2572311768</c:v>
                </c:pt>
                <c:pt idx="805">
                  <c:v>1946306.1984762978</c:v>
                </c:pt>
                <c:pt idx="806">
                  <c:v>1739581.3072695353</c:v>
                </c:pt>
                <c:pt idx="807">
                  <c:v>498824.29348636226</c:v>
                </c:pt>
                <c:pt idx="808">
                  <c:v>2419414.1303297919</c:v>
                </c:pt>
                <c:pt idx="809">
                  <c:v>2164272.5187443756</c:v>
                </c:pt>
                <c:pt idx="810">
                  <c:v>1250325.4490362168</c:v>
                </c:pt>
                <c:pt idx="811">
                  <c:v>1754989.6735802218</c:v>
                </c:pt>
                <c:pt idx="812">
                  <c:v>2403737.8807293363</c:v>
                </c:pt>
                <c:pt idx="813">
                  <c:v>2366360.4340008553</c:v>
                </c:pt>
                <c:pt idx="814">
                  <c:v>213346.78723670839</c:v>
                </c:pt>
                <c:pt idx="815">
                  <c:v>2487687.926104045</c:v>
                </c:pt>
                <c:pt idx="816">
                  <c:v>2434546.0826576068</c:v>
                </c:pt>
                <c:pt idx="817">
                  <c:v>1299298.0963799071</c:v>
                </c:pt>
                <c:pt idx="818">
                  <c:v>2322435.899740783</c:v>
                </c:pt>
                <c:pt idx="819">
                  <c:v>1313607.5701376179</c:v>
                </c:pt>
                <c:pt idx="820">
                  <c:v>1263532.9048801973</c:v>
                </c:pt>
                <c:pt idx="821">
                  <c:v>473075.0485172926</c:v>
                </c:pt>
                <c:pt idx="822">
                  <c:v>1408517.4502221008</c:v>
                </c:pt>
                <c:pt idx="823">
                  <c:v>2326825.8567669913</c:v>
                </c:pt>
                <c:pt idx="824">
                  <c:v>403607.96092840331</c:v>
                </c:pt>
                <c:pt idx="825">
                  <c:v>1042781.8120531437</c:v>
                </c:pt>
                <c:pt idx="826">
                  <c:v>1414892.282787896</c:v>
                </c:pt>
                <c:pt idx="827">
                  <c:v>1610625.9202382769</c:v>
                </c:pt>
                <c:pt idx="828">
                  <c:v>989231.43024811347</c:v>
                </c:pt>
                <c:pt idx="829">
                  <c:v>1968176.464003877</c:v>
                </c:pt>
                <c:pt idx="830">
                  <c:v>1112292.0039623273</c:v>
                </c:pt>
                <c:pt idx="831">
                  <c:v>672207.1925182495</c:v>
                </c:pt>
                <c:pt idx="832">
                  <c:v>1992510.8338492988</c:v>
                </c:pt>
                <c:pt idx="833">
                  <c:v>1994134.3616439821</c:v>
                </c:pt>
                <c:pt idx="834">
                  <c:v>1847078.8025288859</c:v>
                </c:pt>
                <c:pt idx="835">
                  <c:v>750832.94627779454</c:v>
                </c:pt>
                <c:pt idx="836">
                  <c:v>2167001.1444355943</c:v>
                </c:pt>
                <c:pt idx="837">
                  <c:v>2514971.4218282327</c:v>
                </c:pt>
                <c:pt idx="838">
                  <c:v>2459869.9056307008</c:v>
                </c:pt>
                <c:pt idx="839">
                  <c:v>704313.07497567544</c:v>
                </c:pt>
                <c:pt idx="840">
                  <c:v>341227.32425576198</c:v>
                </c:pt>
                <c:pt idx="841">
                  <c:v>2247350.7166899084</c:v>
                </c:pt>
                <c:pt idx="842">
                  <c:v>1634486.8623633937</c:v>
                </c:pt>
                <c:pt idx="843">
                  <c:v>1849222.5093236649</c:v>
                </c:pt>
                <c:pt idx="844">
                  <c:v>350692.14136535535</c:v>
                </c:pt>
                <c:pt idx="845">
                  <c:v>2649118.7120379736</c:v>
                </c:pt>
                <c:pt idx="846">
                  <c:v>876874.99581091758</c:v>
                </c:pt>
                <c:pt idx="847">
                  <c:v>528783.62079117703</c:v>
                </c:pt>
                <c:pt idx="848">
                  <c:v>986346.19890937442</c:v>
                </c:pt>
                <c:pt idx="849">
                  <c:v>2430418.6358940201</c:v>
                </c:pt>
                <c:pt idx="850">
                  <c:v>1439170.4192438712</c:v>
                </c:pt>
                <c:pt idx="851">
                  <c:v>545522.13875545014</c:v>
                </c:pt>
                <c:pt idx="852">
                  <c:v>1153912.3068124999</c:v>
                </c:pt>
                <c:pt idx="853">
                  <c:v>466583.88794736826</c:v>
                </c:pt>
                <c:pt idx="854">
                  <c:v>2218080.1775609581</c:v>
                </c:pt>
                <c:pt idx="855">
                  <c:v>729669.39682040073</c:v>
                </c:pt>
                <c:pt idx="856">
                  <c:v>2197035.5404127212</c:v>
                </c:pt>
                <c:pt idx="857">
                  <c:v>614709.30397417326</c:v>
                </c:pt>
                <c:pt idx="858">
                  <c:v>1912077.3681043689</c:v>
                </c:pt>
                <c:pt idx="859">
                  <c:v>2487963.4375123018</c:v>
                </c:pt>
                <c:pt idx="860">
                  <c:v>344689.75171447429</c:v>
                </c:pt>
                <c:pt idx="861">
                  <c:v>1678970.8381595674</c:v>
                </c:pt>
                <c:pt idx="862">
                  <c:v>1948464.8947338103</c:v>
                </c:pt>
                <c:pt idx="863">
                  <c:v>1983854.6028141747</c:v>
                </c:pt>
                <c:pt idx="864">
                  <c:v>1951973.4043249965</c:v>
                </c:pt>
                <c:pt idx="865">
                  <c:v>2580071.6101530818</c:v>
                </c:pt>
                <c:pt idx="866">
                  <c:v>1099851.18032553</c:v>
                </c:pt>
                <c:pt idx="867">
                  <c:v>677826.99159060512</c:v>
                </c:pt>
                <c:pt idx="868">
                  <c:v>869745.12048663688</c:v>
                </c:pt>
                <c:pt idx="869">
                  <c:v>1931203.6818197651</c:v>
                </c:pt>
                <c:pt idx="870">
                  <c:v>764252.89640758256</c:v>
                </c:pt>
                <c:pt idx="871">
                  <c:v>2415838.3056228366</c:v>
                </c:pt>
                <c:pt idx="872">
                  <c:v>936956.97863329737</c:v>
                </c:pt>
                <c:pt idx="873">
                  <c:v>1216551.7609945312</c:v>
                </c:pt>
                <c:pt idx="874">
                  <c:v>2248445.5248042615</c:v>
                </c:pt>
                <c:pt idx="875">
                  <c:v>872596.51566628087</c:v>
                </c:pt>
                <c:pt idx="876">
                  <c:v>970253.91115249833</c:v>
                </c:pt>
                <c:pt idx="877">
                  <c:v>1778676.1617044853</c:v>
                </c:pt>
                <c:pt idx="878">
                  <c:v>1790671.5617108862</c:v>
                </c:pt>
                <c:pt idx="879">
                  <c:v>2607128.1947616045</c:v>
                </c:pt>
                <c:pt idx="880">
                  <c:v>2352078.970771418</c:v>
                </c:pt>
                <c:pt idx="881">
                  <c:v>2438949.1423844956</c:v>
                </c:pt>
                <c:pt idx="882">
                  <c:v>820670.48220663401</c:v>
                </c:pt>
                <c:pt idx="883">
                  <c:v>1159070.1668232142</c:v>
                </c:pt>
                <c:pt idx="884">
                  <c:v>1237392.1984288851</c:v>
                </c:pt>
                <c:pt idx="885">
                  <c:v>1890556.4585280831</c:v>
                </c:pt>
                <c:pt idx="886">
                  <c:v>649279.08409386245</c:v>
                </c:pt>
                <c:pt idx="887">
                  <c:v>624746.48769022967</c:v>
                </c:pt>
                <c:pt idx="888">
                  <c:v>1642104.6490466604</c:v>
                </c:pt>
                <c:pt idx="889">
                  <c:v>1588137.5519910222</c:v>
                </c:pt>
                <c:pt idx="890">
                  <c:v>2643039.3073203475</c:v>
                </c:pt>
                <c:pt idx="891">
                  <c:v>2220267.5713560628</c:v>
                </c:pt>
                <c:pt idx="892">
                  <c:v>2368008.6558599556</c:v>
                </c:pt>
                <c:pt idx="893">
                  <c:v>387192.11978246301</c:v>
                </c:pt>
                <c:pt idx="894">
                  <c:v>463802.46004158119</c:v>
                </c:pt>
                <c:pt idx="895">
                  <c:v>2255289.0039584697</c:v>
                </c:pt>
                <c:pt idx="896">
                  <c:v>2123380.3526341072</c:v>
                </c:pt>
                <c:pt idx="897">
                  <c:v>2010648.7628802923</c:v>
                </c:pt>
                <c:pt idx="898">
                  <c:v>593252.16649913893</c:v>
                </c:pt>
                <c:pt idx="899">
                  <c:v>2059195.0024722503</c:v>
                </c:pt>
                <c:pt idx="900">
                  <c:v>2352353.5609146948</c:v>
                </c:pt>
                <c:pt idx="901">
                  <c:v>362007.30661212764</c:v>
                </c:pt>
                <c:pt idx="902">
                  <c:v>1820045.6374323841</c:v>
                </c:pt>
                <c:pt idx="903">
                  <c:v>495343.09949657385</c:v>
                </c:pt>
                <c:pt idx="904">
                  <c:v>1777344.1207200107</c:v>
                </c:pt>
                <c:pt idx="905">
                  <c:v>1694815.3296575027</c:v>
                </c:pt>
                <c:pt idx="906">
                  <c:v>497663.84010943514</c:v>
                </c:pt>
                <c:pt idx="907">
                  <c:v>1340299.8785599403</c:v>
                </c:pt>
                <c:pt idx="908">
                  <c:v>1840382.0232344829</c:v>
                </c:pt>
                <c:pt idx="909">
                  <c:v>2483004.4850133299</c:v>
                </c:pt>
                <c:pt idx="910">
                  <c:v>418181.73245239968</c:v>
                </c:pt>
                <c:pt idx="911">
                  <c:v>999337.12212516612</c:v>
                </c:pt>
                <c:pt idx="912">
                  <c:v>1295788.167809837</c:v>
                </c:pt>
                <c:pt idx="913">
                  <c:v>1322409.2919608129</c:v>
                </c:pt>
                <c:pt idx="914">
                  <c:v>413785.70060435956</c:v>
                </c:pt>
                <c:pt idx="915">
                  <c:v>765430.70700650767</c:v>
                </c:pt>
                <c:pt idx="916">
                  <c:v>1521565.0509650777</c:v>
                </c:pt>
                <c:pt idx="917">
                  <c:v>2307898.2767024944</c:v>
                </c:pt>
                <c:pt idx="918">
                  <c:v>1793338.9091690981</c:v>
                </c:pt>
                <c:pt idx="919">
                  <c:v>1960613.0188842418</c:v>
                </c:pt>
                <c:pt idx="920">
                  <c:v>1312099.8665536719</c:v>
                </c:pt>
                <c:pt idx="921">
                  <c:v>1525191.0058910311</c:v>
                </c:pt>
                <c:pt idx="922">
                  <c:v>926440.89595963666</c:v>
                </c:pt>
                <c:pt idx="923">
                  <c:v>882344.38704726263</c:v>
                </c:pt>
                <c:pt idx="924">
                  <c:v>2043994.0137201005</c:v>
                </c:pt>
                <c:pt idx="925">
                  <c:v>498360.10547507112</c:v>
                </c:pt>
                <c:pt idx="926">
                  <c:v>1634224.2973814604</c:v>
                </c:pt>
                <c:pt idx="927">
                  <c:v>1397821.0583887398</c:v>
                </c:pt>
                <c:pt idx="928">
                  <c:v>2510560.9055948257</c:v>
                </c:pt>
                <c:pt idx="929">
                  <c:v>443645.85396592401</c:v>
                </c:pt>
                <c:pt idx="930">
                  <c:v>280344.44108756946</c:v>
                </c:pt>
                <c:pt idx="931">
                  <c:v>2401538.2003083206</c:v>
                </c:pt>
                <c:pt idx="932">
                  <c:v>1419485.8208450365</c:v>
                </c:pt>
                <c:pt idx="933">
                  <c:v>229453.14427513568</c:v>
                </c:pt>
                <c:pt idx="934">
                  <c:v>579503.92730766488</c:v>
                </c:pt>
                <c:pt idx="935">
                  <c:v>2599672.5221875007</c:v>
                </c:pt>
                <c:pt idx="936">
                  <c:v>336611.30611634883</c:v>
                </c:pt>
                <c:pt idx="937">
                  <c:v>1097170.534006953</c:v>
                </c:pt>
                <c:pt idx="938">
                  <c:v>1424082.4171336296</c:v>
                </c:pt>
                <c:pt idx="939">
                  <c:v>780751.58030749019</c:v>
                </c:pt>
                <c:pt idx="940">
                  <c:v>413785.70060435956</c:v>
                </c:pt>
                <c:pt idx="941">
                  <c:v>2036940.4695952914</c:v>
                </c:pt>
                <c:pt idx="942">
                  <c:v>1685305.4838266924</c:v>
                </c:pt>
                <c:pt idx="943">
                  <c:v>919993.36058221862</c:v>
                </c:pt>
                <c:pt idx="944">
                  <c:v>530178.02026214334</c:v>
                </c:pt>
                <c:pt idx="945">
                  <c:v>1734803.9653711799</c:v>
                </c:pt>
                <c:pt idx="946">
                  <c:v>192187.4318532772</c:v>
                </c:pt>
                <c:pt idx="947">
                  <c:v>1801878.5271019437</c:v>
                </c:pt>
                <c:pt idx="948">
                  <c:v>2026907.2644714967</c:v>
                </c:pt>
                <c:pt idx="949">
                  <c:v>1585787.6428596454</c:v>
                </c:pt>
                <c:pt idx="950">
                  <c:v>647642.52795564686</c:v>
                </c:pt>
                <c:pt idx="951">
                  <c:v>2264050.9683471895</c:v>
                </c:pt>
                <c:pt idx="952">
                  <c:v>1187381.9972412908</c:v>
                </c:pt>
                <c:pt idx="953">
                  <c:v>445498.703060336</c:v>
                </c:pt>
                <c:pt idx="954">
                  <c:v>2009294.5450092261</c:v>
                </c:pt>
                <c:pt idx="955">
                  <c:v>1022962.7338596927</c:v>
                </c:pt>
                <c:pt idx="956">
                  <c:v>1934977.9280563765</c:v>
                </c:pt>
                <c:pt idx="957">
                  <c:v>2064898.3952777993</c:v>
                </c:pt>
                <c:pt idx="958">
                  <c:v>552732.9125831977</c:v>
                </c:pt>
                <c:pt idx="959">
                  <c:v>2074951.1606781508</c:v>
                </c:pt>
                <c:pt idx="960">
                  <c:v>517399.20397264219</c:v>
                </c:pt>
                <c:pt idx="961">
                  <c:v>324151.16197189782</c:v>
                </c:pt>
                <c:pt idx="962">
                  <c:v>2675930.4644999355</c:v>
                </c:pt>
                <c:pt idx="963">
                  <c:v>1600681.723911504</c:v>
                </c:pt>
                <c:pt idx="964">
                  <c:v>758600.81011124316</c:v>
                </c:pt>
                <c:pt idx="965">
                  <c:v>1475874.5022019993</c:v>
                </c:pt>
                <c:pt idx="966">
                  <c:v>2028533.9055304714</c:v>
                </c:pt>
                <c:pt idx="967">
                  <c:v>1021031.6702004361</c:v>
                </c:pt>
                <c:pt idx="968">
                  <c:v>1513801.0183217616</c:v>
                </c:pt>
                <c:pt idx="969">
                  <c:v>1983043.3058734783</c:v>
                </c:pt>
                <c:pt idx="970">
                  <c:v>2670401.33471175</c:v>
                </c:pt>
                <c:pt idx="971">
                  <c:v>1643155.8923914658</c:v>
                </c:pt>
                <c:pt idx="972">
                  <c:v>1626351.01010137</c:v>
                </c:pt>
                <c:pt idx="973">
                  <c:v>570421.21786521142</c:v>
                </c:pt>
                <c:pt idx="974">
                  <c:v>689306.73191330978</c:v>
                </c:pt>
                <c:pt idx="975">
                  <c:v>2333960.7441415796</c:v>
                </c:pt>
                <c:pt idx="976">
                  <c:v>2464826.3034170517</c:v>
                </c:pt>
                <c:pt idx="977">
                  <c:v>1067259.1205118713</c:v>
                </c:pt>
                <c:pt idx="978">
                  <c:v>2678142.2499978463</c:v>
                </c:pt>
                <c:pt idx="979">
                  <c:v>1781607.2047158892</c:v>
                </c:pt>
                <c:pt idx="980">
                  <c:v>221859.39534511979</c:v>
                </c:pt>
                <c:pt idx="981">
                  <c:v>2421339.7050846578</c:v>
                </c:pt>
                <c:pt idx="982">
                  <c:v>2214252.6585656763</c:v>
                </c:pt>
                <c:pt idx="983">
                  <c:v>1435843.1355461124</c:v>
                </c:pt>
                <c:pt idx="984">
                  <c:v>1256552.1612607823</c:v>
                </c:pt>
                <c:pt idx="985">
                  <c:v>753421.75505139923</c:v>
                </c:pt>
                <c:pt idx="986">
                  <c:v>748715.18378504191</c:v>
                </c:pt>
                <c:pt idx="987">
                  <c:v>173566.15121005458</c:v>
                </c:pt>
                <c:pt idx="988">
                  <c:v>2036940.4695952914</c:v>
                </c:pt>
                <c:pt idx="989">
                  <c:v>2625357.2513897787</c:v>
                </c:pt>
                <c:pt idx="990">
                  <c:v>2156633.9812839422</c:v>
                </c:pt>
                <c:pt idx="991">
                  <c:v>1630811.6679015546</c:v>
                </c:pt>
                <c:pt idx="992">
                  <c:v>1226715.9435495611</c:v>
                </c:pt>
                <c:pt idx="993">
                  <c:v>1597805.3413008424</c:v>
                </c:pt>
                <c:pt idx="994">
                  <c:v>197706.29901980978</c:v>
                </c:pt>
                <c:pt idx="995">
                  <c:v>2359218.9978521564</c:v>
                </c:pt>
                <c:pt idx="996">
                  <c:v>310311.75796742982</c:v>
                </c:pt>
                <c:pt idx="997">
                  <c:v>1734007.9543520419</c:v>
                </c:pt>
                <c:pt idx="998">
                  <c:v>1135276.4377480845</c:v>
                </c:pt>
                <c:pt idx="999">
                  <c:v>969773.98015398683</c:v>
                </c:pt>
              </c:numCache>
            </c:numRef>
          </c:yVal>
          <c:smooth val="0"/>
          <c:extLst>
            <c:ext xmlns:c16="http://schemas.microsoft.com/office/drawing/2014/chart" uri="{C3380CC4-5D6E-409C-BE32-E72D297353CC}">
              <c16:uniqueId val="{00000002-3C09-4549-8FAA-8789CDDB4B00}"/>
            </c:ext>
          </c:extLst>
        </c:ser>
        <c:ser>
          <c:idx val="3"/>
          <c:order val="3"/>
          <c:tx>
            <c:strRef>
              <c:f>Hoja1!$V$8</c:f>
              <c:strCache>
                <c:ptCount val="1"/>
                <c:pt idx="0">
                  <c:v>LIP</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Hoja1!$V$9:$V$1008</c:f>
              <c:numCache>
                <c:formatCode>0.00</c:formatCode>
                <c:ptCount val="1000"/>
                <c:pt idx="0">
                  <c:v>3808515.1320110005</c:v>
                </c:pt>
                <c:pt idx="1">
                  <c:v>2657432.2657082407</c:v>
                </c:pt>
                <c:pt idx="2">
                  <c:v>4141059.2769763544</c:v>
                </c:pt>
                <c:pt idx="3">
                  <c:v>4887945.0024092766</c:v>
                </c:pt>
                <c:pt idx="4">
                  <c:v>3327874.7523705158</c:v>
                </c:pt>
                <c:pt idx="5">
                  <c:v>3448833.5483839912</c:v>
                </c:pt>
                <c:pt idx="6">
                  <c:v>3435143.5378593225</c:v>
                </c:pt>
                <c:pt idx="7">
                  <c:v>4513193.1058776435</c:v>
                </c:pt>
                <c:pt idx="8">
                  <c:v>4629193.0366382133</c:v>
                </c:pt>
                <c:pt idx="9">
                  <c:v>4772339.6273524296</c:v>
                </c:pt>
                <c:pt idx="10">
                  <c:v>2650307.558156915</c:v>
                </c:pt>
                <c:pt idx="11">
                  <c:v>4081416.6826970391</c:v>
                </c:pt>
                <c:pt idx="12">
                  <c:v>3998495.7349125994</c:v>
                </c:pt>
                <c:pt idx="13">
                  <c:v>2917830.47169017</c:v>
                </c:pt>
                <c:pt idx="14">
                  <c:v>3138818.8228075495</c:v>
                </c:pt>
                <c:pt idx="15">
                  <c:v>4934018.2811039612</c:v>
                </c:pt>
                <c:pt idx="16">
                  <c:v>2773684.2221526145</c:v>
                </c:pt>
                <c:pt idx="17">
                  <c:v>4290344.8839647463</c:v>
                </c:pt>
                <c:pt idx="18">
                  <c:v>3708523.7878792039</c:v>
                </c:pt>
                <c:pt idx="19">
                  <c:v>3363129.7752268733</c:v>
                </c:pt>
                <c:pt idx="20">
                  <c:v>4836572.6946175015</c:v>
                </c:pt>
                <c:pt idx="21">
                  <c:v>2636566.3823179011</c:v>
                </c:pt>
                <c:pt idx="22">
                  <c:v>3172074.3261216963</c:v>
                </c:pt>
                <c:pt idx="23">
                  <c:v>3235778.4468870219</c:v>
                </c:pt>
                <c:pt idx="24">
                  <c:v>3939318.9215079676</c:v>
                </c:pt>
                <c:pt idx="25">
                  <c:v>4372394.4935540352</c:v>
                </c:pt>
                <c:pt idx="26">
                  <c:v>2875638.9612064008</c:v>
                </c:pt>
                <c:pt idx="27">
                  <c:v>3369469.9895072486</c:v>
                </c:pt>
                <c:pt idx="28">
                  <c:v>3952217.8368981457</c:v>
                </c:pt>
                <c:pt idx="29">
                  <c:v>3241614.9273441425</c:v>
                </c:pt>
                <c:pt idx="30">
                  <c:v>4167084.4737583939</c:v>
                </c:pt>
                <c:pt idx="31">
                  <c:v>2573192.9028288466</c:v>
                </c:pt>
                <c:pt idx="32">
                  <c:v>3691305.3503157003</c:v>
                </c:pt>
                <c:pt idx="33">
                  <c:v>3122062.1835334296</c:v>
                </c:pt>
                <c:pt idx="34">
                  <c:v>3324323.5643165875</c:v>
                </c:pt>
                <c:pt idx="35">
                  <c:v>4731018.5711948331</c:v>
                </c:pt>
                <c:pt idx="36">
                  <c:v>4500328.3135485388</c:v>
                </c:pt>
                <c:pt idx="37">
                  <c:v>2826828.7785485629</c:v>
                </c:pt>
                <c:pt idx="38">
                  <c:v>4224934.8698589448</c:v>
                </c:pt>
                <c:pt idx="39">
                  <c:v>3590245.5960254055</c:v>
                </c:pt>
                <c:pt idx="40">
                  <c:v>2661757.8655342814</c:v>
                </c:pt>
                <c:pt idx="41">
                  <c:v>3704725.7227555583</c:v>
                </c:pt>
                <c:pt idx="42">
                  <c:v>3150750.7811775561</c:v>
                </c:pt>
                <c:pt idx="43">
                  <c:v>3022510.8576074908</c:v>
                </c:pt>
                <c:pt idx="44">
                  <c:v>4586835.2441203371</c:v>
                </c:pt>
                <c:pt idx="45">
                  <c:v>4562122.5993927997</c:v>
                </c:pt>
                <c:pt idx="46">
                  <c:v>3979277.7226115922</c:v>
                </c:pt>
                <c:pt idx="47">
                  <c:v>4377947.4706867384</c:v>
                </c:pt>
                <c:pt idx="48">
                  <c:v>4023274.2892512605</c:v>
                </c:pt>
                <c:pt idx="49">
                  <c:v>4219125.2816255167</c:v>
                </c:pt>
                <c:pt idx="50">
                  <c:v>2989232.1075935178</c:v>
                </c:pt>
                <c:pt idx="51">
                  <c:v>3937295.4911893555</c:v>
                </c:pt>
                <c:pt idx="52">
                  <c:v>4843120.8448970988</c:v>
                </c:pt>
                <c:pt idx="53">
                  <c:v>4016700.668873034</c:v>
                </c:pt>
                <c:pt idx="54">
                  <c:v>4061700.6123785805</c:v>
                </c:pt>
                <c:pt idx="55">
                  <c:v>3042831.2149758143</c:v>
                </c:pt>
                <c:pt idx="56">
                  <c:v>3337513.3939149729</c:v>
                </c:pt>
                <c:pt idx="57">
                  <c:v>2766817.6963436645</c:v>
                </c:pt>
                <c:pt idx="58">
                  <c:v>3474690.0623246171</c:v>
                </c:pt>
                <c:pt idx="59">
                  <c:v>3042577.2224112656</c:v>
                </c:pt>
                <c:pt idx="60">
                  <c:v>3375049.2224316914</c:v>
                </c:pt>
                <c:pt idx="61">
                  <c:v>4351695.7482353682</c:v>
                </c:pt>
                <c:pt idx="62">
                  <c:v>2571411.0484693856</c:v>
                </c:pt>
                <c:pt idx="63">
                  <c:v>2747488.5168855498</c:v>
                </c:pt>
                <c:pt idx="64">
                  <c:v>3772068.0304872878</c:v>
                </c:pt>
                <c:pt idx="65">
                  <c:v>2514129.2738628089</c:v>
                </c:pt>
                <c:pt idx="66">
                  <c:v>2703228.3061894407</c:v>
                </c:pt>
                <c:pt idx="67">
                  <c:v>3507133.021648013</c:v>
                </c:pt>
                <c:pt idx="68">
                  <c:v>3340810.7241128013</c:v>
                </c:pt>
                <c:pt idx="69">
                  <c:v>3672059.5673442269</c:v>
                </c:pt>
                <c:pt idx="70">
                  <c:v>2679313.8162306426</c:v>
                </c:pt>
                <c:pt idx="71">
                  <c:v>4129182.6401726361</c:v>
                </c:pt>
                <c:pt idx="72">
                  <c:v>3427284.0611552317</c:v>
                </c:pt>
                <c:pt idx="73">
                  <c:v>4097845.3419097392</c:v>
                </c:pt>
                <c:pt idx="74">
                  <c:v>3847739.412708614</c:v>
                </c:pt>
                <c:pt idx="75">
                  <c:v>3429312.3409015974</c:v>
                </c:pt>
                <c:pt idx="76">
                  <c:v>2842845.8451844417</c:v>
                </c:pt>
                <c:pt idx="77">
                  <c:v>2605518.2619712339</c:v>
                </c:pt>
                <c:pt idx="78">
                  <c:v>2481535.4825961902</c:v>
                </c:pt>
                <c:pt idx="79">
                  <c:v>2750286.2691459218</c:v>
                </c:pt>
                <c:pt idx="80">
                  <c:v>2935873.7016491843</c:v>
                </c:pt>
                <c:pt idx="81">
                  <c:v>3079149.0494251363</c:v>
                </c:pt>
                <c:pt idx="82">
                  <c:v>2466764.7907449603</c:v>
                </c:pt>
                <c:pt idx="83">
                  <c:v>3443002.7252866039</c:v>
                </c:pt>
                <c:pt idx="84">
                  <c:v>2515147.7500623129</c:v>
                </c:pt>
                <c:pt idx="85">
                  <c:v>4325440.7662306167</c:v>
                </c:pt>
                <c:pt idx="86">
                  <c:v>2614171.468553788</c:v>
                </c:pt>
                <c:pt idx="87">
                  <c:v>4314331.9080688376</c:v>
                </c:pt>
                <c:pt idx="88">
                  <c:v>2932316.0019409703</c:v>
                </c:pt>
                <c:pt idx="89">
                  <c:v>2625623.705226195</c:v>
                </c:pt>
                <c:pt idx="90">
                  <c:v>4269385.5740811639</c:v>
                </c:pt>
                <c:pt idx="91">
                  <c:v>4180980.1149125071</c:v>
                </c:pt>
                <c:pt idx="92">
                  <c:v>2995075.3158668932</c:v>
                </c:pt>
                <c:pt idx="93">
                  <c:v>4393848.3709310526</c:v>
                </c:pt>
                <c:pt idx="94">
                  <c:v>3711055.7936744904</c:v>
                </c:pt>
                <c:pt idx="95">
                  <c:v>4386024.2679272601</c:v>
                </c:pt>
                <c:pt idx="96">
                  <c:v>4050325.123147801</c:v>
                </c:pt>
                <c:pt idx="97">
                  <c:v>3375556.4181997031</c:v>
                </c:pt>
                <c:pt idx="98">
                  <c:v>4813652.5601632269</c:v>
                </c:pt>
                <c:pt idx="99">
                  <c:v>3744981.7676239614</c:v>
                </c:pt>
                <c:pt idx="100">
                  <c:v>4907080.4894387424</c:v>
                </c:pt>
                <c:pt idx="101">
                  <c:v>3447312.4794493122</c:v>
                </c:pt>
                <c:pt idx="102">
                  <c:v>3867728.3608551547</c:v>
                </c:pt>
                <c:pt idx="103">
                  <c:v>3600632.3910960816</c:v>
                </c:pt>
                <c:pt idx="104">
                  <c:v>4387538.6330498755</c:v>
                </c:pt>
                <c:pt idx="105">
                  <c:v>3423227.4438666203</c:v>
                </c:pt>
                <c:pt idx="106">
                  <c:v>4739585.79899358</c:v>
                </c:pt>
                <c:pt idx="107">
                  <c:v>2765037.4500466385</c:v>
                </c:pt>
                <c:pt idx="108">
                  <c:v>3830279.1743169669</c:v>
                </c:pt>
                <c:pt idx="109">
                  <c:v>4646587.5198624758</c:v>
                </c:pt>
                <c:pt idx="110">
                  <c:v>3720423.953428762</c:v>
                </c:pt>
                <c:pt idx="111">
                  <c:v>2586683.6055933554</c:v>
                </c:pt>
                <c:pt idx="112">
                  <c:v>4578766.1276790602</c:v>
                </c:pt>
                <c:pt idx="113">
                  <c:v>3404211.0230816635</c:v>
                </c:pt>
                <c:pt idx="114">
                  <c:v>4677843.5594904087</c:v>
                </c:pt>
                <c:pt idx="115">
                  <c:v>4411766.9992709123</c:v>
                </c:pt>
                <c:pt idx="116">
                  <c:v>2919355.3104730984</c:v>
                </c:pt>
                <c:pt idx="117">
                  <c:v>3567443.5399384112</c:v>
                </c:pt>
                <c:pt idx="118">
                  <c:v>3901882.3420803035</c:v>
                </c:pt>
                <c:pt idx="119">
                  <c:v>4516724.4802802075</c:v>
                </c:pt>
                <c:pt idx="120">
                  <c:v>2725359.5535850078</c:v>
                </c:pt>
                <c:pt idx="121">
                  <c:v>3951459.0988432164</c:v>
                </c:pt>
                <c:pt idx="122">
                  <c:v>2729175.0550328726</c:v>
                </c:pt>
                <c:pt idx="123">
                  <c:v>4250192.0965521298</c:v>
                </c:pt>
                <c:pt idx="124">
                  <c:v>2812844.6464234334</c:v>
                </c:pt>
                <c:pt idx="125">
                  <c:v>3368962.779288969</c:v>
                </c:pt>
                <c:pt idx="126">
                  <c:v>2510055.3207179103</c:v>
                </c:pt>
                <c:pt idx="127">
                  <c:v>2420154.0453638788</c:v>
                </c:pt>
                <c:pt idx="128">
                  <c:v>4525300.4291615244</c:v>
                </c:pt>
                <c:pt idx="129">
                  <c:v>3165220.5613061637</c:v>
                </c:pt>
                <c:pt idx="130">
                  <c:v>4591121.836574465</c:v>
                </c:pt>
                <c:pt idx="131">
                  <c:v>2913001.7439429904</c:v>
                </c:pt>
                <c:pt idx="132">
                  <c:v>4145102.2355983136</c:v>
                </c:pt>
                <c:pt idx="133">
                  <c:v>4684396.6566385431</c:v>
                </c:pt>
                <c:pt idx="134">
                  <c:v>2717219.5902302847</c:v>
                </c:pt>
                <c:pt idx="135">
                  <c:v>4534128.2476524897</c:v>
                </c:pt>
                <c:pt idx="136">
                  <c:v>3014128.1483420096</c:v>
                </c:pt>
                <c:pt idx="137">
                  <c:v>4212052.5243568067</c:v>
                </c:pt>
                <c:pt idx="138">
                  <c:v>3301746.7745474335</c:v>
                </c:pt>
                <c:pt idx="139">
                  <c:v>3568710.3847888838</c:v>
                </c:pt>
                <c:pt idx="140">
                  <c:v>2478224.8986919434</c:v>
                </c:pt>
                <c:pt idx="141">
                  <c:v>3087783.152424105</c:v>
                </c:pt>
                <c:pt idx="142">
                  <c:v>2618752.4365986232</c:v>
                </c:pt>
                <c:pt idx="143">
                  <c:v>3890498.2911987146</c:v>
                </c:pt>
                <c:pt idx="144">
                  <c:v>3889739.3328010179</c:v>
                </c:pt>
                <c:pt idx="145">
                  <c:v>2657941.1643337049</c:v>
                </c:pt>
                <c:pt idx="146">
                  <c:v>4553800.3424875736</c:v>
                </c:pt>
                <c:pt idx="147">
                  <c:v>4313321.9829451833</c:v>
                </c:pt>
                <c:pt idx="148">
                  <c:v>3520564.9907855582</c:v>
                </c:pt>
                <c:pt idx="149">
                  <c:v>4271910.9021065338</c:v>
                </c:pt>
                <c:pt idx="150">
                  <c:v>2850981.0396660212</c:v>
                </c:pt>
                <c:pt idx="151">
                  <c:v>3653318.5819996018</c:v>
                </c:pt>
                <c:pt idx="152">
                  <c:v>2717219.5902302847</c:v>
                </c:pt>
                <c:pt idx="153">
                  <c:v>4205989.9730257429</c:v>
                </c:pt>
                <c:pt idx="154">
                  <c:v>3922119.1497196555</c:v>
                </c:pt>
                <c:pt idx="155">
                  <c:v>3251764.9487122446</c:v>
                </c:pt>
                <c:pt idx="156">
                  <c:v>2829371.2500015702</c:v>
                </c:pt>
                <c:pt idx="157">
                  <c:v>3807249.7122413563</c:v>
                </c:pt>
                <c:pt idx="158">
                  <c:v>4045269.1544504808</c:v>
                </c:pt>
                <c:pt idx="159">
                  <c:v>4455673.832035277</c:v>
                </c:pt>
                <c:pt idx="160">
                  <c:v>2666592.2562144278</c:v>
                </c:pt>
                <c:pt idx="161">
                  <c:v>4418833.0827999189</c:v>
                </c:pt>
                <c:pt idx="162">
                  <c:v>4565653.1545934798</c:v>
                </c:pt>
                <c:pt idx="163">
                  <c:v>3547933.179060719</c:v>
                </c:pt>
                <c:pt idx="164">
                  <c:v>3578338.1597569818</c:v>
                </c:pt>
                <c:pt idx="165">
                  <c:v>4854453.699195629</c:v>
                </c:pt>
                <c:pt idx="166">
                  <c:v>4300445.0150244934</c:v>
                </c:pt>
                <c:pt idx="167">
                  <c:v>4401419.807719809</c:v>
                </c:pt>
                <c:pt idx="168">
                  <c:v>4370880.0199282914</c:v>
                </c:pt>
                <c:pt idx="169">
                  <c:v>3933501.5074157729</c:v>
                </c:pt>
                <c:pt idx="170">
                  <c:v>4590113.234429446</c:v>
                </c:pt>
                <c:pt idx="171">
                  <c:v>3301493.0892034415</c:v>
                </c:pt>
                <c:pt idx="172">
                  <c:v>3862921.0638787649</c:v>
                </c:pt>
                <c:pt idx="173">
                  <c:v>2991518.5993832322</c:v>
                </c:pt>
                <c:pt idx="174">
                  <c:v>4251959.9896048559</c:v>
                </c:pt>
                <c:pt idx="175">
                  <c:v>4122865.0091415718</c:v>
                </c:pt>
                <c:pt idx="176">
                  <c:v>3396603.9806471653</c:v>
                </c:pt>
                <c:pt idx="177">
                  <c:v>3380121.1259237574</c:v>
                </c:pt>
                <c:pt idx="178">
                  <c:v>4626671.9778396562</c:v>
                </c:pt>
                <c:pt idx="179">
                  <c:v>3146688.9126043241</c:v>
                </c:pt>
                <c:pt idx="180">
                  <c:v>4317614.131424712</c:v>
                </c:pt>
                <c:pt idx="181">
                  <c:v>3909471.3707028129</c:v>
                </c:pt>
                <c:pt idx="182">
                  <c:v>4531606.0514987614</c:v>
                </c:pt>
                <c:pt idx="183">
                  <c:v>4251202.3229612028</c:v>
                </c:pt>
                <c:pt idx="184">
                  <c:v>2907410.4495294704</c:v>
                </c:pt>
                <c:pt idx="185">
                  <c:v>3393053.9347926513</c:v>
                </c:pt>
                <c:pt idx="186">
                  <c:v>2776990.2487318134</c:v>
                </c:pt>
                <c:pt idx="187">
                  <c:v>3717638.8678910602</c:v>
                </c:pt>
                <c:pt idx="188">
                  <c:v>3044355.1640353417</c:v>
                </c:pt>
                <c:pt idx="189">
                  <c:v>3176389.546878051</c:v>
                </c:pt>
                <c:pt idx="190">
                  <c:v>3242883.7063640845</c:v>
                </c:pt>
                <c:pt idx="191">
                  <c:v>2888093.9460502053</c:v>
                </c:pt>
                <c:pt idx="192">
                  <c:v>3541091.4611152378</c:v>
                </c:pt>
                <c:pt idx="193">
                  <c:v>4603728.9560804032</c:v>
                </c:pt>
                <c:pt idx="194">
                  <c:v>4737066.0623465013</c:v>
                </c:pt>
                <c:pt idx="195">
                  <c:v>3112159.916271057</c:v>
                </c:pt>
                <c:pt idx="196">
                  <c:v>3208370.2344488683</c:v>
                </c:pt>
                <c:pt idx="197">
                  <c:v>3960310.8742406867</c:v>
                </c:pt>
                <c:pt idx="198">
                  <c:v>3548439.9642542084</c:v>
                </c:pt>
                <c:pt idx="199">
                  <c:v>3200502.4135217294</c:v>
                </c:pt>
                <c:pt idx="200">
                  <c:v>3394068.2396289366</c:v>
                </c:pt>
                <c:pt idx="201">
                  <c:v>2583374.6438208814</c:v>
                </c:pt>
                <c:pt idx="202">
                  <c:v>3547426.3926633131</c:v>
                </c:pt>
                <c:pt idx="203">
                  <c:v>4497553.4515844546</c:v>
                </c:pt>
                <c:pt idx="204">
                  <c:v>2908681.2110730745</c:v>
                </c:pt>
                <c:pt idx="205">
                  <c:v>4359521.1218979824</c:v>
                </c:pt>
                <c:pt idx="206">
                  <c:v>3549453.5310294461</c:v>
                </c:pt>
                <c:pt idx="207">
                  <c:v>3287539.9316001479</c:v>
                </c:pt>
                <c:pt idx="208">
                  <c:v>3100987.5774836401</c:v>
                </c:pt>
                <c:pt idx="209">
                  <c:v>3030893.238707182</c:v>
                </c:pt>
                <c:pt idx="210">
                  <c:v>4896505.8308605934</c:v>
                </c:pt>
                <c:pt idx="211">
                  <c:v>3444523.8249244941</c:v>
                </c:pt>
                <c:pt idx="212">
                  <c:v>2780041.9203214068</c:v>
                </c:pt>
                <c:pt idx="213">
                  <c:v>2474659.5973637542</c:v>
                </c:pt>
                <c:pt idx="214">
                  <c:v>3879366.6298631164</c:v>
                </c:pt>
                <c:pt idx="215">
                  <c:v>3782445.9657319514</c:v>
                </c:pt>
                <c:pt idx="216">
                  <c:v>3295911.9354594862</c:v>
                </c:pt>
                <c:pt idx="217">
                  <c:v>4043752.3403568882</c:v>
                </c:pt>
                <c:pt idx="218">
                  <c:v>4364569.5963675687</c:v>
                </c:pt>
                <c:pt idx="219">
                  <c:v>3113683.3718269849</c:v>
                </c:pt>
                <c:pt idx="220">
                  <c:v>3457452.7343272441</c:v>
                </c:pt>
                <c:pt idx="221">
                  <c:v>4010632.5309626916</c:v>
                </c:pt>
                <c:pt idx="222">
                  <c:v>2636566.3823179011</c:v>
                </c:pt>
                <c:pt idx="223">
                  <c:v>2784110.7481980082</c:v>
                </c:pt>
                <c:pt idx="224">
                  <c:v>4609023.7213413082</c:v>
                </c:pt>
                <c:pt idx="225">
                  <c:v>3723209.0025497526</c:v>
                </c:pt>
                <c:pt idx="226">
                  <c:v>2574465.6468813233</c:v>
                </c:pt>
                <c:pt idx="227">
                  <c:v>4141564.6510202382</c:v>
                </c:pt>
                <c:pt idx="228">
                  <c:v>3036481.3104645303</c:v>
                </c:pt>
                <c:pt idx="229">
                  <c:v>4525300.4291615244</c:v>
                </c:pt>
                <c:pt idx="230">
                  <c:v>2992534.8101204699</c:v>
                </c:pt>
                <c:pt idx="231">
                  <c:v>3463536.6560800592</c:v>
                </c:pt>
                <c:pt idx="232">
                  <c:v>2611880.9478423879</c:v>
                </c:pt>
                <c:pt idx="233">
                  <c:v>2700429.9398274976</c:v>
                </c:pt>
                <c:pt idx="234">
                  <c:v>2698649.1422193954</c:v>
                </c:pt>
                <c:pt idx="235">
                  <c:v>4626167.7624587938</c:v>
                </c:pt>
                <c:pt idx="236">
                  <c:v>4684900.7325825077</c:v>
                </c:pt>
                <c:pt idx="237">
                  <c:v>4657930.9739552457</c:v>
                </c:pt>
                <c:pt idx="238">
                  <c:v>3043339.199200944</c:v>
                </c:pt>
                <c:pt idx="239">
                  <c:v>3916048.3097074032</c:v>
                </c:pt>
                <c:pt idx="240">
                  <c:v>3003204.7317305654</c:v>
                </c:pt>
                <c:pt idx="241">
                  <c:v>4147123.6859984789</c:v>
                </c:pt>
                <c:pt idx="242">
                  <c:v>2834964.5810342627</c:v>
                </c:pt>
                <c:pt idx="243">
                  <c:v>2670917.6712921751</c:v>
                </c:pt>
                <c:pt idx="244">
                  <c:v>3975231.6037158938</c:v>
                </c:pt>
                <c:pt idx="245">
                  <c:v>2507254.4330580318</c:v>
                </c:pt>
                <c:pt idx="246">
                  <c:v>3423480.9847048162</c:v>
                </c:pt>
                <c:pt idx="247">
                  <c:v>4774103.1502205972</c:v>
                </c:pt>
                <c:pt idx="248">
                  <c:v>3881390.6116317385</c:v>
                </c:pt>
                <c:pt idx="249">
                  <c:v>3626470.5155795189</c:v>
                </c:pt>
                <c:pt idx="250">
                  <c:v>3617858.1553361965</c:v>
                </c:pt>
                <c:pt idx="251">
                  <c:v>3975231.6037158938</c:v>
                </c:pt>
                <c:pt idx="252">
                  <c:v>4067008.9653637004</c:v>
                </c:pt>
                <c:pt idx="253">
                  <c:v>3776118.0166306994</c:v>
                </c:pt>
                <c:pt idx="254">
                  <c:v>4762262.0699190013</c:v>
                </c:pt>
                <c:pt idx="255">
                  <c:v>4145860.2817570423</c:v>
                </c:pt>
                <c:pt idx="256">
                  <c:v>3346137.0731060612</c:v>
                </c:pt>
                <c:pt idx="257">
                  <c:v>4303979.9470030554</c:v>
                </c:pt>
                <c:pt idx="258">
                  <c:v>3144657.9494011118</c:v>
                </c:pt>
                <c:pt idx="259">
                  <c:v>4102394.5918358164</c:v>
                </c:pt>
                <c:pt idx="260">
                  <c:v>3062895.6754187262</c:v>
                </c:pt>
                <c:pt idx="261">
                  <c:v>4025044.0753491479</c:v>
                </c:pt>
                <c:pt idx="262">
                  <c:v>2634276.1007505371</c:v>
                </c:pt>
                <c:pt idx="263">
                  <c:v>2655396.6591308089</c:v>
                </c:pt>
                <c:pt idx="264">
                  <c:v>4562879.1519131623</c:v>
                </c:pt>
                <c:pt idx="265">
                  <c:v>4282516.950818643</c:v>
                </c:pt>
                <c:pt idx="266">
                  <c:v>4582548.5644762274</c:v>
                </c:pt>
                <c:pt idx="267">
                  <c:v>3688773.1097688796</c:v>
                </c:pt>
                <c:pt idx="268">
                  <c:v>4129435.3414990548</c:v>
                </c:pt>
                <c:pt idx="269">
                  <c:v>3891257.2468873919</c:v>
                </c:pt>
                <c:pt idx="270">
                  <c:v>2734516.6429937086</c:v>
                </c:pt>
                <c:pt idx="271">
                  <c:v>3476464.4141347017</c:v>
                </c:pt>
                <c:pt idx="272">
                  <c:v>3104034.6368121388</c:v>
                </c:pt>
                <c:pt idx="273">
                  <c:v>4194369.5980315767</c:v>
                </c:pt>
                <c:pt idx="274">
                  <c:v>3503331.3674444184</c:v>
                </c:pt>
                <c:pt idx="275">
                  <c:v>3365919.4926911341</c:v>
                </c:pt>
                <c:pt idx="276">
                  <c:v>2832930.6593664642</c:v>
                </c:pt>
                <c:pt idx="277">
                  <c:v>4006839.8567085885</c:v>
                </c:pt>
                <c:pt idx="278">
                  <c:v>3164966.7139481036</c:v>
                </c:pt>
                <c:pt idx="279">
                  <c:v>4700778.5067332573</c:v>
                </c:pt>
                <c:pt idx="280">
                  <c:v>4662216.1197801819</c:v>
                </c:pt>
                <c:pt idx="281">
                  <c:v>4670534.0950227147</c:v>
                </c:pt>
                <c:pt idx="282">
                  <c:v>3067213.0982557423</c:v>
                </c:pt>
                <c:pt idx="283">
                  <c:v>3768017.9672954087</c:v>
                </c:pt>
                <c:pt idx="284">
                  <c:v>4871829.5539034894</c:v>
                </c:pt>
                <c:pt idx="285">
                  <c:v>2469820.8793773707</c:v>
                </c:pt>
                <c:pt idx="286">
                  <c:v>4554556.9248712799</c:v>
                </c:pt>
                <c:pt idx="287">
                  <c:v>4437254.2606925052</c:v>
                </c:pt>
                <c:pt idx="288">
                  <c:v>4809118.610811647</c:v>
                </c:pt>
                <c:pt idx="289">
                  <c:v>3817879.0044462434</c:v>
                </c:pt>
                <c:pt idx="290">
                  <c:v>3910989.1439183629</c:v>
                </c:pt>
                <c:pt idx="291">
                  <c:v>2994313.1673074546</c:v>
                </c:pt>
                <c:pt idx="292">
                  <c:v>3287539.9316001479</c:v>
                </c:pt>
                <c:pt idx="293">
                  <c:v>2451993.0820719348</c:v>
                </c:pt>
                <c:pt idx="294">
                  <c:v>2474150.2637666394</c:v>
                </c:pt>
                <c:pt idx="295">
                  <c:v>3315699.0047929212</c:v>
                </c:pt>
                <c:pt idx="296">
                  <c:v>4179969.5535490629</c:v>
                </c:pt>
                <c:pt idx="297">
                  <c:v>4792745.201034544</c:v>
                </c:pt>
                <c:pt idx="298">
                  <c:v>4132973.1284488952</c:v>
                </c:pt>
                <c:pt idx="299">
                  <c:v>4212810.3310740814</c:v>
                </c:pt>
                <c:pt idx="300">
                  <c:v>3770549.2658194406</c:v>
                </c:pt>
                <c:pt idx="301">
                  <c:v>4584565.836346128</c:v>
                </c:pt>
                <c:pt idx="302">
                  <c:v>2624351.264680299</c:v>
                </c:pt>
                <c:pt idx="303">
                  <c:v>4499067.0171791706</c:v>
                </c:pt>
                <c:pt idx="304">
                  <c:v>3402943.2014904246</c:v>
                </c:pt>
                <c:pt idx="305">
                  <c:v>3173343.5177327986</c:v>
                </c:pt>
                <c:pt idx="306">
                  <c:v>4367093.7883955901</c:v>
                </c:pt>
                <c:pt idx="307">
                  <c:v>2989486.1634423584</c:v>
                </c:pt>
                <c:pt idx="308">
                  <c:v>4422618.3874738142</c:v>
                </c:pt>
                <c:pt idx="309">
                  <c:v>4433973.8945288835</c:v>
                </c:pt>
                <c:pt idx="310">
                  <c:v>3104542.4758159453</c:v>
                </c:pt>
                <c:pt idx="311">
                  <c:v>3560855.8254230963</c:v>
                </c:pt>
                <c:pt idx="312">
                  <c:v>3112159.916271057</c:v>
                </c:pt>
                <c:pt idx="313">
                  <c:v>4648856.2595732007</c:v>
                </c:pt>
                <c:pt idx="314">
                  <c:v>2713658.2590891556</c:v>
                </c:pt>
                <c:pt idx="315">
                  <c:v>2489175.0966669475</c:v>
                </c:pt>
                <c:pt idx="316">
                  <c:v>3348166.1235135491</c:v>
                </c:pt>
                <c:pt idx="317">
                  <c:v>2631731.3147700229</c:v>
                </c:pt>
                <c:pt idx="318">
                  <c:v>4543712.3179628318</c:v>
                </c:pt>
                <c:pt idx="319">
                  <c:v>3662436.0239721979</c:v>
                </c:pt>
                <c:pt idx="320">
                  <c:v>3942859.8782080291</c:v>
                </c:pt>
                <c:pt idx="321">
                  <c:v>4792241.3835713519</c:v>
                </c:pt>
                <c:pt idx="322">
                  <c:v>4871325.9261896331</c:v>
                </c:pt>
                <c:pt idx="323">
                  <c:v>3351463.2893309384</c:v>
                </c:pt>
                <c:pt idx="324">
                  <c:v>3709789.7945388965</c:v>
                </c:pt>
                <c:pt idx="325">
                  <c:v>4878376.6041695997</c:v>
                </c:pt>
                <c:pt idx="326">
                  <c:v>2513110.7928286511</c:v>
                </c:pt>
                <c:pt idx="327">
                  <c:v>2904360.591072598</c:v>
                </c:pt>
                <c:pt idx="328">
                  <c:v>3993944.2575675528</c:v>
                </c:pt>
                <c:pt idx="329">
                  <c:v>4238826.7173239645</c:v>
                </c:pt>
                <c:pt idx="330">
                  <c:v>3880125.6252838382</c:v>
                </c:pt>
                <c:pt idx="331">
                  <c:v>3669780.3463476128</c:v>
                </c:pt>
                <c:pt idx="332">
                  <c:v>3608992.1269626119</c:v>
                </c:pt>
                <c:pt idx="333">
                  <c:v>4212810.3310740814</c:v>
                </c:pt>
                <c:pt idx="334">
                  <c:v>2712895.1090061786</c:v>
                </c:pt>
                <c:pt idx="335">
                  <c:v>4454916.8950063437</c:v>
                </c:pt>
                <c:pt idx="336">
                  <c:v>3899352.6056713467</c:v>
                </c:pt>
                <c:pt idx="337">
                  <c:v>3616844.9136105981</c:v>
                </c:pt>
                <c:pt idx="338">
                  <c:v>2896735.7549867821</c:v>
                </c:pt>
                <c:pt idx="339">
                  <c:v>4078636.3221974303</c:v>
                </c:pt>
                <c:pt idx="340">
                  <c:v>3678643.8466184158</c:v>
                </c:pt>
                <c:pt idx="341">
                  <c:v>3795101.2996105514</c:v>
                </c:pt>
                <c:pt idx="342">
                  <c:v>3242376.1956595066</c:v>
                </c:pt>
                <c:pt idx="343">
                  <c:v>3882655.5904546645</c:v>
                </c:pt>
                <c:pt idx="344">
                  <c:v>4290849.9019670459</c:v>
                </c:pt>
                <c:pt idx="345">
                  <c:v>3560855.8254230963</c:v>
                </c:pt>
                <c:pt idx="346">
                  <c:v>2558683.0868979939</c:v>
                </c:pt>
                <c:pt idx="347">
                  <c:v>2678296.1192002287</c:v>
                </c:pt>
                <c:pt idx="348">
                  <c:v>4550017.3898474742</c:v>
                </c:pt>
                <c:pt idx="349">
                  <c:v>4258778.8673892505</c:v>
                </c:pt>
                <c:pt idx="350">
                  <c:v>4730010.6390936049</c:v>
                </c:pt>
                <c:pt idx="351">
                  <c:v>4349171.3723706137</c:v>
                </c:pt>
                <c:pt idx="352">
                  <c:v>3271556.1046102671</c:v>
                </c:pt>
                <c:pt idx="353">
                  <c:v>4701534.5613302132</c:v>
                </c:pt>
                <c:pt idx="354">
                  <c:v>3503584.8131649252</c:v>
                </c:pt>
                <c:pt idx="355">
                  <c:v>2637329.8040723274</c:v>
                </c:pt>
                <c:pt idx="356">
                  <c:v>4328722.8172265142</c:v>
                </c:pt>
                <c:pt idx="357">
                  <c:v>3707510.9771341011</c:v>
                </c:pt>
                <c:pt idx="358">
                  <c:v>2750794.9474525987</c:v>
                </c:pt>
                <c:pt idx="359">
                  <c:v>3959552.1650846777</c:v>
                </c:pt>
                <c:pt idx="360">
                  <c:v>4005322.7680402882</c:v>
                </c:pt>
                <c:pt idx="361">
                  <c:v>2612389.9545587176</c:v>
                </c:pt>
                <c:pt idx="362">
                  <c:v>3824964.9042895017</c:v>
                </c:pt>
                <c:pt idx="363">
                  <c:v>4588096.0156577975</c:v>
                </c:pt>
                <c:pt idx="364">
                  <c:v>3645213.8616864635</c:v>
                </c:pt>
                <c:pt idx="365">
                  <c:v>2770123.8288170965</c:v>
                </c:pt>
                <c:pt idx="366">
                  <c:v>2999902.1937555568</c:v>
                </c:pt>
                <c:pt idx="367">
                  <c:v>3343600.7330011046</c:v>
                </c:pt>
                <c:pt idx="368">
                  <c:v>4591373.9863564633</c:v>
                </c:pt>
                <c:pt idx="369">
                  <c:v>2990502.3838238679</c:v>
                </c:pt>
                <c:pt idx="370">
                  <c:v>4157988.6516785147</c:v>
                </c:pt>
                <c:pt idx="371">
                  <c:v>4098856.2947690929</c:v>
                </c:pt>
                <c:pt idx="372">
                  <c:v>3130440.6671906374</c:v>
                </c:pt>
                <c:pt idx="373">
                  <c:v>4616839.5601960849</c:v>
                </c:pt>
                <c:pt idx="374">
                  <c:v>3578338.1597569818</c:v>
                </c:pt>
                <c:pt idx="375">
                  <c:v>3135518.3764209263</c:v>
                </c:pt>
                <c:pt idx="376">
                  <c:v>3135264.4938210738</c:v>
                </c:pt>
                <c:pt idx="377">
                  <c:v>3934513.2430445161</c:v>
                </c:pt>
                <c:pt idx="378">
                  <c:v>2602718.6203953903</c:v>
                </c:pt>
                <c:pt idx="379">
                  <c:v>4332004.8172964752</c:v>
                </c:pt>
                <c:pt idx="380">
                  <c:v>3420692.0189284412</c:v>
                </c:pt>
                <c:pt idx="381">
                  <c:v>4813148.7928467635</c:v>
                </c:pt>
                <c:pt idx="382">
                  <c:v>2582356.491468166</c:v>
                </c:pt>
                <c:pt idx="383">
                  <c:v>3969668.0643996107</c:v>
                </c:pt>
                <c:pt idx="384">
                  <c:v>2797079.6216535121</c:v>
                </c:pt>
                <c:pt idx="385">
                  <c:v>3544385.6489966442</c:v>
                </c:pt>
                <c:pt idx="386">
                  <c:v>4859742.1551167322</c:v>
                </c:pt>
                <c:pt idx="387">
                  <c:v>3391786.0469739772</c:v>
                </c:pt>
                <c:pt idx="388">
                  <c:v>2612389.9545587176</c:v>
                </c:pt>
                <c:pt idx="389">
                  <c:v>3996978.5866354462</c:v>
                </c:pt>
                <c:pt idx="390">
                  <c:v>3186542.664128962</c:v>
                </c:pt>
                <c:pt idx="391">
                  <c:v>3944883.255546527</c:v>
                </c:pt>
                <c:pt idx="392">
                  <c:v>4214325.9363758191</c:v>
                </c:pt>
                <c:pt idx="393">
                  <c:v>2451229.0005157515</c:v>
                </c:pt>
                <c:pt idx="394">
                  <c:v>3967392.0290481644</c:v>
                </c:pt>
                <c:pt idx="395">
                  <c:v>4440534.5759071913</c:v>
                </c:pt>
                <c:pt idx="396">
                  <c:v>3879113.6307875458</c:v>
                </c:pt>
                <c:pt idx="397">
                  <c:v>2793011.0399367521</c:v>
                </c:pt>
                <c:pt idx="398">
                  <c:v>3484829.0168656111</c:v>
                </c:pt>
                <c:pt idx="399">
                  <c:v>3695356.8725902569</c:v>
                </c:pt>
                <c:pt idx="400">
                  <c:v>2951628.5187167865</c:v>
                </c:pt>
                <c:pt idx="401">
                  <c:v>3830279.1743169669</c:v>
                </c:pt>
                <c:pt idx="402">
                  <c:v>3083720.0885145464</c:v>
                </c:pt>
                <c:pt idx="403">
                  <c:v>3049942.8844472039</c:v>
                </c:pt>
                <c:pt idx="404">
                  <c:v>2779533.3114066264</c:v>
                </c:pt>
                <c:pt idx="405">
                  <c:v>4373404.1366100861</c:v>
                </c:pt>
                <c:pt idx="406">
                  <c:v>4111240.076290058</c:v>
                </c:pt>
                <c:pt idx="407">
                  <c:v>3853812.2032043925</c:v>
                </c:pt>
                <c:pt idx="408">
                  <c:v>4707834.9106409214</c:v>
                </c:pt>
                <c:pt idx="409">
                  <c:v>3239584.8652532799</c:v>
                </c:pt>
                <c:pt idx="410">
                  <c:v>2845133.8998457436</c:v>
                </c:pt>
                <c:pt idx="411">
                  <c:v>4913374.6758876834</c:v>
                </c:pt>
                <c:pt idx="412">
                  <c:v>2484336.7060048315</c:v>
                </c:pt>
                <c:pt idx="413">
                  <c:v>4303727.4538202276</c:v>
                </c:pt>
                <c:pt idx="414">
                  <c:v>3167251.3293275353</c:v>
                </c:pt>
                <c:pt idx="415">
                  <c:v>2517693.9194096769</c:v>
                </c:pt>
                <c:pt idx="416">
                  <c:v>2520240.0585411834</c:v>
                </c:pt>
                <c:pt idx="417">
                  <c:v>3849004.5916921957</c:v>
                </c:pt>
                <c:pt idx="418">
                  <c:v>3887715.4304964123</c:v>
                </c:pt>
                <c:pt idx="419">
                  <c:v>3075085.8216189696</c:v>
                </c:pt>
                <c:pt idx="420">
                  <c:v>3630523.2706017867</c:v>
                </c:pt>
                <c:pt idx="421">
                  <c:v>3218014.2652809271</c:v>
                </c:pt>
                <c:pt idx="422">
                  <c:v>3819144.3610103503</c:v>
                </c:pt>
                <c:pt idx="423">
                  <c:v>2860641.1820237963</c:v>
                </c:pt>
                <c:pt idx="424">
                  <c:v>4620117.0837400807</c:v>
                </c:pt>
                <c:pt idx="425">
                  <c:v>3758145.615475269</c:v>
                </c:pt>
                <c:pt idx="426">
                  <c:v>4307009.8416948151</c:v>
                </c:pt>
                <c:pt idx="427">
                  <c:v>3225120.1149970116</c:v>
                </c:pt>
                <c:pt idx="428">
                  <c:v>4310039.6929976167</c:v>
                </c:pt>
                <c:pt idx="429">
                  <c:v>4280496.7920381576</c:v>
                </c:pt>
                <c:pt idx="430">
                  <c:v>4166073.8461355465</c:v>
                </c:pt>
                <c:pt idx="431">
                  <c:v>2977545.2127439091</c:v>
                </c:pt>
                <c:pt idx="432">
                  <c:v>4042235.5154244062</c:v>
                </c:pt>
                <c:pt idx="433">
                  <c:v>3600632.3910960816</c:v>
                </c:pt>
                <c:pt idx="434">
                  <c:v>4737821.9865112239</c:v>
                </c:pt>
                <c:pt idx="435">
                  <c:v>3466578.5519393394</c:v>
                </c:pt>
                <c:pt idx="436">
                  <c:v>2627150.6239170283</c:v>
                </c:pt>
                <c:pt idx="437">
                  <c:v>3060609.9457235336</c:v>
                </c:pt>
                <c:pt idx="438">
                  <c:v>4839594.9432052616</c:v>
                </c:pt>
                <c:pt idx="439">
                  <c:v>3502824.4751004325</c:v>
                </c:pt>
                <c:pt idx="440">
                  <c:v>3950194.5293977717</c:v>
                </c:pt>
                <c:pt idx="441">
                  <c:v>4009115.4693896379</c:v>
                </c:pt>
                <c:pt idx="442">
                  <c:v>3285764.0098398654</c:v>
                </c:pt>
                <c:pt idx="443">
                  <c:v>4431198.1602888629</c:v>
                </c:pt>
                <c:pt idx="444">
                  <c:v>4283779.540264681</c:v>
                </c:pt>
                <c:pt idx="445">
                  <c:v>2722561.4760369295</c:v>
                </c:pt>
                <c:pt idx="446">
                  <c:v>3948424.1195309907</c:v>
                </c:pt>
                <c:pt idx="447">
                  <c:v>2532970.3009791165</c:v>
                </c:pt>
                <c:pt idx="448">
                  <c:v>2442314.5146606741</c:v>
                </c:pt>
                <c:pt idx="449">
                  <c:v>3084481.9188724784</c:v>
                </c:pt>
                <c:pt idx="450">
                  <c:v>3109620.7995779095</c:v>
                </c:pt>
                <c:pt idx="451">
                  <c:v>4222914.1615903266</c:v>
                </c:pt>
                <c:pt idx="452">
                  <c:v>4840854.2006082516</c:v>
                </c:pt>
                <c:pt idx="453">
                  <c:v>3903653.1396566872</c:v>
                </c:pt>
                <c:pt idx="454">
                  <c:v>4647091.6863552183</c:v>
                </c:pt>
                <c:pt idx="455">
                  <c:v>3243137.4612646746</c:v>
                </c:pt>
                <c:pt idx="456">
                  <c:v>2692543.4381439313</c:v>
                </c:pt>
                <c:pt idx="457">
                  <c:v>3993438.5318415267</c:v>
                </c:pt>
                <c:pt idx="458">
                  <c:v>4842868.9967403496</c:v>
                </c:pt>
                <c:pt idx="459">
                  <c:v>3473169.1776055209</c:v>
                </c:pt>
                <c:pt idx="460">
                  <c:v>2404614.8801864604</c:v>
                </c:pt>
                <c:pt idx="461">
                  <c:v>4697250.2160224989</c:v>
                </c:pt>
                <c:pt idx="462">
                  <c:v>2510564.5690914192</c:v>
                </c:pt>
                <c:pt idx="463">
                  <c:v>3725740.8337857174</c:v>
                </c:pt>
                <c:pt idx="464">
                  <c:v>2796062.4834640604</c:v>
                </c:pt>
                <c:pt idx="465">
                  <c:v>4832039.2401536023</c:v>
                </c:pt>
                <c:pt idx="466">
                  <c:v>4061700.6123785805</c:v>
                </c:pt>
                <c:pt idx="467">
                  <c:v>2812590.381030296</c:v>
                </c:pt>
                <c:pt idx="468">
                  <c:v>2673461.9923508023</c:v>
                </c:pt>
                <c:pt idx="469">
                  <c:v>3212430.9320132863</c:v>
                </c:pt>
                <c:pt idx="470">
                  <c:v>3238823.5870004823</c:v>
                </c:pt>
                <c:pt idx="471">
                  <c:v>4614066.231213104</c:v>
                </c:pt>
                <c:pt idx="472">
                  <c:v>3387728.7553799348</c:v>
                </c:pt>
                <c:pt idx="473">
                  <c:v>3710549.3949231445</c:v>
                </c:pt>
                <c:pt idx="474">
                  <c:v>3923130.9395315698</c:v>
                </c:pt>
                <c:pt idx="475">
                  <c:v>2878435.0412316434</c:v>
                </c:pt>
                <c:pt idx="476">
                  <c:v>3747007.0279559693</c:v>
                </c:pt>
                <c:pt idx="477">
                  <c:v>2606281.7942411206</c:v>
                </c:pt>
                <c:pt idx="478">
                  <c:v>4923193.2294461038</c:v>
                </c:pt>
                <c:pt idx="479">
                  <c:v>4015183.6506527932</c:v>
                </c:pt>
                <c:pt idx="480">
                  <c:v>2563265.2400582233</c:v>
                </c:pt>
                <c:pt idx="481">
                  <c:v>3785483.3144847336</c:v>
                </c:pt>
                <c:pt idx="482">
                  <c:v>2527623.6911567021</c:v>
                </c:pt>
                <c:pt idx="483">
                  <c:v>4302212.4883957924</c:v>
                </c:pt>
                <c:pt idx="484">
                  <c:v>3722702.6326909815</c:v>
                </c:pt>
                <c:pt idx="485">
                  <c:v>3520818.4160388615</c:v>
                </c:pt>
                <c:pt idx="486">
                  <c:v>3144150.2055881424</c:v>
                </c:pt>
                <c:pt idx="487">
                  <c:v>2553337.1178441662</c:v>
                </c:pt>
                <c:pt idx="488">
                  <c:v>3497502.0327991047</c:v>
                </c:pt>
                <c:pt idx="489">
                  <c:v>3159889.7035349673</c:v>
                </c:pt>
                <c:pt idx="490">
                  <c:v>3048926.9461288303</c:v>
                </c:pt>
                <c:pt idx="491">
                  <c:v>2650053.0999382865</c:v>
                </c:pt>
                <c:pt idx="492">
                  <c:v>3235524.6832535081</c:v>
                </c:pt>
                <c:pt idx="493">
                  <c:v>4049313.9390430003</c:v>
                </c:pt>
                <c:pt idx="494">
                  <c:v>3591005.6225760989</c:v>
                </c:pt>
                <c:pt idx="495">
                  <c:v>3404464.5864968188</c:v>
                </c:pt>
                <c:pt idx="496">
                  <c:v>4282264.4320255788</c:v>
                </c:pt>
                <c:pt idx="497">
                  <c:v>2465236.7301064683</c:v>
                </c:pt>
                <c:pt idx="498">
                  <c:v>3581378.4194550663</c:v>
                </c:pt>
                <c:pt idx="499">
                  <c:v>3625710.6154353237</c:v>
                </c:pt>
                <c:pt idx="500">
                  <c:v>2918592.8924382785</c:v>
                </c:pt>
                <c:pt idx="501">
                  <c:v>4824987.0052941367</c:v>
                </c:pt>
                <c:pt idx="502">
                  <c:v>4365074.4371842183</c:v>
                </c:pt>
                <c:pt idx="503">
                  <c:v>4658687.1824978311</c:v>
                </c:pt>
                <c:pt idx="504">
                  <c:v>3022510.8576074908</c:v>
                </c:pt>
                <c:pt idx="505">
                  <c:v>4872333.1804084182</c:v>
                </c:pt>
                <c:pt idx="506">
                  <c:v>4755459.4454831509</c:v>
                </c:pt>
                <c:pt idx="507">
                  <c:v>2789450.967586156</c:v>
                </c:pt>
                <c:pt idx="508">
                  <c:v>3407253.764195533</c:v>
                </c:pt>
                <c:pt idx="509">
                  <c:v>3956770.2083331915</c:v>
                </c:pt>
                <c:pt idx="510">
                  <c:v>3570737.3208989836</c:v>
                </c:pt>
                <c:pt idx="511">
                  <c:v>4424889.5377212577</c:v>
                </c:pt>
                <c:pt idx="512">
                  <c:v>2882756.1840516897</c:v>
                </c:pt>
                <c:pt idx="513">
                  <c:v>3417142.3734431169</c:v>
                </c:pt>
                <c:pt idx="514">
                  <c:v>4679103.7863278389</c:v>
                </c:pt>
                <c:pt idx="515">
                  <c:v>3313923.3169802069</c:v>
                </c:pt>
                <c:pt idx="516">
                  <c:v>2797588.1889383183</c:v>
                </c:pt>
                <c:pt idx="517">
                  <c:v>4599946.8994285762</c:v>
                </c:pt>
                <c:pt idx="518">
                  <c:v>4369365.535452608</c:v>
                </c:pt>
                <c:pt idx="519">
                  <c:v>3332947.7757970672</c:v>
                </c:pt>
                <c:pt idx="520">
                  <c:v>4496796.6647160603</c:v>
                </c:pt>
                <c:pt idx="521">
                  <c:v>3791557.8819699194</c:v>
                </c:pt>
                <c:pt idx="522">
                  <c:v>3983576.6394958827</c:v>
                </c:pt>
                <c:pt idx="523">
                  <c:v>3295658.2431903752</c:v>
                </c:pt>
                <c:pt idx="524">
                  <c:v>4260546.6887428276</c:v>
                </c:pt>
                <c:pt idx="525">
                  <c:v>4860245.8106347434</c:v>
                </c:pt>
                <c:pt idx="526">
                  <c:v>4863015.8943758709</c:v>
                </c:pt>
                <c:pt idx="527">
                  <c:v>4545729.961476855</c:v>
                </c:pt>
                <c:pt idx="528">
                  <c:v>3433875.8998925602</c:v>
                </c:pt>
                <c:pt idx="529">
                  <c:v>4098350.8189416528</c:v>
                </c:pt>
                <c:pt idx="530">
                  <c:v>3298195.1523322733</c:v>
                </c:pt>
                <c:pt idx="531">
                  <c:v>3368709.173728256</c:v>
                </c:pt>
                <c:pt idx="532">
                  <c:v>3361354.4815106066</c:v>
                </c:pt>
                <c:pt idx="533">
                  <c:v>2840811.9983111713</c:v>
                </c:pt>
                <c:pt idx="534">
                  <c:v>3157858.8656350952</c:v>
                </c:pt>
                <c:pt idx="535">
                  <c:v>3637615.4064961448</c:v>
                </c:pt>
                <c:pt idx="536">
                  <c:v>2855302.7361290567</c:v>
                </c:pt>
                <c:pt idx="537">
                  <c:v>2436456.2223108131</c:v>
                </c:pt>
                <c:pt idx="538">
                  <c:v>3258362.2042348208</c:v>
                </c:pt>
                <c:pt idx="539">
                  <c:v>4166073.8461355465</c:v>
                </c:pt>
                <c:pt idx="540">
                  <c:v>3265212.9849025225</c:v>
                </c:pt>
                <c:pt idx="541">
                  <c:v>4236048.4207297657</c:v>
                </c:pt>
                <c:pt idx="542">
                  <c:v>2408690.8356500072</c:v>
                </c:pt>
                <c:pt idx="543">
                  <c:v>3768777.3600128051</c:v>
                </c:pt>
                <c:pt idx="544">
                  <c:v>3400153.9674989195</c:v>
                </c:pt>
                <c:pt idx="545">
                  <c:v>4511679.6416102042</c:v>
                </c:pt>
                <c:pt idx="546">
                  <c:v>4496039.875133656</c:v>
                </c:pt>
                <c:pt idx="547">
                  <c:v>3789533.0454038312</c:v>
                </c:pt>
                <c:pt idx="548">
                  <c:v>4604233.2251713835</c:v>
                </c:pt>
                <c:pt idx="549">
                  <c:v>4612553.4909245055</c:v>
                </c:pt>
                <c:pt idx="550">
                  <c:v>3261407.0227433397</c:v>
                </c:pt>
                <c:pt idx="551">
                  <c:v>3040799.2660223627</c:v>
                </c:pt>
                <c:pt idx="552">
                  <c:v>3163697.4726398261</c:v>
                </c:pt>
                <c:pt idx="553">
                  <c:v>3353745.9127842747</c:v>
                </c:pt>
                <c:pt idx="554">
                  <c:v>2580320.1722652982</c:v>
                </c:pt>
                <c:pt idx="555">
                  <c:v>2869284.0981844012</c:v>
                </c:pt>
                <c:pt idx="556">
                  <c:v>2951120.3168977732</c:v>
                </c:pt>
                <c:pt idx="557">
                  <c:v>4607258.8143723449</c:v>
                </c:pt>
                <c:pt idx="558">
                  <c:v>3806743.5422266554</c:v>
                </c:pt>
                <c:pt idx="559">
                  <c:v>4620117.0837400807</c:v>
                </c:pt>
                <c:pt idx="560">
                  <c:v>2780804.8314309786</c:v>
                </c:pt>
                <c:pt idx="561">
                  <c:v>4658183.0437712558</c:v>
                </c:pt>
                <c:pt idx="562">
                  <c:v>3212938.513787996</c:v>
                </c:pt>
                <c:pt idx="563">
                  <c:v>4574227.1139229061</c:v>
                </c:pt>
                <c:pt idx="564">
                  <c:v>4001024.2912902767</c:v>
                </c:pt>
                <c:pt idx="565">
                  <c:v>4850172.4706026576</c:v>
                </c:pt>
                <c:pt idx="566">
                  <c:v>4678599.696498422</c:v>
                </c:pt>
                <c:pt idx="567">
                  <c:v>4077878.035737982</c:v>
                </c:pt>
                <c:pt idx="568">
                  <c:v>2886823.0623971284</c:v>
                </c:pt>
                <c:pt idx="569">
                  <c:v>4000771.4370072507</c:v>
                </c:pt>
                <c:pt idx="570">
                  <c:v>4487967.2840522118</c:v>
                </c:pt>
                <c:pt idx="571">
                  <c:v>4472073.4680017773</c:v>
                </c:pt>
                <c:pt idx="572">
                  <c:v>3321279.6418740428</c:v>
                </c:pt>
                <c:pt idx="573">
                  <c:v>3448073.0152712008</c:v>
                </c:pt>
                <c:pt idx="574">
                  <c:v>3984335.2628559084</c:v>
                </c:pt>
                <c:pt idx="575">
                  <c:v>4573470.6021273835</c:v>
                </c:pt>
                <c:pt idx="576">
                  <c:v>4113514.5698124398</c:v>
                </c:pt>
                <c:pt idx="577">
                  <c:v>4538920.3372500297</c:v>
                </c:pt>
                <c:pt idx="578">
                  <c:v>4509913.9195763711</c:v>
                </c:pt>
                <c:pt idx="579">
                  <c:v>3195680.0576415211</c:v>
                </c:pt>
                <c:pt idx="580">
                  <c:v>4078383.5603453852</c:v>
                </c:pt>
                <c:pt idx="581">
                  <c:v>3559082.1752139959</c:v>
                </c:pt>
                <c:pt idx="582">
                  <c:v>4879887.4329080423</c:v>
                </c:pt>
                <c:pt idx="583">
                  <c:v>4213568.1350804204</c:v>
                </c:pt>
                <c:pt idx="584">
                  <c:v>4559096.362162428</c:v>
                </c:pt>
                <c:pt idx="585">
                  <c:v>4379461.8936785348</c:v>
                </c:pt>
                <c:pt idx="586">
                  <c:v>3912506.906297544</c:v>
                </c:pt>
                <c:pt idx="587">
                  <c:v>3909724.3336579297</c:v>
                </c:pt>
                <c:pt idx="588">
                  <c:v>4372142.0820365492</c:v>
                </c:pt>
                <c:pt idx="589">
                  <c:v>3286017.7138517788</c:v>
                </c:pt>
                <c:pt idx="590">
                  <c:v>2944005.3648283128</c:v>
                </c:pt>
                <c:pt idx="591">
                  <c:v>3628243.6053821761</c:v>
                </c:pt>
                <c:pt idx="592">
                  <c:v>4858483.0110331047</c:v>
                </c:pt>
                <c:pt idx="593">
                  <c:v>4153440.5942714275</c:v>
                </c:pt>
                <c:pt idx="594">
                  <c:v>3326099.1657198719</c:v>
                </c:pt>
                <c:pt idx="595">
                  <c:v>4712371.0453077694</c:v>
                </c:pt>
                <c:pt idx="596">
                  <c:v>4835565.2687524948</c:v>
                </c:pt>
                <c:pt idx="597">
                  <c:v>3263183.1468489058</c:v>
                </c:pt>
                <c:pt idx="598">
                  <c:v>3868740.4095307859</c:v>
                </c:pt>
                <c:pt idx="599">
                  <c:v>3450101.0975517631</c:v>
                </c:pt>
                <c:pt idx="600">
                  <c:v>3116730.2504041907</c:v>
                </c:pt>
                <c:pt idx="601">
                  <c:v>4491751.3495692117</c:v>
                </c:pt>
                <c:pt idx="602">
                  <c:v>3385446.494991431</c:v>
                </c:pt>
                <c:pt idx="603">
                  <c:v>3712321.7852859851</c:v>
                </c:pt>
                <c:pt idx="604">
                  <c:v>3575297.8567188713</c:v>
                </c:pt>
                <c:pt idx="605">
                  <c:v>4123370.4265502472</c:v>
                </c:pt>
                <c:pt idx="606">
                  <c:v>3221313.4391540457</c:v>
                </c:pt>
                <c:pt idx="607">
                  <c:v>4312564.535938588</c:v>
                </c:pt>
                <c:pt idx="608">
                  <c:v>2489939.0431139939</c:v>
                </c:pt>
                <c:pt idx="609">
                  <c:v>3499783.0957532413</c:v>
                </c:pt>
                <c:pt idx="610">
                  <c:v>4720687.0381348208</c:v>
                </c:pt>
                <c:pt idx="611">
                  <c:v>4066756.1896610684</c:v>
                </c:pt>
                <c:pt idx="612">
                  <c:v>3748779.114945706</c:v>
                </c:pt>
                <c:pt idx="613">
                  <c:v>3967139.1347261546</c:v>
                </c:pt>
                <c:pt idx="614">
                  <c:v>4169611.0217333394</c:v>
                </c:pt>
                <c:pt idx="615">
                  <c:v>4317614.131424712</c:v>
                </c:pt>
                <c:pt idx="616">
                  <c:v>3622670.9877716117</c:v>
                </c:pt>
                <c:pt idx="617">
                  <c:v>4338063.7605529623</c:v>
                </c:pt>
                <c:pt idx="618">
                  <c:v>2906393.8348677405</c:v>
                </c:pt>
                <c:pt idx="619">
                  <c:v>3880378.623155416</c:v>
                </c:pt>
                <c:pt idx="620">
                  <c:v>3459734.225302462</c:v>
                </c:pt>
                <c:pt idx="621">
                  <c:v>3427537.5971770962</c:v>
                </c:pt>
                <c:pt idx="622">
                  <c:v>4811133.7114965739</c:v>
                </c:pt>
                <c:pt idx="623">
                  <c:v>4098098.0805762541</c:v>
                </c:pt>
                <c:pt idx="624">
                  <c:v>4603981.0907767545</c:v>
                </c:pt>
                <c:pt idx="625">
                  <c:v>2575992.9297768269</c:v>
                </c:pt>
                <c:pt idx="626">
                  <c:v>3637108.8331859224</c:v>
                </c:pt>
                <c:pt idx="627">
                  <c:v>3785483.3144847336</c:v>
                </c:pt>
                <c:pt idx="628">
                  <c:v>3341318.0011657099</c:v>
                </c:pt>
                <c:pt idx="629">
                  <c:v>3137295.5461855857</c:v>
                </c:pt>
                <c:pt idx="630">
                  <c:v>3254302.378772344</c:v>
                </c:pt>
                <c:pt idx="631">
                  <c:v>4285799.6677114153</c:v>
                </c:pt>
                <c:pt idx="632">
                  <c:v>3544385.6489966442</c:v>
                </c:pt>
                <c:pt idx="633">
                  <c:v>3917313.0823414242</c:v>
                </c:pt>
                <c:pt idx="634">
                  <c:v>2476187.5909011476</c:v>
                </c:pt>
                <c:pt idx="635">
                  <c:v>4413533.5423092227</c:v>
                </c:pt>
                <c:pt idx="636">
                  <c:v>4026813.8466946781</c:v>
                </c:pt>
                <c:pt idx="637">
                  <c:v>3730804.4059681394</c:v>
                </c:pt>
                <c:pt idx="638">
                  <c:v>2654633.3016830646</c:v>
                </c:pt>
                <c:pt idx="639">
                  <c:v>2982118.4214622756</c:v>
                </c:pt>
                <c:pt idx="640">
                  <c:v>3602912.3515642579</c:v>
                </c:pt>
                <c:pt idx="641">
                  <c:v>3923130.9395315698</c:v>
                </c:pt>
                <c:pt idx="642">
                  <c:v>2597882.7897877535</c:v>
                </c:pt>
                <c:pt idx="643">
                  <c:v>3869499.4428770654</c:v>
                </c:pt>
                <c:pt idx="644">
                  <c:v>3616844.9136105981</c:v>
                </c:pt>
                <c:pt idx="645">
                  <c:v>3307074.0972197116</c:v>
                </c:pt>
                <c:pt idx="646">
                  <c:v>3654838.1827484295</c:v>
                </c:pt>
                <c:pt idx="647">
                  <c:v>3354253.1591289337</c:v>
                </c:pt>
                <c:pt idx="648">
                  <c:v>2880722.7159325867</c:v>
                </c:pt>
                <c:pt idx="649">
                  <c:v>3228419.1792522082</c:v>
                </c:pt>
                <c:pt idx="650">
                  <c:v>4630957.759842163</c:v>
                </c:pt>
                <c:pt idx="651">
                  <c:v>2781059.1345308116</c:v>
                </c:pt>
                <c:pt idx="652">
                  <c:v>2742401.6010564314</c:v>
                </c:pt>
                <c:pt idx="653">
                  <c:v>2497578.3579897443</c:v>
                </c:pt>
                <c:pt idx="654">
                  <c:v>4347151.8499808088</c:v>
                </c:pt>
                <c:pt idx="655">
                  <c:v>3500289.9953210237</c:v>
                </c:pt>
                <c:pt idx="656">
                  <c:v>4546486.5728177261</c:v>
                </c:pt>
                <c:pt idx="657">
                  <c:v>2464472.6957065994</c:v>
                </c:pt>
                <c:pt idx="658">
                  <c:v>4145102.2355983136</c:v>
                </c:pt>
                <c:pt idx="659">
                  <c:v>4318876.5114635723</c:v>
                </c:pt>
                <c:pt idx="660">
                  <c:v>4572966.2594219986</c:v>
                </c:pt>
                <c:pt idx="661">
                  <c:v>4474596.3758517094</c:v>
                </c:pt>
                <c:pt idx="662">
                  <c:v>2836490.0096181026</c:v>
                </c:pt>
                <c:pt idx="663">
                  <c:v>4054117.0206361702</c:v>
                </c:pt>
                <c:pt idx="664">
                  <c:v>4168600.4061574577</c:v>
                </c:pt>
                <c:pt idx="665">
                  <c:v>4802821.2965557128</c:v>
                </c:pt>
                <c:pt idx="666">
                  <c:v>4302717.4780758349</c:v>
                </c:pt>
                <c:pt idx="667">
                  <c:v>4048808.3451840957</c:v>
                </c:pt>
                <c:pt idx="668">
                  <c:v>4674314.8841996472</c:v>
                </c:pt>
                <c:pt idx="669">
                  <c:v>4799042.8173751142</c:v>
                </c:pt>
                <c:pt idx="670">
                  <c:v>4819697.6737011783</c:v>
                </c:pt>
                <c:pt idx="671">
                  <c:v>3116476.3455129396</c:v>
                </c:pt>
                <c:pt idx="672">
                  <c:v>4906576.9463603776</c:v>
                </c:pt>
                <c:pt idx="673">
                  <c:v>3277645.3224763302</c:v>
                </c:pt>
                <c:pt idx="674">
                  <c:v>3207355.048011384</c:v>
                </c:pt>
                <c:pt idx="675">
                  <c:v>2601191.5277707498</c:v>
                </c:pt>
                <c:pt idx="676">
                  <c:v>3682695.6096635275</c:v>
                </c:pt>
                <c:pt idx="677">
                  <c:v>4111240.076290058</c:v>
                </c:pt>
                <c:pt idx="678">
                  <c:v>3337006.1078300765</c:v>
                </c:pt>
                <c:pt idx="679">
                  <c:v>3854318.2612533211</c:v>
                </c:pt>
                <c:pt idx="680">
                  <c:v>4868807.7694865847</c:v>
                </c:pt>
                <c:pt idx="681">
                  <c:v>3582898.533051624</c:v>
                </c:pt>
                <c:pt idx="682">
                  <c:v>4023527.1167398766</c:v>
                </c:pt>
                <c:pt idx="683">
                  <c:v>3148465.9895933336</c:v>
                </c:pt>
                <c:pt idx="684">
                  <c:v>4756215.3035146836</c:v>
                </c:pt>
                <c:pt idx="685">
                  <c:v>3036735.3102609101</c:v>
                </c:pt>
                <c:pt idx="686">
                  <c:v>4079900.1269410979</c:v>
                </c:pt>
                <c:pt idx="687">
                  <c:v>4365326.857140474</c:v>
                </c:pt>
                <c:pt idx="688">
                  <c:v>4685908.8808480725</c:v>
                </c:pt>
                <c:pt idx="689">
                  <c:v>3821168.9158619484</c:v>
                </c:pt>
                <c:pt idx="690">
                  <c:v>4848913.2691020248</c:v>
                </c:pt>
                <c:pt idx="691">
                  <c:v>3785989.5350632453</c:v>
                </c:pt>
                <c:pt idx="692">
                  <c:v>3473169.1776055209</c:v>
                </c:pt>
                <c:pt idx="693">
                  <c:v>4743365.3473456949</c:v>
                </c:pt>
                <c:pt idx="694">
                  <c:v>2617225.4581210334</c:v>
                </c:pt>
                <c:pt idx="695">
                  <c:v>2752066.6379390708</c:v>
                </c:pt>
                <c:pt idx="696">
                  <c:v>2455813.4490429773</c:v>
                </c:pt>
                <c:pt idx="697">
                  <c:v>4623394.5562882498</c:v>
                </c:pt>
                <c:pt idx="698">
                  <c:v>3793329.5981641086</c:v>
                </c:pt>
                <c:pt idx="699">
                  <c:v>2612644.4574639248</c:v>
                </c:pt>
                <c:pt idx="700">
                  <c:v>2990502.3838238679</c:v>
                </c:pt>
                <c:pt idx="701">
                  <c:v>4801813.7087534284</c:v>
                </c:pt>
                <c:pt idx="702">
                  <c:v>4651377.052803033</c:v>
                </c:pt>
                <c:pt idx="703">
                  <c:v>4712623.0499211084</c:v>
                </c:pt>
                <c:pt idx="704">
                  <c:v>3882908.585316252</c:v>
                </c:pt>
                <c:pt idx="705">
                  <c:v>4096581.6440603975</c:v>
                </c:pt>
                <c:pt idx="706">
                  <c:v>4012908.1030007205</c:v>
                </c:pt>
                <c:pt idx="707">
                  <c:v>2800131.0072632735</c:v>
                </c:pt>
                <c:pt idx="708">
                  <c:v>3946400.7759073488</c:v>
                </c:pt>
                <c:pt idx="709">
                  <c:v>3847233.3390082642</c:v>
                </c:pt>
                <c:pt idx="710">
                  <c:v>3217252.9102364136</c:v>
                </c:pt>
                <c:pt idx="711">
                  <c:v>3285510.3055268512</c:v>
                </c:pt>
                <c:pt idx="712">
                  <c:v>4525804.8858853597</c:v>
                </c:pt>
                <c:pt idx="713">
                  <c:v>2866996.3013604013</c:v>
                </c:pt>
                <c:pt idx="714">
                  <c:v>3612538.5825542202</c:v>
                </c:pt>
                <c:pt idx="715">
                  <c:v>2443588.0353133176</c:v>
                </c:pt>
                <c:pt idx="716">
                  <c:v>4437758.9278879091</c:v>
                </c:pt>
                <c:pt idx="717">
                  <c:v>2503180.3493725602</c:v>
                </c:pt>
                <c:pt idx="718">
                  <c:v>4009874.0015309323</c:v>
                </c:pt>
                <c:pt idx="719">
                  <c:v>4163294.5953260176</c:v>
                </c:pt>
                <c:pt idx="720">
                  <c:v>2490702.9868410937</c:v>
                </c:pt>
                <c:pt idx="721">
                  <c:v>4105427.3709181221</c:v>
                </c:pt>
                <c:pt idx="722">
                  <c:v>3223343.6747024413</c:v>
                </c:pt>
                <c:pt idx="723">
                  <c:v>4713883.0684590824</c:v>
                </c:pt>
                <c:pt idx="724">
                  <c:v>2567083.6262634536</c:v>
                </c:pt>
                <c:pt idx="725">
                  <c:v>3947412.45012738</c:v>
                </c:pt>
                <c:pt idx="726">
                  <c:v>2596355.6627355507</c:v>
                </c:pt>
                <c:pt idx="727">
                  <c:v>2916305.6220540553</c:v>
                </c:pt>
                <c:pt idx="728">
                  <c:v>3479759.599794881</c:v>
                </c:pt>
                <c:pt idx="729">
                  <c:v>3376824.4023514395</c:v>
                </c:pt>
                <c:pt idx="730">
                  <c:v>3480773.4928409671</c:v>
                </c:pt>
                <c:pt idx="731">
                  <c:v>2642673.6802688735</c:v>
                </c:pt>
                <c:pt idx="732">
                  <c:v>4036420.9194402555</c:v>
                </c:pt>
                <c:pt idx="733">
                  <c:v>3739412.2023919313</c:v>
                </c:pt>
                <c:pt idx="734">
                  <c:v>4680111.9623644333</c:v>
                </c:pt>
                <c:pt idx="735">
                  <c:v>2710096.868797278</c:v>
                </c:pt>
                <c:pt idx="736">
                  <c:v>3052736.6899643205</c:v>
                </c:pt>
                <c:pt idx="737">
                  <c:v>3847486.3760089334</c:v>
                </c:pt>
                <c:pt idx="738">
                  <c:v>2480771.5062287655</c:v>
                </c:pt>
                <c:pt idx="739">
                  <c:v>4462738.4467871711</c:v>
                </c:pt>
                <c:pt idx="740">
                  <c:v>4406972.0222832197</c:v>
                </c:pt>
                <c:pt idx="741">
                  <c:v>2511583.0622123615</c:v>
                </c:pt>
                <c:pt idx="742">
                  <c:v>3295658.2431903752</c:v>
                </c:pt>
                <c:pt idx="743">
                  <c:v>4180727.4750234243</c:v>
                </c:pt>
                <c:pt idx="744">
                  <c:v>4379714.2964556087</c:v>
                </c:pt>
                <c:pt idx="745">
                  <c:v>3618364.7743931962</c:v>
                </c:pt>
                <c:pt idx="746">
                  <c:v>3398632.5517872591</c:v>
                </c:pt>
                <c:pt idx="747">
                  <c:v>3208877.8258606475</c:v>
                </c:pt>
                <c:pt idx="748">
                  <c:v>4316099.2654343853</c:v>
                </c:pt>
                <c:pt idx="749">
                  <c:v>3438946.406607199</c:v>
                </c:pt>
                <c:pt idx="750">
                  <c:v>4137268.9332505181</c:v>
                </c:pt>
                <c:pt idx="751">
                  <c:v>2891652.3801770317</c:v>
                </c:pt>
                <c:pt idx="752">
                  <c:v>3028607.1673156656</c:v>
                </c:pt>
                <c:pt idx="753">
                  <c:v>3322040.6265492123</c:v>
                </c:pt>
                <c:pt idx="754">
                  <c:v>4324935.8307881588</c:v>
                </c:pt>
                <c:pt idx="755">
                  <c:v>4576244.4654372307</c:v>
                </c:pt>
                <c:pt idx="756">
                  <c:v>4395362.6799910357</c:v>
                </c:pt>
                <c:pt idx="757">
                  <c:v>4611040.7397733461</c:v>
                </c:pt>
                <c:pt idx="758">
                  <c:v>2774447.1558885174</c:v>
                </c:pt>
                <c:pt idx="759">
                  <c:v>4543460.1111662528</c:v>
                </c:pt>
                <c:pt idx="760">
                  <c:v>4695738.0733189583</c:v>
                </c:pt>
                <c:pt idx="761">
                  <c:v>3592525.6675512902</c:v>
                </c:pt>
                <c:pt idx="762">
                  <c:v>3365919.4926911341</c:v>
                </c:pt>
                <c:pt idx="763">
                  <c:v>4138785.0788718993</c:v>
                </c:pt>
                <c:pt idx="764">
                  <c:v>2745453.7650372609</c:v>
                </c:pt>
                <c:pt idx="765">
                  <c:v>4137268.9332505181</c:v>
                </c:pt>
                <c:pt idx="766">
                  <c:v>4905569.8565759603</c:v>
                </c:pt>
                <c:pt idx="767">
                  <c:v>4703550.6936387457</c:v>
                </c:pt>
                <c:pt idx="768">
                  <c:v>2418370.9196246061</c:v>
                </c:pt>
                <c:pt idx="769">
                  <c:v>2526605.2741790013</c:v>
                </c:pt>
                <c:pt idx="770">
                  <c:v>3684974.6925180485</c:v>
                </c:pt>
                <c:pt idx="771">
                  <c:v>2522531.5579254134</c:v>
                </c:pt>
                <c:pt idx="772">
                  <c:v>2531951.9093806571</c:v>
                </c:pt>
                <c:pt idx="773">
                  <c:v>2643691.5463532694</c:v>
                </c:pt>
                <c:pt idx="774">
                  <c:v>3572004.146186145</c:v>
                </c:pt>
                <c:pt idx="775">
                  <c:v>4008356.9345388142</c:v>
                </c:pt>
                <c:pt idx="776">
                  <c:v>4430441.1355289854</c:v>
                </c:pt>
                <c:pt idx="777">
                  <c:v>3299209.9075584337</c:v>
                </c:pt>
                <c:pt idx="778">
                  <c:v>3382910.6215164922</c:v>
                </c:pt>
                <c:pt idx="779">
                  <c:v>2901564.8493479365</c:v>
                </c:pt>
                <c:pt idx="780">
                  <c:v>4391576.8869955204</c:v>
                </c:pt>
                <c:pt idx="781">
                  <c:v>3303015.1967510437</c:v>
                </c:pt>
                <c:pt idx="782">
                  <c:v>4461981.5350844543</c:v>
                </c:pt>
                <c:pt idx="783">
                  <c:v>3085497.6884651738</c:v>
                </c:pt>
                <c:pt idx="784">
                  <c:v>3763208.4171825638</c:v>
                </c:pt>
                <c:pt idx="785">
                  <c:v>4002541.4106662855</c:v>
                </c:pt>
                <c:pt idx="786">
                  <c:v>3092861.8738525994</c:v>
                </c:pt>
                <c:pt idx="787">
                  <c:v>3371498.8183384258</c:v>
                </c:pt>
                <c:pt idx="788">
                  <c:v>3888474.3961181515</c:v>
                </c:pt>
                <c:pt idx="789">
                  <c:v>4209779.0879394421</c:v>
                </c:pt>
                <c:pt idx="790">
                  <c:v>3150496.9166508242</c:v>
                </c:pt>
                <c:pt idx="791">
                  <c:v>2569120.0711166942</c:v>
                </c:pt>
                <c:pt idx="792">
                  <c:v>3581885.1251911391</c:v>
                </c:pt>
                <c:pt idx="793">
                  <c:v>2737568.9192237318</c:v>
                </c:pt>
                <c:pt idx="794">
                  <c:v>3449340.5689541316</c:v>
                </c:pt>
                <c:pt idx="795">
                  <c:v>4563131.3354833024</c:v>
                </c:pt>
                <c:pt idx="796">
                  <c:v>4187801.2780688219</c:v>
                </c:pt>
                <c:pt idx="797">
                  <c:v>3467845.9957547076</c:v>
                </c:pt>
                <c:pt idx="798">
                  <c:v>2799368.164933112</c:v>
                </c:pt>
                <c:pt idx="799">
                  <c:v>3098194.4016564498</c:v>
                </c:pt>
                <c:pt idx="800">
                  <c:v>4519246.8543774774</c:v>
                </c:pt>
                <c:pt idx="801">
                  <c:v>2673716.4227964296</c:v>
                </c:pt>
                <c:pt idx="802">
                  <c:v>2548500.1739075286</c:v>
                </c:pt>
                <c:pt idx="803">
                  <c:v>4581792.0825471431</c:v>
                </c:pt>
                <c:pt idx="804">
                  <c:v>3392293.2030045562</c:v>
                </c:pt>
                <c:pt idx="805">
                  <c:v>4240847.2737709619</c:v>
                </c:pt>
                <c:pt idx="806">
                  <c:v>4045774.7567396974</c:v>
                </c:pt>
                <c:pt idx="807">
                  <c:v>2765546.0933543034</c:v>
                </c:pt>
                <c:pt idx="808">
                  <c:v>4678347.6511309352</c:v>
                </c:pt>
                <c:pt idx="809">
                  <c:v>4443562.5139606893</c:v>
                </c:pt>
                <c:pt idx="810">
                  <c:v>3565163.2002461646</c:v>
                </c:pt>
                <c:pt idx="811">
                  <c:v>4060436.6992396466</c:v>
                </c:pt>
                <c:pt idx="812">
                  <c:v>4663980.5662374478</c:v>
                </c:pt>
                <c:pt idx="813">
                  <c:v>4629697.2447767481</c:v>
                </c:pt>
                <c:pt idx="814">
                  <c:v>2450974.3060590923</c:v>
                </c:pt>
                <c:pt idx="815">
                  <c:v>4740845.6559934784</c:v>
                </c:pt>
                <c:pt idx="816">
                  <c:v>4692209.6980805872</c:v>
                </c:pt>
                <c:pt idx="817">
                  <c:v>3614818.4157129964</c:v>
                </c:pt>
                <c:pt idx="818">
                  <c:v>4589356.7796528228</c:v>
                </c:pt>
                <c:pt idx="819">
                  <c:v>3629256.7929338799</c:v>
                </c:pt>
                <c:pt idx="820">
                  <c:v>3578591.5163871688</c:v>
                </c:pt>
                <c:pt idx="821">
                  <c:v>2737314.5645308606</c:v>
                </c:pt>
                <c:pt idx="822">
                  <c:v>3724221.7386557171</c:v>
                </c:pt>
                <c:pt idx="823">
                  <c:v>4593391.1737511251</c:v>
                </c:pt>
                <c:pt idx="824">
                  <c:v>2660994.5307280668</c:v>
                </c:pt>
                <c:pt idx="825">
                  <c:v>3350702.409427437</c:v>
                </c:pt>
                <c:pt idx="826">
                  <c:v>3730551.2302181879</c:v>
                </c:pt>
                <c:pt idx="827">
                  <c:v>3922119.1497196555</c:v>
                </c:pt>
                <c:pt idx="828">
                  <c:v>3294389.7773284046</c:v>
                </c:pt>
                <c:pt idx="829">
                  <c:v>4261304.3219468612</c:v>
                </c:pt>
                <c:pt idx="830">
                  <c:v>3423227.4438666203</c:v>
                </c:pt>
                <c:pt idx="831">
                  <c:v>2954677.7043105969</c:v>
                </c:pt>
                <c:pt idx="832">
                  <c:v>4284032.0572500294</c:v>
                </c:pt>
                <c:pt idx="833">
                  <c:v>4285547.1528350823</c:v>
                </c:pt>
                <c:pt idx="834">
                  <c:v>4147629.0455869585</c:v>
                </c:pt>
                <c:pt idx="835">
                  <c:v>3039783.2843138459</c:v>
                </c:pt>
                <c:pt idx="836">
                  <c:v>4446085.7625089921</c:v>
                </c:pt>
                <c:pt idx="837">
                  <c:v>4765789.269987789</c:v>
                </c:pt>
                <c:pt idx="838">
                  <c:v>4715395.0807414083</c:v>
                </c:pt>
                <c:pt idx="839">
                  <c:v>2989486.1634423584</c:v>
                </c:pt>
                <c:pt idx="840">
                  <c:v>2592283.2707769936</c:v>
                </c:pt>
                <c:pt idx="841">
                  <c:v>4520255.7955718897</c:v>
                </c:pt>
                <c:pt idx="842">
                  <c:v>3945136.1763592274</c:v>
                </c:pt>
                <c:pt idx="843">
                  <c:v>4149650.4718945837</c:v>
                </c:pt>
                <c:pt idx="844">
                  <c:v>2602718.6203953903</c:v>
                </c:pt>
                <c:pt idx="845">
                  <c:v>4888196.7964688819</c:v>
                </c:pt>
                <c:pt idx="846">
                  <c:v>3175120.3733383408</c:v>
                </c:pt>
                <c:pt idx="847">
                  <c:v>2798351.0376031362</c:v>
                </c:pt>
                <c:pt idx="848">
                  <c:v>3291345.4285479384</c:v>
                </c:pt>
                <c:pt idx="849">
                  <c:v>4688429.2303813621</c:v>
                </c:pt>
                <c:pt idx="850">
                  <c:v>3754601.5826496463</c:v>
                </c:pt>
                <c:pt idx="851">
                  <c:v>2816658.5911252666</c:v>
                </c:pt>
                <c:pt idx="852">
                  <c:v>3466325.0622732546</c:v>
                </c:pt>
                <c:pt idx="853">
                  <c:v>2730192.5106185745</c:v>
                </c:pt>
                <c:pt idx="854">
                  <c:v>4493264.9567784723</c:v>
                </c:pt>
                <c:pt idx="855">
                  <c:v>3016922.4212273587</c:v>
                </c:pt>
                <c:pt idx="856">
                  <c:v>4473839.5066627227</c:v>
                </c:pt>
                <c:pt idx="857">
                  <c:v>2892160.7230851995</c:v>
                </c:pt>
                <c:pt idx="858">
                  <c:v>4208768.6639224216</c:v>
                </c:pt>
                <c:pt idx="859">
                  <c:v>4741097.6264875587</c:v>
                </c:pt>
                <c:pt idx="860">
                  <c:v>2596101.1405031788</c:v>
                </c:pt>
                <c:pt idx="861">
                  <c:v>3987875.4693782721</c:v>
                </c:pt>
                <c:pt idx="862">
                  <c:v>4242867.810938457</c:v>
                </c:pt>
                <c:pt idx="863">
                  <c:v>4275951.3642819999</c:v>
                </c:pt>
                <c:pt idx="864">
                  <c:v>4246151.1427157382</c:v>
                </c:pt>
                <c:pt idx="865">
                  <c:v>4825238.8749037022</c:v>
                </c:pt>
                <c:pt idx="866">
                  <c:v>3410296.4619611921</c:v>
                </c:pt>
                <c:pt idx="867">
                  <c:v>2960775.9452814758</c:v>
                </c:pt>
                <c:pt idx="868">
                  <c:v>3167505.1739748218</c:v>
                </c:pt>
                <c:pt idx="869">
                  <c:v>4226702.9737795964</c:v>
                </c:pt>
                <c:pt idx="870">
                  <c:v>3054260.5685158297</c:v>
                </c:pt>
                <c:pt idx="871">
                  <c:v>4675071.0338852834</c:v>
                </c:pt>
                <c:pt idx="872">
                  <c:v>3239077.3467192175</c:v>
                </c:pt>
                <c:pt idx="873">
                  <c:v>3530701.7661494971</c:v>
                </c:pt>
                <c:pt idx="874">
                  <c:v>4521264.7319408394</c:v>
                </c:pt>
                <c:pt idx="875">
                  <c:v>3170551.2862490425</c:v>
                </c:pt>
                <c:pt idx="876">
                  <c:v>3274347.0176615044</c:v>
                </c:pt>
                <c:pt idx="877">
                  <c:v>4082933.2276131697</c:v>
                </c:pt>
                <c:pt idx="878">
                  <c:v>4094306.9689612342</c:v>
                </c:pt>
                <c:pt idx="879">
                  <c:v>4849920.6309069004</c:v>
                </c:pt>
                <c:pt idx="880">
                  <c:v>4616587.4408881664</c:v>
                </c:pt>
                <c:pt idx="881">
                  <c:v>4696242.1220943416</c:v>
                </c:pt>
                <c:pt idx="882">
                  <c:v>3114952.9098392897</c:v>
                </c:pt>
                <c:pt idx="883">
                  <c:v>3471648.2820503809</c:v>
                </c:pt>
                <c:pt idx="884">
                  <c:v>3551987.4268990634</c:v>
                </c:pt>
                <c:pt idx="885">
                  <c:v>4188559.1715326412</c:v>
                </c:pt>
                <c:pt idx="886">
                  <c:v>2929774.7516887588</c:v>
                </c:pt>
                <c:pt idx="887">
                  <c:v>2903089.8039020337</c:v>
                </c:pt>
                <c:pt idx="888">
                  <c:v>3952470.7489810642</c:v>
                </c:pt>
                <c:pt idx="889">
                  <c:v>3900364.5038470021</c:v>
                </c:pt>
                <c:pt idx="890">
                  <c:v>4882657.2573347902</c:v>
                </c:pt>
                <c:pt idx="891">
                  <c:v>4495283.0828372519</c:v>
                </c:pt>
                <c:pt idx="892">
                  <c:v>4631209.8619499411</c:v>
                </c:pt>
                <c:pt idx="893">
                  <c:v>2642928.1472428446</c:v>
                </c:pt>
                <c:pt idx="894">
                  <c:v>2727140.1293768063</c:v>
                </c:pt>
                <c:pt idx="895">
                  <c:v>4527570.4749183711</c:v>
                </c:pt>
                <c:pt idx="896">
                  <c:v>4405710.1681477623</c:v>
                </c:pt>
                <c:pt idx="897">
                  <c:v>4300950.0089228218</c:v>
                </c:pt>
                <c:pt idx="898">
                  <c:v>2868775.7010010029</c:v>
                </c:pt>
                <c:pt idx="899">
                  <c:v>4346142.0815532934</c:v>
                </c:pt>
                <c:pt idx="900">
                  <c:v>4616839.5601960849</c:v>
                </c:pt>
                <c:pt idx="901">
                  <c:v>2615189.4699076563</c:v>
                </c:pt>
                <c:pt idx="902">
                  <c:v>4122106.8807700314</c:v>
                </c:pt>
                <c:pt idx="903">
                  <c:v>2761731.2391305296</c:v>
                </c:pt>
                <c:pt idx="904">
                  <c:v>4081669.4409358269</c:v>
                </c:pt>
                <c:pt idx="905">
                  <c:v>4003047.1147165149</c:v>
                </c:pt>
                <c:pt idx="906">
                  <c:v>2764274.4828223605</c:v>
                </c:pt>
                <c:pt idx="907">
                  <c:v>3656104.5084292823</c:v>
                </c:pt>
                <c:pt idx="908">
                  <c:v>4141311.9641488725</c:v>
                </c:pt>
                <c:pt idx="909">
                  <c:v>4736562.1113935523</c:v>
                </c:pt>
                <c:pt idx="910">
                  <c:v>2677023.9911205568</c:v>
                </c:pt>
                <c:pt idx="911">
                  <c:v>3305044.6566201905</c:v>
                </c:pt>
                <c:pt idx="912">
                  <c:v>3611271.9980432699</c:v>
                </c:pt>
                <c:pt idx="913">
                  <c:v>3638121.9786025072</c:v>
                </c:pt>
                <c:pt idx="914">
                  <c:v>2672189.835594763</c:v>
                </c:pt>
                <c:pt idx="915">
                  <c:v>3055530.4590227278</c:v>
                </c:pt>
                <c:pt idx="916">
                  <c:v>3835593.3116109176</c:v>
                </c:pt>
                <c:pt idx="917">
                  <c:v>4575992.2975538103</c:v>
                </c:pt>
                <c:pt idx="918">
                  <c:v>4096834.3842324996</c:v>
                </c:pt>
                <c:pt idx="919">
                  <c:v>4254232.9732681001</c:v>
                </c:pt>
                <c:pt idx="920">
                  <c:v>3627737.009800531</c:v>
                </c:pt>
                <c:pt idx="921">
                  <c:v>3839135.9960657293</c:v>
                </c:pt>
                <c:pt idx="922">
                  <c:v>3227911.6342178495</c:v>
                </c:pt>
                <c:pt idx="923">
                  <c:v>3180958.5092753097</c:v>
                </c:pt>
                <c:pt idx="924">
                  <c:v>4332004.8172964752</c:v>
                </c:pt>
                <c:pt idx="925">
                  <c:v>2765037.4500466385</c:v>
                </c:pt>
                <c:pt idx="926">
                  <c:v>3944883.255546527</c:v>
                </c:pt>
                <c:pt idx="927">
                  <c:v>3713587.7693733787</c:v>
                </c:pt>
                <c:pt idx="928">
                  <c:v>4761758.1793627273</c:v>
                </c:pt>
                <c:pt idx="929">
                  <c:v>2705009.0657694987</c:v>
                </c:pt>
                <c:pt idx="930">
                  <c:v>2525077.6396482298</c:v>
                </c:pt>
                <c:pt idx="931">
                  <c:v>4661964.0547932778</c:v>
                </c:pt>
                <c:pt idx="932">
                  <c:v>3735108.3476695917</c:v>
                </c:pt>
                <c:pt idx="933">
                  <c:v>2468802.1880027596</c:v>
                </c:pt>
                <c:pt idx="934">
                  <c:v>2853777.4414467886</c:v>
                </c:pt>
                <c:pt idx="935">
                  <c:v>4843120.8448970988</c:v>
                </c:pt>
                <c:pt idx="936">
                  <c:v>2587192.6721049338</c:v>
                </c:pt>
                <c:pt idx="937">
                  <c:v>3407507.3239983292</c:v>
                </c:pt>
                <c:pt idx="938">
                  <c:v>3739665.3676080802</c:v>
                </c:pt>
                <c:pt idx="939">
                  <c:v>3072038.3501481418</c:v>
                </c:pt>
                <c:pt idx="940">
                  <c:v>2672189.835594763</c:v>
                </c:pt>
                <c:pt idx="941">
                  <c:v>4325440.7662306167</c:v>
                </c:pt>
                <c:pt idx="942">
                  <c:v>3993944.2575675528</c:v>
                </c:pt>
                <c:pt idx="943">
                  <c:v>3221059.6583553255</c:v>
                </c:pt>
                <c:pt idx="944">
                  <c:v>2799876.7267882018</c:v>
                </c:pt>
                <c:pt idx="945">
                  <c:v>4041224.2927811635</c:v>
                </c:pt>
                <c:pt idx="946">
                  <c:v>2427541.1227356642</c:v>
                </c:pt>
                <c:pt idx="947">
                  <c:v>4104921.9107489637</c:v>
                </c:pt>
                <c:pt idx="948">
                  <c:v>4316099.2654343853</c:v>
                </c:pt>
                <c:pt idx="949">
                  <c:v>3898087.7261791509</c:v>
                </c:pt>
                <c:pt idx="950">
                  <c:v>2927995.8585752752</c:v>
                </c:pt>
                <c:pt idx="951">
                  <c:v>4535641.5508673545</c:v>
                </c:pt>
                <c:pt idx="952">
                  <c:v>3500796.893684838</c:v>
                </c:pt>
                <c:pt idx="953">
                  <c:v>2707044.2014670246</c:v>
                </c:pt>
                <c:pt idx="954">
                  <c:v>4299687.5219172146</c:v>
                </c:pt>
                <c:pt idx="955">
                  <c:v>3329903.9761925787</c:v>
                </c:pt>
                <c:pt idx="956">
                  <c:v>4230239.1373402532</c:v>
                </c:pt>
                <c:pt idx="957">
                  <c:v>4351443.3120050263</c:v>
                </c:pt>
                <c:pt idx="958">
                  <c:v>2824540.528453433</c:v>
                </c:pt>
                <c:pt idx="959">
                  <c:v>4360783.2518169759</c:v>
                </c:pt>
                <c:pt idx="960">
                  <c:v>2785890.8361092084</c:v>
                </c:pt>
                <c:pt idx="961">
                  <c:v>2573447.4522434338</c:v>
                </c:pt>
                <c:pt idx="962">
                  <c:v>4912619.3834902849</c:v>
                </c:pt>
                <c:pt idx="963">
                  <c:v>3912506.906297544</c:v>
                </c:pt>
                <c:pt idx="964">
                  <c:v>3048164.9892262341</c:v>
                </c:pt>
                <c:pt idx="965">
                  <c:v>3790798.5705149407</c:v>
                </c:pt>
                <c:pt idx="966">
                  <c:v>4317614.131424712</c:v>
                </c:pt>
                <c:pt idx="967">
                  <c:v>3327874.7523705158</c:v>
                </c:pt>
                <c:pt idx="968">
                  <c:v>3828001.6462725289</c:v>
                </c:pt>
                <c:pt idx="969">
                  <c:v>4275193.783498995</c:v>
                </c:pt>
                <c:pt idx="970">
                  <c:v>4907584.0313078733</c:v>
                </c:pt>
                <c:pt idx="971">
                  <c:v>3953482.3943024524</c:v>
                </c:pt>
                <c:pt idx="972">
                  <c:v>3937295.4911893555</c:v>
                </c:pt>
                <c:pt idx="973">
                  <c:v>2843862.7613830604</c:v>
                </c:pt>
                <c:pt idx="974">
                  <c:v>2973225.981510072</c:v>
                </c:pt>
                <c:pt idx="975">
                  <c:v>4599946.8994285762</c:v>
                </c:pt>
                <c:pt idx="976">
                  <c:v>4719931.0523734558</c:v>
                </c:pt>
                <c:pt idx="977">
                  <c:v>3376317.2095938795</c:v>
                </c:pt>
                <c:pt idx="978">
                  <c:v>4914633.4905035514</c:v>
                </c:pt>
                <c:pt idx="979">
                  <c:v>4085713.5318058841</c:v>
                </c:pt>
                <c:pt idx="980">
                  <c:v>2460397.799628472</c:v>
                </c:pt>
                <c:pt idx="981">
                  <c:v>4680111.9623644333</c:v>
                </c:pt>
                <c:pt idx="982">
                  <c:v>4489733.1897367816</c:v>
                </c:pt>
                <c:pt idx="983">
                  <c:v>3751310.6422059662</c:v>
                </c:pt>
                <c:pt idx="984">
                  <c:v>3571497.4169742013</c:v>
                </c:pt>
                <c:pt idx="985">
                  <c:v>3042577.2224112656</c:v>
                </c:pt>
                <c:pt idx="986">
                  <c:v>3037497.3078420744</c:v>
                </c:pt>
                <c:pt idx="987">
                  <c:v>2406907.6146602356</c:v>
                </c:pt>
                <c:pt idx="988">
                  <c:v>4325440.7662306167</c:v>
                </c:pt>
                <c:pt idx="989">
                  <c:v>4866541.402613543</c:v>
                </c:pt>
                <c:pt idx="990">
                  <c:v>4436497.257638352</c:v>
                </c:pt>
                <c:pt idx="991">
                  <c:v>3941595.2575881775</c:v>
                </c:pt>
                <c:pt idx="992">
                  <c:v>3541091.4611152378</c:v>
                </c:pt>
                <c:pt idx="993">
                  <c:v>3909724.3336579297</c:v>
                </c:pt>
                <c:pt idx="994">
                  <c:v>2433654.3737818152</c:v>
                </c:pt>
                <c:pt idx="995">
                  <c:v>4623142.4448258374</c:v>
                </c:pt>
                <c:pt idx="996">
                  <c:v>2558173.9527276186</c:v>
                </c:pt>
                <c:pt idx="997">
                  <c:v>4040465.8726374051</c:v>
                </c:pt>
                <c:pt idx="998">
                  <c:v>3447058.9669066598</c:v>
                </c:pt>
                <c:pt idx="999">
                  <c:v>3273839.5816349052</c:v>
                </c:pt>
              </c:numCache>
            </c:numRef>
          </c:yVal>
          <c:smooth val="0"/>
          <c:extLst>
            <c:ext xmlns:c16="http://schemas.microsoft.com/office/drawing/2014/chart" uri="{C3380CC4-5D6E-409C-BE32-E72D297353CC}">
              <c16:uniqueId val="{00000003-3C09-4549-8FAA-8789CDDB4B00}"/>
            </c:ext>
          </c:extLst>
        </c:ser>
        <c:ser>
          <c:idx val="4"/>
          <c:order val="4"/>
          <c:tx>
            <c:strRef>
              <c:f>Hoja1!$W$8</c:f>
              <c:strCache>
                <c:ptCount val="1"/>
                <c:pt idx="0">
                  <c:v>LSP</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numRef>
              <c:f>Hoja1!$C$9:$C$1008</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Hoja1!$W$9:$W$1008</c:f>
              <c:numCache>
                <c:formatCode>_(* #,##0.00_);_(* \(#,##0.00\);_(* "-"??_);_(@_)</c:formatCode>
                <c:ptCount val="1000"/>
                <c:pt idx="0">
                  <c:v>3808592.0429797918</c:v>
                </c:pt>
                <c:pt idx="1">
                  <c:v>2662321.3474523453</c:v>
                </c:pt>
                <c:pt idx="2">
                  <c:v>4142056.7559654033</c:v>
                </c:pt>
                <c:pt idx="3">
                  <c:v>4894825.907006247</c:v>
                </c:pt>
                <c:pt idx="4">
                  <c:v>3328457.4830452548</c:v>
                </c:pt>
                <c:pt idx="5">
                  <c:v>3449085.2364880214</c:v>
                </c:pt>
                <c:pt idx="6">
                  <c:v>3435425.8278803458</c:v>
                </c:pt>
                <c:pt idx="7">
                  <c:v>4516459.7170995399</c:v>
                </c:pt>
                <c:pt idx="8">
                  <c:v>4633435.5390615826</c:v>
                </c:pt>
                <c:pt idx="9">
                  <c:v>4777962.877940434</c:v>
                </c:pt>
                <c:pt idx="10">
                  <c:v>2655264.8054335802</c:v>
                </c:pt>
                <c:pt idx="11">
                  <c:v>4082172.3110113945</c:v>
                </c:pt>
                <c:pt idx="12">
                  <c:v>3998970.907564695</c:v>
                </c:pt>
                <c:pt idx="13">
                  <c:v>2920550.8563220375</c:v>
                </c:pt>
                <c:pt idx="14">
                  <c:v>3140192.5845039794</c:v>
                </c:pt>
                <c:pt idx="15">
                  <c:v>4941435.9627786539</c:v>
                </c:pt>
                <c:pt idx="16">
                  <c:v>2777527.4524567067</c:v>
                </c:pt>
                <c:pt idx="17">
                  <c:v>4292095.1123397658</c:v>
                </c:pt>
                <c:pt idx="18">
                  <c:v>3708527.4639782878</c:v>
                </c:pt>
                <c:pt idx="19">
                  <c:v>3363601.8987183813</c:v>
                </c:pt>
                <c:pt idx="20">
                  <c:v>4842878.9855727628</c:v>
                </c:pt>
                <c:pt idx="21">
                  <c:v>2641656.4243687107</c:v>
                </c:pt>
                <c:pt idx="22">
                  <c:v>3173284.7860944644</c:v>
                </c:pt>
                <c:pt idx="23">
                  <c:v>3236704.872732047</c:v>
                </c:pt>
                <c:pt idx="24">
                  <c:v>3939633.5920509319</c:v>
                </c:pt>
                <c:pt idx="25">
                  <c:v>4374648.2672154978</c:v>
                </c:pt>
                <c:pt idx="26">
                  <c:v>2878668.0462176958</c:v>
                </c:pt>
                <c:pt idx="27">
                  <c:v>3369923.45356947</c:v>
                </c:pt>
                <c:pt idx="28">
                  <c:v>3952564.679780867</c:v>
                </c:pt>
                <c:pt idx="29">
                  <c:v>3242517.2228279132</c:v>
                </c:pt>
                <c:pt idx="30">
                  <c:v>4168198.0149531132</c:v>
                </c:pt>
                <c:pt idx="31">
                  <c:v>2578917.9833102203</c:v>
                </c:pt>
                <c:pt idx="32">
                  <c:v>3691305.8944165437</c:v>
                </c:pt>
                <c:pt idx="33">
                  <c:v>3123522.1325058406</c:v>
                </c:pt>
                <c:pt idx="34">
                  <c:v>3324918.0799462805</c:v>
                </c:pt>
                <c:pt idx="35">
                  <c:v>4736223.2142804749</c:v>
                </c:pt>
                <c:pt idx="36">
                  <c:v>4503494.5715702213</c:v>
                </c:pt>
                <c:pt idx="37">
                  <c:v>2830235.6016669134</c:v>
                </c:pt>
                <c:pt idx="38">
                  <c:v>4226329.3339043558</c:v>
                </c:pt>
                <c:pt idx="39">
                  <c:v>3590283.8420315282</c:v>
                </c:pt>
                <c:pt idx="40">
                  <c:v>2666605.7913008034</c:v>
                </c:pt>
                <c:pt idx="41">
                  <c:v>3704728.468706978</c:v>
                </c:pt>
                <c:pt idx="42">
                  <c:v>3152064.7655028035</c:v>
                </c:pt>
                <c:pt idx="43">
                  <c:v>3024536.7405298906</c:v>
                </c:pt>
                <c:pt idx="44">
                  <c:v>4590706.5699873511</c:v>
                </c:pt>
                <c:pt idx="45">
                  <c:v>4565785.2511488013</c:v>
                </c:pt>
                <c:pt idx="46">
                  <c:v>3979697.1524079153</c:v>
                </c:pt>
                <c:pt idx="47">
                  <c:v>4380237.6280466197</c:v>
                </c:pt>
                <c:pt idx="48">
                  <c:v>4023826.4728728822</c:v>
                </c:pt>
                <c:pt idx="49">
                  <c:v>4220490.1047479678</c:v>
                </c:pt>
                <c:pt idx="50">
                  <c:v>2991467.7363146516</c:v>
                </c:pt>
                <c:pt idx="51">
                  <c:v>3937605.2571453983</c:v>
                </c:pt>
                <c:pt idx="52">
                  <c:v>4849498.978047492</c:v>
                </c:pt>
                <c:pt idx="53">
                  <c:v>4017231.8576098885</c:v>
                </c:pt>
                <c:pt idx="54">
                  <c:v>4062383.6781862844</c:v>
                </c:pt>
                <c:pt idx="55">
                  <c:v>3044734.0891257212</c:v>
                </c:pt>
                <c:pt idx="56">
                  <c:v>3338064.7315580719</c:v>
                </c:pt>
                <c:pt idx="57">
                  <c:v>2770719.2223553895</c:v>
                </c:pt>
                <c:pt idx="58">
                  <c:v>3474888.7357333051</c:v>
                </c:pt>
                <c:pt idx="59">
                  <c:v>3044481.6103947107</c:v>
                </c:pt>
                <c:pt idx="60">
                  <c:v>3375486.5773920529</c:v>
                </c:pt>
                <c:pt idx="61">
                  <c:v>4353816.4765478428</c:v>
                </c:pt>
                <c:pt idx="62">
                  <c:v>2577154.5207680985</c:v>
                </c:pt>
                <c:pt idx="63">
                  <c:v>2751556.4904702269</c:v>
                </c:pt>
                <c:pt idx="64">
                  <c:v>3772107.3651625752</c:v>
                </c:pt>
                <c:pt idx="65">
                  <c:v>2520479.6221766341</c:v>
                </c:pt>
                <c:pt idx="66">
                  <c:v>2707690.4490826409</c:v>
                </c:pt>
                <c:pt idx="67">
                  <c:v>3507274.0271666413</c:v>
                </c:pt>
                <c:pt idx="68">
                  <c:v>3341351.5215731347</c:v>
                </c:pt>
                <c:pt idx="69">
                  <c:v>3672059.9047170985</c:v>
                </c:pt>
                <c:pt idx="70">
                  <c:v>2683996.483075805</c:v>
                </c:pt>
                <c:pt idx="71">
                  <c:v>4130129.2805286269</c:v>
                </c:pt>
                <c:pt idx="72">
                  <c:v>3427584.7119813217</c:v>
                </c:pt>
                <c:pt idx="73">
                  <c:v>4098664.2364325821</c:v>
                </c:pt>
                <c:pt idx="74">
                  <c:v>3847870.7185191633</c:v>
                </c:pt>
                <c:pt idx="75">
                  <c:v>3429608.1980781918</c:v>
                </c:pt>
                <c:pt idx="76">
                  <c:v>2846126.2770505329</c:v>
                </c:pt>
                <c:pt idx="77">
                  <c:v>2610914.7841818803</c:v>
                </c:pt>
                <c:pt idx="78">
                  <c:v>2488244.6748257065</c:v>
                </c:pt>
                <c:pt idx="79">
                  <c:v>2754329.9364447342</c:v>
                </c:pt>
                <c:pt idx="80">
                  <c:v>2938467.1161010773</c:v>
                </c:pt>
                <c:pt idx="81">
                  <c:v>3080841.6428189576</c:v>
                </c:pt>
                <c:pt idx="82">
                  <c:v>2473639.8309611687</c:v>
                </c:pt>
                <c:pt idx="83">
                  <c:v>3443267.232953738</c:v>
                </c:pt>
                <c:pt idx="84">
                  <c:v>2521487.0434144912</c:v>
                </c:pt>
                <c:pt idx="85">
                  <c:v>4327398.5759400316</c:v>
                </c:pt>
                <c:pt idx="86">
                  <c:v>2619481.6777709606</c:v>
                </c:pt>
                <c:pt idx="87">
                  <c:v>4316222.7505514966</c:v>
                </c:pt>
                <c:pt idx="88">
                  <c:v>2934934.2125972398</c:v>
                </c:pt>
                <c:pt idx="89">
                  <c:v>2630820.7465917235</c:v>
                </c:pt>
                <c:pt idx="90">
                  <c:v>4271017.3965645544</c:v>
                </c:pt>
                <c:pt idx="91">
                  <c:v>4182158.2464421717</c:v>
                </c:pt>
                <c:pt idx="92">
                  <c:v>2997273.3713961891</c:v>
                </c:pt>
                <c:pt idx="93">
                  <c:v>4396244.3296332359</c:v>
                </c:pt>
                <c:pt idx="94">
                  <c:v>3711060.1651128032</c:v>
                </c:pt>
                <c:pt idx="95">
                  <c:v>4388367.8670955095</c:v>
                </c:pt>
                <c:pt idx="96">
                  <c:v>4050967.9918021625</c:v>
                </c:pt>
                <c:pt idx="97">
                  <c:v>3375992.3231424913</c:v>
                </c:pt>
                <c:pt idx="98">
                  <c:v>4819710.6078311279</c:v>
                </c:pt>
                <c:pt idx="99">
                  <c:v>3745001.2639927734</c:v>
                </c:pt>
                <c:pt idx="100">
                  <c:v>4914181.8703762982</c:v>
                </c:pt>
                <c:pt idx="101">
                  <c:v>3447567.4810889536</c:v>
                </c:pt>
                <c:pt idx="102">
                  <c:v>3867892.9540929897</c:v>
                </c:pt>
                <c:pt idx="103">
                  <c:v>3600662.3454345549</c:v>
                </c:pt>
                <c:pt idx="104">
                  <c:v>4389892.3211769126</c:v>
                </c:pt>
                <c:pt idx="105">
                  <c:v>3423537.7975615519</c:v>
                </c:pt>
                <c:pt idx="106">
                  <c:v>4744875.8962917328</c:v>
                </c:pt>
                <c:pt idx="107">
                  <c:v>2768954.1613899255</c:v>
                </c:pt>
                <c:pt idx="108">
                  <c:v>3830384.4797342685</c:v>
                </c:pt>
                <c:pt idx="109">
                  <c:v>4650987.391478423</c:v>
                </c:pt>
                <c:pt idx="110">
                  <c:v>3720431.4209971298</c:v>
                </c:pt>
                <c:pt idx="111">
                  <c:v>2592270.3908163877</c:v>
                </c:pt>
                <c:pt idx="112">
                  <c:v>4582568.6794237094</c:v>
                </c:pt>
                <c:pt idx="113">
                  <c:v>3404568.9130478213</c:v>
                </c:pt>
                <c:pt idx="114">
                  <c:v>4682533.4422070058</c:v>
                </c:pt>
                <c:pt idx="115">
                  <c:v>4414285.0577752488</c:v>
                </c:pt>
                <c:pt idx="116">
                  <c:v>2922064.8478546999</c:v>
                </c:pt>
                <c:pt idx="117">
                  <c:v>3567503.5355216726</c:v>
                </c:pt>
                <c:pt idx="118">
                  <c:v>3902112.5137217315</c:v>
                </c:pt>
                <c:pt idx="119">
                  <c:v>4520018.9133168226</c:v>
                </c:pt>
                <c:pt idx="120">
                  <c:v>2729622.333820329</c:v>
                </c:pt>
                <c:pt idx="121">
                  <c:v>3951804.0058966693</c:v>
                </c:pt>
                <c:pt idx="122">
                  <c:v>2733403.9228725713</c:v>
                </c:pt>
                <c:pt idx="123">
                  <c:v>4251719.1360247703</c:v>
                </c:pt>
                <c:pt idx="124">
                  <c:v>2816363.7643694347</c:v>
                </c:pt>
                <c:pt idx="125">
                  <c:v>3369417.7222612277</c:v>
                </c:pt>
                <c:pt idx="126">
                  <c:v>2516449.9851878076</c:v>
                </c:pt>
                <c:pt idx="127">
                  <c:v>2427565.6381632341</c:v>
                </c:pt>
                <c:pt idx="128">
                  <c:v>4528662.9206360728</c:v>
                </c:pt>
                <c:pt idx="129">
                  <c:v>3166463.8337811395</c:v>
                </c:pt>
                <c:pt idx="130">
                  <c:v>4595029.9493975099</c:v>
                </c:pt>
                <c:pt idx="131">
                  <c:v>2915756.6211585402</c:v>
                </c:pt>
                <c:pt idx="132">
                  <c:v>4146117.3247270091</c:v>
                </c:pt>
                <c:pt idx="133">
                  <c:v>4689148.5218987623</c:v>
                </c:pt>
                <c:pt idx="134">
                  <c:v>2721555.1695608837</c:v>
                </c:pt>
                <c:pt idx="135">
                  <c:v>4537561.5261124186</c:v>
                </c:pt>
                <c:pt idx="136">
                  <c:v>3016205.8946761014</c:v>
                </c:pt>
                <c:pt idx="137">
                  <c:v>4213381.6926530283</c:v>
                </c:pt>
                <c:pt idx="138">
                  <c:v>3302418.9677488259</c:v>
                </c:pt>
                <c:pt idx="139">
                  <c:v>3568769.0441529672</c:v>
                </c:pt>
                <c:pt idx="140">
                  <c:v>2484971.0876799729</c:v>
                </c:pt>
                <c:pt idx="141">
                  <c:v>3089427.5601928127</c:v>
                </c:pt>
                <c:pt idx="142">
                  <c:v>2624017.2324057245</c:v>
                </c:pt>
                <c:pt idx="143">
                  <c:v>3890705.3844715278</c:v>
                </c:pt>
                <c:pt idx="144">
                  <c:v>3889944.9308546167</c:v>
                </c:pt>
                <c:pt idx="145">
                  <c:v>2662825.3951691287</c:v>
                </c:pt>
                <c:pt idx="146">
                  <c:v>4557394.0275002234</c:v>
                </c:pt>
                <c:pt idx="147">
                  <c:v>4315206.7952831304</c:v>
                </c:pt>
                <c:pt idx="148">
                  <c:v>3520685.005332924</c:v>
                </c:pt>
                <c:pt idx="149">
                  <c:v>4273556.7706567021</c:v>
                </c:pt>
                <c:pt idx="150">
                  <c:v>2854198.187732033</c:v>
                </c:pt>
                <c:pt idx="151">
                  <c:v>3653322.0587756112</c:v>
                </c:pt>
                <c:pt idx="152">
                  <c:v>2721555.1695608837</c:v>
                </c:pt>
                <c:pt idx="153">
                  <c:v>4207288.955644561</c:v>
                </c:pt>
                <c:pt idx="154">
                  <c:v>3922393.3592034513</c:v>
                </c:pt>
                <c:pt idx="155">
                  <c:v>3252626.0367776789</c:v>
                </c:pt>
                <c:pt idx="156">
                  <c:v>2832757.8515053317</c:v>
                </c:pt>
                <c:pt idx="157">
                  <c:v>3807325.109308348</c:v>
                </c:pt>
                <c:pt idx="158">
                  <c:v>4045894.5489554992</c:v>
                </c:pt>
                <c:pt idx="159">
                  <c:v>4458503.9511275133</c:v>
                </c:pt>
                <c:pt idx="160">
                  <c:v>2671394.3899840289</c:v>
                </c:pt>
                <c:pt idx="161">
                  <c:v>4421400.1276104422</c:v>
                </c:pt>
                <c:pt idx="162">
                  <c:v>4569345.2630024869</c:v>
                </c:pt>
                <c:pt idx="163">
                  <c:v>3548015.6527006067</c:v>
                </c:pt>
                <c:pt idx="164">
                  <c:v>3578387.1556290947</c:v>
                </c:pt>
                <c:pt idx="165">
                  <c:v>4860957.1361969691</c:v>
                </c:pt>
                <c:pt idx="166">
                  <c:v>4302253.7872199379</c:v>
                </c:pt>
                <c:pt idx="167">
                  <c:v>4403866.9877022924</c:v>
                </c:pt>
                <c:pt idx="168">
                  <c:v>4373123.9213248063</c:v>
                </c:pt>
                <c:pt idx="169">
                  <c:v>3933802.1811036253</c:v>
                </c:pt>
                <c:pt idx="170">
                  <c:v>4594012.6758479699</c:v>
                </c:pt>
                <c:pt idx="171">
                  <c:v>3302166.1822732249</c:v>
                </c:pt>
                <c:pt idx="172">
                  <c:v>3863077.30818167</c:v>
                </c:pt>
                <c:pt idx="173">
                  <c:v>2993739.4876296204</c:v>
                </c:pt>
                <c:pt idx="174">
                  <c:v>4253496.53477896</c:v>
                </c:pt>
                <c:pt idx="175">
                  <c:v>4123785.1494052885</c:v>
                </c:pt>
                <c:pt idx="176">
                  <c:v>3396981.833155755</c:v>
                </c:pt>
                <c:pt idx="177">
                  <c:v>3380544.0890551233</c:v>
                </c:pt>
                <c:pt idx="178">
                  <c:v>4630891.9108959828</c:v>
                </c:pt>
                <c:pt idx="179">
                  <c:v>3148023.0973951453</c:v>
                </c:pt>
                <c:pt idx="180">
                  <c:v>4319524.6383906193</c:v>
                </c:pt>
                <c:pt idx="181">
                  <c:v>3909717.605090403</c:v>
                </c:pt>
                <c:pt idx="182">
                  <c:v>4535019.0298646521</c:v>
                </c:pt>
                <c:pt idx="183">
                  <c:v>4252734.7906516911</c:v>
                </c:pt>
                <c:pt idx="184">
                  <c:v>2910205.536995559</c:v>
                </c:pt>
                <c:pt idx="185">
                  <c:v>3393441.2885476812</c:v>
                </c:pt>
                <c:pt idx="186">
                  <c:v>2780805.5672338274</c:v>
                </c:pt>
                <c:pt idx="187">
                  <c:v>3717645.3289128719</c:v>
                </c:pt>
                <c:pt idx="188">
                  <c:v>3046248.9678244852</c:v>
                </c:pt>
                <c:pt idx="189">
                  <c:v>3177579.5722477492</c:v>
                </c:pt>
                <c:pt idx="190">
                  <c:v>3243780.7982519991</c:v>
                </c:pt>
                <c:pt idx="191">
                  <c:v>2891030.1832338972</c:v>
                </c:pt>
                <c:pt idx="192">
                  <c:v>3541182.6617755974</c:v>
                </c:pt>
                <c:pt idx="193">
                  <c:v>4607746.274064593</c:v>
                </c:pt>
                <c:pt idx="194">
                  <c:v>4742330.9538209308</c:v>
                </c:pt>
                <c:pt idx="195">
                  <c:v>3113672.0265332903</c:v>
                </c:pt>
                <c:pt idx="196">
                  <c:v>3209414.2261050181</c:v>
                </c:pt>
                <c:pt idx="197">
                  <c:v>3960678.7030476718</c:v>
                </c:pt>
                <c:pt idx="198">
                  <c:v>3548521.8089039987</c:v>
                </c:pt>
                <c:pt idx="199">
                  <c:v>3201581.447770589</c:v>
                </c:pt>
                <c:pt idx="200">
                  <c:v>3394452.8667036006</c:v>
                </c:pt>
                <c:pt idx="201">
                  <c:v>2588995.1940199062</c:v>
                </c:pt>
                <c:pt idx="202">
                  <c:v>3547509.4977010051</c:v>
                </c:pt>
                <c:pt idx="203">
                  <c:v>4500698.270055797</c:v>
                </c:pt>
                <c:pt idx="204">
                  <c:v>2911467.1342639271</c:v>
                </c:pt>
                <c:pt idx="205">
                  <c:v>4361691.6720189191</c:v>
                </c:pt>
                <c:pt idx="206">
                  <c:v>3549534.1249221554</c:v>
                </c:pt>
                <c:pt idx="207">
                  <c:v>3288263.4443980744</c:v>
                </c:pt>
                <c:pt idx="208">
                  <c:v>3102559.6354987724</c:v>
                </c:pt>
                <c:pt idx="209">
                  <c:v>3032867.9137164992</c:v>
                </c:pt>
                <c:pt idx="210">
                  <c:v>4903484.9398276825</c:v>
                </c:pt>
                <c:pt idx="211">
                  <c:v>3444784.9576595342</c:v>
                </c:pt>
                <c:pt idx="212">
                  <c:v>2783831.5643724147</c:v>
                </c:pt>
                <c:pt idx="213">
                  <c:v>2481445.7427805653</c:v>
                </c:pt>
                <c:pt idx="214">
                  <c:v>3879552.3361916407</c:v>
                </c:pt>
                <c:pt idx="215">
                  <c:v>3782494.728245669</c:v>
                </c:pt>
                <c:pt idx="216">
                  <c:v>3296604.9779212493</c:v>
                </c:pt>
                <c:pt idx="217">
                  <c:v>4044372.5395673597</c:v>
                </c:pt>
                <c:pt idx="218">
                  <c:v>4366772.5965736154</c:v>
                </c:pt>
                <c:pt idx="219">
                  <c:v>3115187.3976846542</c:v>
                </c:pt>
                <c:pt idx="220">
                  <c:v>3457686.0550393593</c:v>
                </c:pt>
                <c:pt idx="221">
                  <c:v>4011144.7009617216</c:v>
                </c:pt>
                <c:pt idx="222">
                  <c:v>2641656.4243687107</c:v>
                </c:pt>
                <c:pt idx="223">
                  <c:v>2787866.2944797995</c:v>
                </c:pt>
                <c:pt idx="224">
                  <c:v>4613087.3542315774</c:v>
                </c:pt>
                <c:pt idx="225">
                  <c:v>3723217.549497758</c:v>
                </c:pt>
                <c:pt idx="226">
                  <c:v>2580177.6084082946</c:v>
                </c:pt>
                <c:pt idx="227">
                  <c:v>4142564.3228497724</c:v>
                </c:pt>
                <c:pt idx="228">
                  <c:v>3038422.2110309983</c:v>
                </c:pt>
                <c:pt idx="229">
                  <c:v>4528662.9206360728</c:v>
                </c:pt>
                <c:pt idx="230">
                  <c:v>2994749.1626948584</c:v>
                </c:pt>
                <c:pt idx="231">
                  <c:v>3463757.4305150555</c:v>
                </c:pt>
                <c:pt idx="232">
                  <c:v>2617213.9368993146</c:v>
                </c:pt>
                <c:pt idx="233">
                  <c:v>2704917.6139338654</c:v>
                </c:pt>
                <c:pt idx="234">
                  <c:v>2703153.1013830211</c:v>
                </c:pt>
                <c:pt idx="235">
                  <c:v>4630383.18886487</c:v>
                </c:pt>
                <c:pt idx="236">
                  <c:v>4689657.3825847572</c:v>
                </c:pt>
                <c:pt idx="237">
                  <c:v>4662435.0216039587</c:v>
                </c:pt>
                <c:pt idx="238">
                  <c:v>3045239.0474895556</c:v>
                </c:pt>
                <c:pt idx="239">
                  <c:v>3916308.9033440137</c:v>
                </c:pt>
                <c:pt idx="240">
                  <c:v>3005351.0412106663</c:v>
                </c:pt>
                <c:pt idx="241">
                  <c:v>4148147.6379819401</c:v>
                </c:pt>
                <c:pt idx="242">
                  <c:v>2838306.9068647744</c:v>
                </c:pt>
                <c:pt idx="243">
                  <c:v>2675679.0174658941</c:v>
                </c:pt>
                <c:pt idx="244">
                  <c:v>3975639.7411919357</c:v>
                </c:pt>
                <c:pt idx="245">
                  <c:v>2513679.654272479</c:v>
                </c:pt>
                <c:pt idx="246">
                  <c:v>3423790.7274559988</c:v>
                </c:pt>
                <c:pt idx="247">
                  <c:v>4779744.6284584384</c:v>
                </c:pt>
                <c:pt idx="248">
                  <c:v>3881580.1198182013</c:v>
                </c:pt>
                <c:pt idx="249">
                  <c:v>3626484.2317151921</c:v>
                </c:pt>
                <c:pt idx="250">
                  <c:v>3617876.5883793472</c:v>
                </c:pt>
                <c:pt idx="251">
                  <c:v>3975639.7411919357</c:v>
                </c:pt>
                <c:pt idx="252">
                  <c:v>4067711.206977943</c:v>
                </c:pt>
                <c:pt idx="253">
                  <c:v>3776160.9100771905</c:v>
                </c:pt>
                <c:pt idx="254">
                  <c:v>4767781.7283244599</c:v>
                </c:pt>
                <c:pt idx="255">
                  <c:v>4146878.6899418267</c:v>
                </c:pt>
                <c:pt idx="256">
                  <c:v>3346661.0590050169</c:v>
                </c:pt>
                <c:pt idx="257">
                  <c:v>4305809.4370640265</c:v>
                </c:pt>
                <c:pt idx="258">
                  <c:v>3146002.2922096769</c:v>
                </c:pt>
                <c:pt idx="259">
                  <c:v>4103231.4558708128</c:v>
                </c:pt>
                <c:pt idx="260">
                  <c:v>3064680.8588083461</c:v>
                </c:pt>
                <c:pt idx="261">
                  <c:v>4025601.9809622378</c:v>
                </c:pt>
                <c:pt idx="262">
                  <c:v>2639388.4459112352</c:v>
                </c:pt>
                <c:pt idx="263">
                  <c:v>2660305.1685868744</c:v>
                </c:pt>
                <c:pt idx="264">
                  <c:v>4566548.1058772653</c:v>
                </c:pt>
                <c:pt idx="265">
                  <c:v>4284222.470153382</c:v>
                </c:pt>
                <c:pt idx="266">
                  <c:v>4586383.2773447633</c:v>
                </c:pt>
                <c:pt idx="267">
                  <c:v>3688773.4280329989</c:v>
                </c:pt>
                <c:pt idx="268">
                  <c:v>4130383.0496837809</c:v>
                </c:pt>
                <c:pt idx="269">
                  <c:v>3891465.8407967561</c:v>
                </c:pt>
                <c:pt idx="270">
                  <c:v>2738698.2610090035</c:v>
                </c:pt>
                <c:pt idx="271">
                  <c:v>3476659.6789148664</c:v>
                </c:pt>
                <c:pt idx="272">
                  <c:v>3105590.2298701797</c:v>
                </c:pt>
                <c:pt idx="273">
                  <c:v>4195611.6938705556</c:v>
                </c:pt>
                <c:pt idx="274">
                  <c:v>3503478.62078638</c:v>
                </c:pt>
                <c:pt idx="275">
                  <c:v>3366383.359685428</c:v>
                </c:pt>
                <c:pt idx="276">
                  <c:v>2836289.0517337974</c:v>
                </c:pt>
                <c:pt idx="277">
                  <c:v>4007340.3160599335</c:v>
                </c:pt>
                <c:pt idx="278">
                  <c:v>3166211.2101279111</c:v>
                </c:pt>
                <c:pt idx="279">
                  <c:v>4705687.108562883</c:v>
                </c:pt>
                <c:pt idx="280">
                  <c:v>4666759.8400362954</c:v>
                </c:pt>
                <c:pt idx="281">
                  <c:v>4675155.3234034078</c:v>
                </c:pt>
                <c:pt idx="282">
                  <c:v>3068973.4469579356</c:v>
                </c:pt>
                <c:pt idx="283">
                  <c:v>3768053.8972926238</c:v>
                </c:pt>
                <c:pt idx="284">
                  <c:v>4878527.4908854319</c:v>
                </c:pt>
                <c:pt idx="285">
                  <c:v>2476661.4400828425</c:v>
                </c:pt>
                <c:pt idx="286">
                  <c:v>4558156.8525010711</c:v>
                </c:pt>
                <c:pt idx="287">
                  <c:v>4439951.2388074631</c:v>
                </c:pt>
                <c:pt idx="288">
                  <c:v>4815128.1459086686</c:v>
                </c:pt>
                <c:pt idx="289">
                  <c:v>3817967.585985072</c:v>
                </c:pt>
                <c:pt idx="290">
                  <c:v>3911238.6558632255</c:v>
                </c:pt>
                <c:pt idx="291">
                  <c:v>2996516.105630043</c:v>
                </c:pt>
                <c:pt idx="292">
                  <c:v>3288263.4443980744</c:v>
                </c:pt>
                <c:pt idx="293">
                  <c:v>2459035.995186253</c:v>
                </c:pt>
                <c:pt idx="294">
                  <c:v>2480942.1268756702</c:v>
                </c:pt>
                <c:pt idx="295">
                  <c:v>3316322.6321994136</c:v>
                </c:pt>
                <c:pt idx="296">
                  <c:v>4181142.9262033147</c:v>
                </c:pt>
                <c:pt idx="297">
                  <c:v>4798581.1755629554</c:v>
                </c:pt>
                <c:pt idx="298">
                  <c:v>4133935.8494381895</c:v>
                </c:pt>
                <c:pt idx="299">
                  <c:v>4214143.2969580069</c:v>
                </c:pt>
                <c:pt idx="300">
                  <c:v>3770587.3056826629</c:v>
                </c:pt>
                <c:pt idx="301">
                  <c:v>4588417.7571915546</c:v>
                </c:pt>
                <c:pt idx="302">
                  <c:v>2629560.8200583952</c:v>
                </c:pt>
                <c:pt idx="303">
                  <c:v>4502223.5209217761</c:v>
                </c:pt>
                <c:pt idx="304">
                  <c:v>3403304.3809265932</c:v>
                </c:pt>
                <c:pt idx="305">
                  <c:v>3174547.9494703962</c:v>
                </c:pt>
                <c:pt idx="306">
                  <c:v>4369313.1039332803</c:v>
                </c:pt>
                <c:pt idx="307">
                  <c:v>2991720.1519252555</c:v>
                </c:pt>
                <c:pt idx="308">
                  <c:v>4425211.8690700121</c:v>
                </c:pt>
                <c:pt idx="309">
                  <c:v>4436647.4990844112</c:v>
                </c:pt>
                <c:pt idx="310">
                  <c:v>3106095.3331414447</c:v>
                </c:pt>
                <c:pt idx="311">
                  <c:v>3560923.0119223744</c:v>
                </c:pt>
                <c:pt idx="312">
                  <c:v>3113672.0265332903</c:v>
                </c:pt>
                <c:pt idx="313">
                  <c:v>4653276.8688830119</c:v>
                </c:pt>
                <c:pt idx="314">
                  <c:v>2718025.8818453904</c:v>
                </c:pt>
                <c:pt idx="315">
                  <c:v>2495799.300009592</c:v>
                </c:pt>
                <c:pt idx="316">
                  <c:v>3348683.7748316266</c:v>
                </c:pt>
                <c:pt idx="317">
                  <c:v>2636868.4983474184</c:v>
                </c:pt>
                <c:pt idx="318">
                  <c:v>4547223.285739026</c:v>
                </c:pt>
                <c:pt idx="319">
                  <c:v>3662437.5617534234</c:v>
                </c:pt>
                <c:pt idx="320">
                  <c:v>3943183.2244747579</c:v>
                </c:pt>
                <c:pt idx="321">
                  <c:v>4798072.0581040969</c:v>
                </c:pt>
                <c:pt idx="322">
                  <c:v>4878018.1851613354</c:v>
                </c:pt>
                <c:pt idx="323">
                  <c:v>3351970.7291180338</c:v>
                </c:pt>
                <c:pt idx="324">
                  <c:v>3709793.8107835157</c:v>
                </c:pt>
                <c:pt idx="325">
                  <c:v>4885148.5743890749</c:v>
                </c:pt>
                <c:pt idx="326">
                  <c:v>2519472.2057350711</c:v>
                </c:pt>
                <c:pt idx="327">
                  <c:v>2907177.7341958932</c:v>
                </c:pt>
                <c:pt idx="328">
                  <c:v>3994405.9137587901</c:v>
                </c:pt>
                <c:pt idx="329">
                  <c:v>4240293.3529700469</c:v>
                </c:pt>
                <c:pt idx="330">
                  <c:v>3880312.752794642</c:v>
                </c:pt>
                <c:pt idx="331">
                  <c:v>3669780.8894763454</c:v>
                </c:pt>
                <c:pt idx="332">
                  <c:v>3609016.1424718061</c:v>
                </c:pt>
                <c:pt idx="333">
                  <c:v>4214143.2969580069</c:v>
                </c:pt>
                <c:pt idx="334">
                  <c:v>2717269.6135599799</c:v>
                </c:pt>
                <c:pt idx="335">
                  <c:v>4457741.4793491475</c:v>
                </c:pt>
                <c:pt idx="336">
                  <c:v>3899577.5434493134</c:v>
                </c:pt>
                <c:pt idx="337">
                  <c:v>3616863.9473304385</c:v>
                </c:pt>
                <c:pt idx="338">
                  <c:v>2899608.4164676499</c:v>
                </c:pt>
                <c:pt idx="339">
                  <c:v>4079381.4955278947</c:v>
                </c:pt>
                <c:pt idx="340">
                  <c:v>3678643.8634619266</c:v>
                </c:pt>
                <c:pt idx="341">
                  <c:v>3795162.9288705159</c:v>
                </c:pt>
                <c:pt idx="342">
                  <c:v>3243275.3671799842</c:v>
                </c:pt>
                <c:pt idx="343">
                  <c:v>3882847.4943649434</c:v>
                </c:pt>
                <c:pt idx="344">
                  <c:v>4292603.0346598644</c:v>
                </c:pt>
                <c:pt idx="345">
                  <c:v>3560923.0119223744</c:v>
                </c:pt>
                <c:pt idx="346">
                  <c:v>2564558.7870749175</c:v>
                </c:pt>
                <c:pt idx="347">
                  <c:v>2682988.2880217209</c:v>
                </c:pt>
                <c:pt idx="348">
                  <c:v>4553579.9430348054</c:v>
                </c:pt>
                <c:pt idx="349">
                  <c:v>4260352.3536962438</c:v>
                </c:pt>
                <c:pt idx="350">
                  <c:v>4735205.2744892873</c:v>
                </c:pt>
                <c:pt idx="351">
                  <c:v>4351276.1525270436</c:v>
                </c:pt>
                <c:pt idx="352">
                  <c:v>3272339.6082753772</c:v>
                </c:pt>
                <c:pt idx="353">
                  <c:v>4706450.4585523065</c:v>
                </c:pt>
                <c:pt idx="354">
                  <c:v>3503731.6457718471</c:v>
                </c:pt>
                <c:pt idx="355">
                  <c:v>2642412.4225879395</c:v>
                </c:pt>
                <c:pt idx="356">
                  <c:v>4330700.6357214367</c:v>
                </c:pt>
                <c:pt idx="357">
                  <c:v>3707514.3919514297</c:v>
                </c:pt>
                <c:pt idx="358">
                  <c:v>2754834.2032517926</c:v>
                </c:pt>
                <c:pt idx="359">
                  <c:v>3959918.0002774685</c:v>
                </c:pt>
                <c:pt idx="360">
                  <c:v>4005818.5810539182</c:v>
                </c:pt>
                <c:pt idx="361">
                  <c:v>2617717.8772155093</c:v>
                </c:pt>
                <c:pt idx="362">
                  <c:v>3825062.8653639853</c:v>
                </c:pt>
                <c:pt idx="363">
                  <c:v>4591978.143159885</c:v>
                </c:pt>
                <c:pt idx="364">
                  <c:v>3645219.7169091925</c:v>
                </c:pt>
                <c:pt idx="365">
                  <c:v>2773997.2317495849</c:v>
                </c:pt>
                <c:pt idx="366">
                  <c:v>3002069.4507301319</c:v>
                </c:pt>
                <c:pt idx="367">
                  <c:v>3344132.6912995288</c:v>
                </c:pt>
                <c:pt idx="368">
                  <c:v>4595284.2685354622</c:v>
                </c:pt>
                <c:pt idx="369">
                  <c:v>2992729.8173730928</c:v>
                </c:pt>
                <c:pt idx="370">
                  <c:v>4159060.9015187542</c:v>
                </c:pt>
                <c:pt idx="371">
                  <c:v>4099679.1656629192</c:v>
                </c:pt>
                <c:pt idx="372">
                  <c:v>3131857.1947759781</c:v>
                </c:pt>
                <c:pt idx="373">
                  <c:v>4620972.0478648376</c:v>
                </c:pt>
                <c:pt idx="374">
                  <c:v>3578387.1556290947</c:v>
                </c:pt>
                <c:pt idx="375">
                  <c:v>3136908.9070352474</c:v>
                </c:pt>
                <c:pt idx="376">
                  <c:v>3136656.3185656425</c:v>
                </c:pt>
                <c:pt idx="377">
                  <c:v>3934816.32809484</c:v>
                </c:pt>
                <c:pt idx="378">
                  <c:v>2608143.216376212</c:v>
                </c:pt>
                <c:pt idx="379">
                  <c:v>4334002.7463025777</c:v>
                </c:pt>
                <c:pt idx="380">
                  <c:v>3421008.5151668191</c:v>
                </c:pt>
                <c:pt idx="381">
                  <c:v>4819201.4405980743</c:v>
                </c:pt>
                <c:pt idx="382">
                  <c:v>2587987.4513562778</c:v>
                </c:pt>
                <c:pt idx="383">
                  <c:v>3970060.9265404674</c:v>
                </c:pt>
                <c:pt idx="384">
                  <c:v>2800727.5096916766</c:v>
                </c:pt>
                <c:pt idx="385">
                  <c:v>3544472.592982966</c:v>
                </c:pt>
                <c:pt idx="386">
                  <c:v>4866304.4843891766</c:v>
                </c:pt>
                <c:pt idx="387">
                  <c:v>3392176.8226228068</c:v>
                </c:pt>
                <c:pt idx="388">
                  <c:v>2617717.8772155093</c:v>
                </c:pt>
                <c:pt idx="389">
                  <c:v>3997449.2321312409</c:v>
                </c:pt>
                <c:pt idx="390">
                  <c:v>3187685.2942759506</c:v>
                </c:pt>
                <c:pt idx="391">
                  <c:v>3945211.612339207</c:v>
                </c:pt>
                <c:pt idx="392">
                  <c:v>4215666.5136871729</c:v>
                </c:pt>
                <c:pt idx="393">
                  <c:v>2458280.6517881434</c:v>
                </c:pt>
                <c:pt idx="394">
                  <c:v>3967778.7261569845</c:v>
                </c:pt>
                <c:pt idx="395">
                  <c:v>4443255.0293073645</c:v>
                </c:pt>
                <c:pt idx="396">
                  <c:v>3879298.8645924958</c:v>
                </c:pt>
                <c:pt idx="397">
                  <c:v>2796692.5345700565</c:v>
                </c:pt>
                <c:pt idx="398">
                  <c:v>3485008.6096683787</c:v>
                </c:pt>
                <c:pt idx="399">
                  <c:v>3695357.9032305265</c:v>
                </c:pt>
                <c:pt idx="400">
                  <c:v>2954113.5395478369</c:v>
                </c:pt>
                <c:pt idx="401">
                  <c:v>3830384.4797342685</c:v>
                </c:pt>
                <c:pt idx="402">
                  <c:v>3085387.0851940783</c:v>
                </c:pt>
                <c:pt idx="403">
                  <c:v>3051803.6156403981</c:v>
                </c:pt>
                <c:pt idx="404">
                  <c:v>2783327.2285135114</c:v>
                </c:pt>
                <c:pt idx="405">
                  <c:v>4375664.5038200608</c:v>
                </c:pt>
                <c:pt idx="406">
                  <c:v>4112112.4393298901</c:v>
                </c:pt>
                <c:pt idx="407">
                  <c:v>3853953.2243797258</c:v>
                </c:pt>
                <c:pt idx="408">
                  <c:v>4712811.8134761266</c:v>
                </c:pt>
                <c:pt idx="409">
                  <c:v>3240495.5177905951</c:v>
                </c:pt>
                <c:pt idx="410">
                  <c:v>2848396.4708434753</c:v>
                </c:pt>
                <c:pt idx="411">
                  <c:v>4920549.341881603</c:v>
                </c:pt>
                <c:pt idx="412">
                  <c:v>2491014.6727402797</c:v>
                </c:pt>
                <c:pt idx="413">
                  <c:v>4305555.4601211362</c:v>
                </c:pt>
                <c:pt idx="414">
                  <c:v>3168484.8338332144</c:v>
                </c:pt>
                <c:pt idx="415">
                  <c:v>2524005.6174931321</c:v>
                </c:pt>
                <c:pt idx="416">
                  <c:v>2526524.2215493307</c:v>
                </c:pt>
                <c:pt idx="417">
                  <c:v>3849137.8929455765</c:v>
                </c:pt>
                <c:pt idx="418">
                  <c:v>3887917.0677835308</c:v>
                </c:pt>
                <c:pt idx="419">
                  <c:v>3076801.3313718187</c:v>
                </c:pt>
                <c:pt idx="420">
                  <c:v>3630535.0077868095</c:v>
                </c:pt>
                <c:pt idx="421">
                  <c:v>3219016.0906264978</c:v>
                </c:pt>
                <c:pt idx="422">
                  <c:v>3819234.5828554984</c:v>
                </c:pt>
                <c:pt idx="423">
                  <c:v>2863783.9811418885</c:v>
                </c:pt>
                <c:pt idx="424">
                  <c:v>4624278.6181452349</c:v>
                </c:pt>
                <c:pt idx="425">
                  <c:v>3758173.8921356266</c:v>
                </c:pt>
                <c:pt idx="426">
                  <c:v>4308857.1838268414</c:v>
                </c:pt>
                <c:pt idx="427">
                  <c:v>3226091.4266095972</c:v>
                </c:pt>
                <c:pt idx="428">
                  <c:v>4311904.9738781806</c:v>
                </c:pt>
                <c:pt idx="429">
                  <c:v>4282190.867456642</c:v>
                </c:pt>
                <c:pt idx="430">
                  <c:v>4167182.7608786924</c:v>
                </c:pt>
                <c:pt idx="431">
                  <c:v>2979856.94310732</c:v>
                </c:pt>
                <c:pt idx="432">
                  <c:v>4042850.5410096804</c:v>
                </c:pt>
                <c:pt idx="433">
                  <c:v>3600662.3454345549</c:v>
                </c:pt>
                <c:pt idx="434">
                  <c:v>4743094.4334124876</c:v>
                </c:pt>
                <c:pt idx="435">
                  <c:v>3466793.1832518578</c:v>
                </c:pt>
                <c:pt idx="436">
                  <c:v>2632332.6683312189</c:v>
                </c:pt>
                <c:pt idx="437">
                  <c:v>3062408.3473142991</c:v>
                </c:pt>
                <c:pt idx="438">
                  <c:v>4845934.3415342635</c:v>
                </c:pt>
                <c:pt idx="439">
                  <c:v>3502972.5717182523</c:v>
                </c:pt>
                <c:pt idx="440">
                  <c:v>3950536.2221076372</c:v>
                </c:pt>
                <c:pt idx="441">
                  <c:v>4009622.9388775835</c:v>
                </c:pt>
                <c:pt idx="442">
                  <c:v>3286494.0703121275</c:v>
                </c:pt>
                <c:pt idx="443">
                  <c:v>4433852.066671636</c:v>
                </c:pt>
                <c:pt idx="444">
                  <c:v>4285492.2316097021</c:v>
                </c:pt>
                <c:pt idx="445">
                  <c:v>2726849.2114383457</c:v>
                </c:pt>
                <c:pt idx="446">
                  <c:v>3948761.3374407385</c:v>
                </c:pt>
                <c:pt idx="447">
                  <c:v>2539117.6915117102</c:v>
                </c:pt>
                <c:pt idx="448">
                  <c:v>2449468.511398166</c:v>
                </c:pt>
                <c:pt idx="449">
                  <c:v>3086144.6683936585</c:v>
                </c:pt>
                <c:pt idx="450">
                  <c:v>3111146.4320018897</c:v>
                </c:pt>
                <c:pt idx="451">
                  <c:v>4224298.2796338908</c:v>
                </c:pt>
                <c:pt idx="452">
                  <c:v>4847207.4192585144</c:v>
                </c:pt>
                <c:pt idx="453">
                  <c:v>3903887.0108171515</c:v>
                </c:pt>
                <c:pt idx="454">
                  <c:v>4651496.1621340681</c:v>
                </c:pt>
                <c:pt idx="455">
                  <c:v>3244033.5142391967</c:v>
                </c:pt>
                <c:pt idx="456">
                  <c:v>2697103.4557076637</c:v>
                </c:pt>
                <c:pt idx="457">
                  <c:v>3993898.6982423058</c:v>
                </c:pt>
                <c:pt idx="458">
                  <c:v>4849244.3592052134</c:v>
                </c:pt>
                <c:pt idx="459">
                  <c:v>3473370.7961709253</c:v>
                </c:pt>
                <c:pt idx="460">
                  <c:v>2412209.8034604178</c:v>
                </c:pt>
                <c:pt idx="461">
                  <c:v>4702124.8443170674</c:v>
                </c:pt>
                <c:pt idx="462">
                  <c:v>2516953.685614727</c:v>
                </c:pt>
                <c:pt idx="463">
                  <c:v>3725750.4251901992</c:v>
                </c:pt>
                <c:pt idx="464">
                  <c:v>2799718.7587047149</c:v>
                </c:pt>
                <c:pt idx="465">
                  <c:v>4838296.0325704683</c:v>
                </c:pt>
                <c:pt idx="466">
                  <c:v>4062383.6781862844</c:v>
                </c:pt>
                <c:pt idx="467">
                  <c:v>2816111.5575544396</c:v>
                </c:pt>
                <c:pt idx="468">
                  <c:v>2678199.4270817172</c:v>
                </c:pt>
                <c:pt idx="469">
                  <c:v>3213457.0634943396</c:v>
                </c:pt>
                <c:pt idx="470">
                  <c:v>3239737.3833646635</c:v>
                </c:pt>
                <c:pt idx="471">
                  <c:v>4618174.2203288479</c:v>
                </c:pt>
                <c:pt idx="472">
                  <c:v>3388130.5822125478</c:v>
                </c:pt>
                <c:pt idx="473">
                  <c:v>3710553.6224782011</c:v>
                </c:pt>
                <c:pt idx="474">
                  <c:v>3923407.452031102</c:v>
                </c:pt>
                <c:pt idx="475">
                  <c:v>2881443.1570501048</c:v>
                </c:pt>
                <c:pt idx="476">
                  <c:v>3747027.7691998384</c:v>
                </c:pt>
                <c:pt idx="477">
                  <c:v>2611670.6726095648</c:v>
                </c:pt>
                <c:pt idx="478">
                  <c:v>4930482.971344687</c:v>
                </c:pt>
                <c:pt idx="479">
                  <c:v>4015710.0522011695</c:v>
                </c:pt>
                <c:pt idx="480">
                  <c:v>2569093.1648422973</c:v>
                </c:pt>
                <c:pt idx="481">
                  <c:v>3785535.0277783568</c:v>
                </c:pt>
                <c:pt idx="482">
                  <c:v>2533828.3428401547</c:v>
                </c:pt>
                <c:pt idx="483">
                  <c:v>4304031.6047767904</c:v>
                </c:pt>
                <c:pt idx="484">
                  <c:v>3722710.9779708073</c:v>
                </c:pt>
                <c:pt idx="485">
                  <c:v>3520938.0507821753</c:v>
                </c:pt>
                <c:pt idx="486">
                  <c:v>3145497.0939204106</c:v>
                </c:pt>
                <c:pt idx="487">
                  <c:v>2559268.8024710212</c:v>
                </c:pt>
                <c:pt idx="488">
                  <c:v>3497659.1291786325</c:v>
                </c:pt>
                <c:pt idx="489">
                  <c:v>3161158.8002159959</c:v>
                </c:pt>
                <c:pt idx="490">
                  <c:v>3050793.6688519167</c:v>
                </c:pt>
                <c:pt idx="491">
                  <c:v>2655012.7904262585</c:v>
                </c:pt>
                <c:pt idx="492">
                  <c:v>3236452.1654677913</c:v>
                </c:pt>
                <c:pt idx="493">
                  <c:v>4049953.2936058491</c:v>
                </c:pt>
                <c:pt idx="494">
                  <c:v>3591043.2275650338</c:v>
                </c:pt>
                <c:pt idx="495">
                  <c:v>3404821.8203747529</c:v>
                </c:pt>
                <c:pt idx="496">
                  <c:v>4283968.5187640414</c:v>
                </c:pt>
                <c:pt idx="497">
                  <c:v>2472129.0425825682</c:v>
                </c:pt>
                <c:pt idx="498">
                  <c:v>3581424.5442760228</c:v>
                </c:pt>
                <c:pt idx="499">
                  <c:v>3625724.7197791426</c:v>
                </c:pt>
                <c:pt idx="500">
                  <c:v>2921307.8507363377</c:v>
                </c:pt>
                <c:pt idx="501">
                  <c:v>4831167.1876300983</c:v>
                </c:pt>
                <c:pt idx="502">
                  <c:v>4367280.6956411768</c:v>
                </c:pt>
                <c:pt idx="503">
                  <c:v>4663198.2185543738</c:v>
                </c:pt>
                <c:pt idx="504">
                  <c:v>3024536.7405298906</c:v>
                </c:pt>
                <c:pt idx="505">
                  <c:v>4879036.7978083408</c:v>
                </c:pt>
                <c:pt idx="506">
                  <c:v>4760909.7236131793</c:v>
                </c:pt>
                <c:pt idx="507">
                  <c:v>2793161.9943952896</c:v>
                </c:pt>
                <c:pt idx="508">
                  <c:v>3407603.8208301491</c:v>
                </c:pt>
                <c:pt idx="509">
                  <c:v>3957128.7799555948</c:v>
                </c:pt>
                <c:pt idx="510">
                  <c:v>3570793.8736125501</c:v>
                </c:pt>
                <c:pt idx="511">
                  <c:v>4427498.9463970419</c:v>
                </c:pt>
                <c:pt idx="512">
                  <c:v>2885732.0361946528</c:v>
                </c:pt>
                <c:pt idx="513">
                  <c:v>3417467.5703659398</c:v>
                </c:pt>
                <c:pt idx="514">
                  <c:v>4683805.5571630038</c:v>
                </c:pt>
                <c:pt idx="515">
                  <c:v>3314553.0243642391</c:v>
                </c:pt>
                <c:pt idx="516">
                  <c:v>2801231.8869868107</c:v>
                </c:pt>
                <c:pt idx="517">
                  <c:v>4603931.2978579551</c:v>
                </c:pt>
                <c:pt idx="518">
                  <c:v>4371599.5862535564</c:v>
                </c:pt>
                <c:pt idx="519">
                  <c:v>3333513.8754768316</c:v>
                </c:pt>
                <c:pt idx="520">
                  <c:v>4499935.6486778045</c:v>
                </c:pt>
                <c:pt idx="521">
                  <c:v>3791615.7568555097</c:v>
                </c:pt>
                <c:pt idx="522">
                  <c:v>3984008.236222839</c:v>
                </c:pt>
                <c:pt idx="523">
                  <c:v>3296352.1993648368</c:v>
                </c:pt>
                <c:pt idx="524">
                  <c:v>4262129.8240098553</c:v>
                </c:pt>
                <c:pt idx="525">
                  <c:v>4866813.762539411</c:v>
                </c:pt>
                <c:pt idx="526">
                  <c:v>4869614.8137961067</c:v>
                </c:pt>
                <c:pt idx="527">
                  <c:v>4549257.3956534583</c:v>
                </c:pt>
                <c:pt idx="528">
                  <c:v>3434161.1122085452</c:v>
                </c:pt>
                <c:pt idx="529">
                  <c:v>4099171.7004461344</c:v>
                </c:pt>
                <c:pt idx="530">
                  <c:v>3298879.9984664423</c:v>
                </c:pt>
                <c:pt idx="531">
                  <c:v>3369164.8570584236</c:v>
                </c:pt>
                <c:pt idx="532">
                  <c:v>3361831.8970580632</c:v>
                </c:pt>
                <c:pt idx="533">
                  <c:v>2844108.3474358246</c:v>
                </c:pt>
                <c:pt idx="534">
                  <c:v>3159137.8699323907</c:v>
                </c:pt>
                <c:pt idx="535">
                  <c:v>3637624.0513041224</c:v>
                </c:pt>
                <c:pt idx="536">
                  <c:v>2858486.5153794326</c:v>
                </c:pt>
                <c:pt idx="537">
                  <c:v>2443677.8761312044</c:v>
                </c:pt>
                <c:pt idx="538">
                  <c:v>3259197.0239312178</c:v>
                </c:pt>
                <c:pt idx="539">
                  <c:v>4167182.7608786924</c:v>
                </c:pt>
                <c:pt idx="540">
                  <c:v>3266020.9565863544</c:v>
                </c:pt>
                <c:pt idx="541">
                  <c:v>4237500.4763894537</c:v>
                </c:pt>
                <c:pt idx="542">
                  <c:v>2416237.4555446226</c:v>
                </c:pt>
                <c:pt idx="543">
                  <c:v>3768813.9166495958</c:v>
                </c:pt>
                <c:pt idx="544">
                  <c:v>3400522.436738627</c:v>
                </c:pt>
                <c:pt idx="545">
                  <c:v>4514934.3653129265</c:v>
                </c:pt>
                <c:pt idx="546">
                  <c:v>4499173.0300031547</c:v>
                </c:pt>
                <c:pt idx="547">
                  <c:v>3789588.8279021499</c:v>
                </c:pt>
                <c:pt idx="548">
                  <c:v>4608254.9426623508</c:v>
                </c:pt>
                <c:pt idx="549">
                  <c:v>4616648.1478915634</c:v>
                </c:pt>
                <c:pt idx="550">
                  <c:v>3262229.8558163308</c:v>
                </c:pt>
                <c:pt idx="551">
                  <c:v>3042714.2676945324</c:v>
                </c:pt>
                <c:pt idx="552">
                  <c:v>3164948.096372691</c:v>
                </c:pt>
                <c:pt idx="553">
                  <c:v>3354246.3426406286</c:v>
                </c:pt>
                <c:pt idx="554">
                  <c:v>2585971.9804243469</c:v>
                </c:pt>
                <c:pt idx="555">
                  <c:v>2872361.1113197841</c:v>
                </c:pt>
                <c:pt idx="556">
                  <c:v>2953608.798181585</c:v>
                </c:pt>
                <c:pt idx="557">
                  <c:v>4611306.9794660416</c:v>
                </c:pt>
                <c:pt idx="558">
                  <c:v>3806818.3379464122</c:v>
                </c:pt>
                <c:pt idx="559">
                  <c:v>4624278.6181452349</c:v>
                </c:pt>
                <c:pt idx="560">
                  <c:v>2784588.0704126414</c:v>
                </c:pt>
                <c:pt idx="561">
                  <c:v>4662689.4202873157</c:v>
                </c:pt>
                <c:pt idx="562">
                  <c:v>3213962.4235818386</c:v>
                </c:pt>
                <c:pt idx="563">
                  <c:v>4577991.2510918453</c:v>
                </c:pt>
                <c:pt idx="564">
                  <c:v>4001507.0573569797</c:v>
                </c:pt>
                <c:pt idx="565">
                  <c:v>4856628.4273332311</c:v>
                </c:pt>
                <c:pt idx="566">
                  <c:v>4683296.7102803681</c:v>
                </c:pt>
                <c:pt idx="567">
                  <c:v>4078620.3703496587</c:v>
                </c:pt>
                <c:pt idx="568">
                  <c:v>2889768.7076368597</c:v>
                </c:pt>
                <c:pt idx="569">
                  <c:v>4001253.4410238247</c:v>
                </c:pt>
                <c:pt idx="570">
                  <c:v>4491038.5990175549</c:v>
                </c:pt>
                <c:pt idx="571">
                  <c:v>4475024.836925732</c:v>
                </c:pt>
                <c:pt idx="572">
                  <c:v>3321884.3527942095</c:v>
                </c:pt>
                <c:pt idx="573">
                  <c:v>3448326.3574343687</c:v>
                </c:pt>
                <c:pt idx="574">
                  <c:v>3984769.0247460604</c:v>
                </c:pt>
                <c:pt idx="575">
                  <c:v>4577228.3558278047</c:v>
                </c:pt>
                <c:pt idx="576">
                  <c:v>4114396.1803492359</c:v>
                </c:pt>
                <c:pt idx="577">
                  <c:v>4542392.3517199662</c:v>
                </c:pt>
                <c:pt idx="578">
                  <c:v>4513154.8018944636</c:v>
                </c:pt>
                <c:pt idx="579">
                  <c:v>3196780.8555235891</c:v>
                </c:pt>
                <c:pt idx="580">
                  <c:v>4079127.7868343266</c:v>
                </c:pt>
                <c:pt idx="581">
                  <c:v>3559151.3672516113</c:v>
                </c:pt>
                <c:pt idx="582">
                  <c:v>4886676.5455065817</c:v>
                </c:pt>
                <c:pt idx="583">
                  <c:v>4214904.9039693903</c:v>
                </c:pt>
                <c:pt idx="584">
                  <c:v>4562733.859259624</c:v>
                </c:pt>
                <c:pt idx="585">
                  <c:v>4381762.0244271522</c:v>
                </c:pt>
                <c:pt idx="586">
                  <c:v>3912759.7174690254</c:v>
                </c:pt>
                <c:pt idx="587">
                  <c:v>3909971.1128002494</c:v>
                </c:pt>
                <c:pt idx="588">
                  <c:v>4374394.2088157032</c:v>
                </c:pt>
                <c:pt idx="589">
                  <c:v>3286746.8371362137</c:v>
                </c:pt>
                <c:pt idx="590">
                  <c:v>2946542.5452603493</c:v>
                </c:pt>
                <c:pt idx="591">
                  <c:v>3628256.4367662612</c:v>
                </c:pt>
                <c:pt idx="592">
                  <c:v>4865031.2942588497</c:v>
                </c:pt>
                <c:pt idx="593">
                  <c:v>4154492.4909707149</c:v>
                </c:pt>
                <c:pt idx="594">
                  <c:v>3326687.774124892</c:v>
                </c:pt>
                <c:pt idx="595">
                  <c:v>4717392.105131777</c:v>
                </c:pt>
                <c:pt idx="596">
                  <c:v>4841860.5431784019</c:v>
                </c:pt>
                <c:pt idx="597">
                  <c:v>3263999.027753016</c:v>
                </c:pt>
                <c:pt idx="598">
                  <c:v>3868906.7881277404</c:v>
                </c:pt>
                <c:pt idx="599">
                  <c:v>3450350.0409290902</c:v>
                </c:pt>
                <c:pt idx="600">
                  <c:v>3118218.1724608168</c:v>
                </c:pt>
                <c:pt idx="601">
                  <c:v>4494851.5752437841</c:v>
                </c:pt>
                <c:pt idx="602">
                  <c:v>3385854.6058316315</c:v>
                </c:pt>
                <c:pt idx="603">
                  <c:v>3712326.5269661485</c:v>
                </c:pt>
                <c:pt idx="604">
                  <c:v>3575349.8103195271</c:v>
                </c:pt>
                <c:pt idx="605">
                  <c:v>4124292.6729770377</c:v>
                </c:pt>
                <c:pt idx="606">
                  <c:v>3222301.0387214711</c:v>
                </c:pt>
                <c:pt idx="607">
                  <c:v>4314444.831988235</c:v>
                </c:pt>
                <c:pt idx="608">
                  <c:v>2496554.7773637343</c:v>
                </c:pt>
                <c:pt idx="609">
                  <c:v>3499936.3025880167</c:v>
                </c:pt>
                <c:pt idx="610">
                  <c:v>4725789.5589634776</c:v>
                </c:pt>
                <c:pt idx="611">
                  <c:v>4067457.512122402</c:v>
                </c:pt>
                <c:pt idx="612">
                  <c:v>3748800.9770563804</c:v>
                </c:pt>
                <c:pt idx="613">
                  <c:v>3967525.1498410469</c:v>
                </c:pt>
                <c:pt idx="614">
                  <c:v>4170736.1711918493</c:v>
                </c:pt>
                <c:pt idx="615">
                  <c:v>4319524.6383906193</c:v>
                </c:pt>
                <c:pt idx="616">
                  <c:v>3622686.6991213821</c:v>
                </c:pt>
                <c:pt idx="617">
                  <c:v>4340099.0839122524</c:v>
                </c:pt>
                <c:pt idx="618">
                  <c:v>2909196.2645887197</c:v>
                </c:pt>
                <c:pt idx="619">
                  <c:v>3880566.2255974989</c:v>
                </c:pt>
                <c:pt idx="620">
                  <c:v>3459962.800530632</c:v>
                </c:pt>
                <c:pt idx="621">
                  <c:v>3427837.6466902574</c:v>
                </c:pt>
                <c:pt idx="622">
                  <c:v>4817164.7836588696</c:v>
                </c:pt>
                <c:pt idx="623">
                  <c:v>4098917.9682889534</c:v>
                </c:pt>
                <c:pt idx="624">
                  <c:v>4608000.6082133688</c:v>
                </c:pt>
                <c:pt idx="625">
                  <c:v>2581689.1684222962</c:v>
                </c:pt>
                <c:pt idx="626">
                  <c:v>3637117.683227892</c:v>
                </c:pt>
                <c:pt idx="627">
                  <c:v>3785535.0277783568</c:v>
                </c:pt>
                <c:pt idx="628">
                  <c:v>3341857.1860883594</c:v>
                </c:pt>
                <c:pt idx="629">
                  <c:v>3138677.0347421207</c:v>
                </c:pt>
                <c:pt idx="630">
                  <c:v>3255153.315464803</c:v>
                </c:pt>
                <c:pt idx="631">
                  <c:v>4287523.8655730858</c:v>
                </c:pt>
                <c:pt idx="632">
                  <c:v>3544472.592982966</c:v>
                </c:pt>
                <c:pt idx="633">
                  <c:v>3917576.4840213652</c:v>
                </c:pt>
                <c:pt idx="634">
                  <c:v>2482956.5976877469</c:v>
                </c:pt>
                <c:pt idx="635">
                  <c:v>4416063.8031484298</c:v>
                </c:pt>
                <c:pt idx="636">
                  <c:v>4027377.5037936289</c:v>
                </c:pt>
                <c:pt idx="637">
                  <c:v>3730816.2668634607</c:v>
                </c:pt>
                <c:pt idx="638">
                  <c:v>2659549.1064629774</c:v>
                </c:pt>
                <c:pt idx="639">
                  <c:v>2984400.2212365041</c:v>
                </c:pt>
                <c:pt idx="640">
                  <c:v>3602940.6212139796</c:v>
                </c:pt>
                <c:pt idx="641">
                  <c:v>3923407.452031102</c:v>
                </c:pt>
                <c:pt idx="642">
                  <c:v>2603356.0483768005</c:v>
                </c:pt>
                <c:pt idx="643">
                  <c:v>3869667.1668135878</c:v>
                </c:pt>
                <c:pt idx="644">
                  <c:v>3616863.9473304385</c:v>
                </c:pt>
                <c:pt idx="645">
                  <c:v>3307727.5322298827</c:v>
                </c:pt>
                <c:pt idx="646">
                  <c:v>3654841.2821852751</c:v>
                </c:pt>
                <c:pt idx="647">
                  <c:v>3354752.0378440907</c:v>
                </c:pt>
                <c:pt idx="648">
                  <c:v>2883713.7293122564</c:v>
                </c:pt>
                <c:pt idx="649">
                  <c:v>3229376.4841878871</c:v>
                </c:pt>
                <c:pt idx="650">
                  <c:v>4635216.0966372872</c:v>
                </c:pt>
                <c:pt idx="651">
                  <c:v>2784840.239693217</c:v>
                </c:pt>
                <c:pt idx="652">
                  <c:v>2746513.9544862998</c:v>
                </c:pt>
                <c:pt idx="653">
                  <c:v>2504109.6992682014</c:v>
                </c:pt>
                <c:pt idx="654">
                  <c:v>4349243.9149511606</c:v>
                </c:pt>
                <c:pt idx="655">
                  <c:v>3500442.3444337104</c:v>
                </c:pt>
                <c:pt idx="656">
                  <c:v>4550020.1918263063</c:v>
                </c:pt>
                <c:pt idx="657">
                  <c:v>2471373.6524387756</c:v>
                </c:pt>
                <c:pt idx="658">
                  <c:v>4146117.3247270091</c:v>
                </c:pt>
                <c:pt idx="659">
                  <c:v>4320794.6087789824</c:v>
                </c:pt>
                <c:pt idx="660">
                  <c:v>4576719.7604863867</c:v>
                </c:pt>
                <c:pt idx="661">
                  <c:v>4477566.6243189164</c:v>
                </c:pt>
                <c:pt idx="662">
                  <c:v>2839820.3108269949</c:v>
                </c:pt>
                <c:pt idx="663">
                  <c:v>4054773.1529082116</c:v>
                </c:pt>
                <c:pt idx="664">
                  <c:v>4169720.9050873322</c:v>
                </c:pt>
                <c:pt idx="665">
                  <c:v>4808763.7766212728</c:v>
                </c:pt>
                <c:pt idx="666">
                  <c:v>4304539.5553557621</c:v>
                </c:pt>
                <c:pt idx="667">
                  <c:v>4049445.946312747</c:v>
                </c:pt>
                <c:pt idx="668">
                  <c:v>4678971.5602410287</c:v>
                </c:pt>
                <c:pt idx="669">
                  <c:v>4804945.245001778</c:v>
                </c:pt>
                <c:pt idx="670">
                  <c:v>4825820.7081714235</c:v>
                </c:pt>
                <c:pt idx="671">
                  <c:v>3117965.6062423885</c:v>
                </c:pt>
                <c:pt idx="672">
                  <c:v>4913672.480745703</c:v>
                </c:pt>
                <c:pt idx="673">
                  <c:v>3278405.6907761954</c:v>
                </c:pt>
                <c:pt idx="674">
                  <c:v>3208403.5287883687</c:v>
                </c:pt>
                <c:pt idx="675">
                  <c:v>2606631.4674156569</c:v>
                </c:pt>
                <c:pt idx="676">
                  <c:v>3682695.6315054339</c:v>
                </c:pt>
                <c:pt idx="677">
                  <c:v>4112112.4393298901</c:v>
                </c:pt>
                <c:pt idx="678">
                  <c:v>3337559.0760686491</c:v>
                </c:pt>
                <c:pt idx="679">
                  <c:v>3854460.1076924698</c:v>
                </c:pt>
                <c:pt idx="680">
                  <c:v>4875471.6745231934</c:v>
                </c:pt>
                <c:pt idx="681">
                  <c:v>3582943.2548510213</c:v>
                </c:pt>
                <c:pt idx="682">
                  <c:v>4024080.1159830717</c:v>
                </c:pt>
                <c:pt idx="683">
                  <c:v>3149791.3177197771</c:v>
                </c:pt>
                <c:pt idx="684">
                  <c:v>4761673.2688946454</c:v>
                </c:pt>
                <c:pt idx="685">
                  <c:v>3038674.6825475916</c:v>
                </c:pt>
                <c:pt idx="686">
                  <c:v>4080650.0435080715</c:v>
                </c:pt>
                <c:pt idx="687">
                  <c:v>4367534.7456257781</c:v>
                </c:pt>
                <c:pt idx="688">
                  <c:v>4690675.1075575529</c:v>
                </c:pt>
                <c:pt idx="689">
                  <c:v>3821261.7934973743</c:v>
                </c:pt>
                <c:pt idx="690">
                  <c:v>4855355.2941534789</c:v>
                </c:pt>
                <c:pt idx="691">
                  <c:v>3786041.7485804874</c:v>
                </c:pt>
                <c:pt idx="692">
                  <c:v>3473370.7961709253</c:v>
                </c:pt>
                <c:pt idx="693">
                  <c:v>4748693.3662416497</c:v>
                </c:pt>
                <c:pt idx="694">
                  <c:v>2622505.370061947</c:v>
                </c:pt>
                <c:pt idx="695">
                  <c:v>2756094.8755229842</c:v>
                </c:pt>
                <c:pt idx="696">
                  <c:v>2462812.7526282896</c:v>
                </c:pt>
                <c:pt idx="697">
                  <c:v>4627585.2391559258</c:v>
                </c:pt>
                <c:pt idx="698">
                  <c:v>3793389.3354896917</c:v>
                </c:pt>
                <c:pt idx="699">
                  <c:v>2617969.8478235472</c:v>
                </c:pt>
                <c:pt idx="700">
                  <c:v>2992729.8173730928</c:v>
                </c:pt>
                <c:pt idx="701">
                  <c:v>4807745.4949260838</c:v>
                </c:pt>
                <c:pt idx="702">
                  <c:v>4655820.7611782793</c:v>
                </c:pt>
                <c:pt idx="703">
                  <c:v>4717646.568629507</c:v>
                </c:pt>
                <c:pt idx="704">
                  <c:v>3883100.9701770735</c:v>
                </c:pt>
                <c:pt idx="705">
                  <c:v>4097395.581662856</c:v>
                </c:pt>
                <c:pt idx="706">
                  <c:v>4013427.3643964073</c:v>
                </c:pt>
                <c:pt idx="707">
                  <c:v>2803753.791479141</c:v>
                </c:pt>
                <c:pt idx="708">
                  <c:v>3946732.9158753976</c:v>
                </c:pt>
                <c:pt idx="709">
                  <c:v>3847363.8508551661</c:v>
                </c:pt>
                <c:pt idx="710">
                  <c:v>3218258.0329000987</c:v>
                </c:pt>
                <c:pt idx="711">
                  <c:v>3286241.3037888664</c:v>
                </c:pt>
                <c:pt idx="712">
                  <c:v>4529171.4024668587</c:v>
                </c:pt>
                <c:pt idx="713">
                  <c:v>2870090.6607154626</c:v>
                </c:pt>
                <c:pt idx="714">
                  <c:v>3612560.2765938323</c:v>
                </c:pt>
                <c:pt idx="715">
                  <c:v>2450727.3661248595</c:v>
                </c:pt>
                <c:pt idx="716">
                  <c:v>4440459.5109640025</c:v>
                </c:pt>
                <c:pt idx="717">
                  <c:v>2509650.1467787381</c:v>
                </c:pt>
                <c:pt idx="718">
                  <c:v>4010383.8185657514</c:v>
                </c:pt>
                <c:pt idx="719">
                  <c:v>4164390.8369862763</c:v>
                </c:pt>
                <c:pt idx="720">
                  <c:v>2497310.2574153445</c:v>
                </c:pt>
                <c:pt idx="721">
                  <c:v>4106276.3229746427</c:v>
                </c:pt>
                <c:pt idx="722">
                  <c:v>3224322.570506677</c:v>
                </c:pt>
                <c:pt idx="723">
                  <c:v>4718918.8906184062</c:v>
                </c:pt>
                <c:pt idx="724">
                  <c:v>2572871.8871985707</c:v>
                </c:pt>
                <c:pt idx="725">
                  <c:v>3947747.1242508679</c:v>
                </c:pt>
                <c:pt idx="726">
                  <c:v>2601844.333608951</c:v>
                </c:pt>
                <c:pt idx="727">
                  <c:v>2919036.875605586</c:v>
                </c:pt>
                <c:pt idx="728">
                  <c:v>3479948.6125153489</c:v>
                </c:pt>
                <c:pt idx="729">
                  <c:v>3377256.6927840048</c:v>
                </c:pt>
                <c:pt idx="730">
                  <c:v>3480960.6023162529</c:v>
                </c:pt>
                <c:pt idx="731">
                  <c:v>2647704.4857248049</c:v>
                </c:pt>
                <c:pt idx="732">
                  <c:v>4037016.3135380489</c:v>
                </c:pt>
                <c:pt idx="733">
                  <c:v>3739428.4739900115</c:v>
                </c:pt>
                <c:pt idx="734">
                  <c:v>4684823.2545292024</c:v>
                </c:pt>
                <c:pt idx="735">
                  <c:v>2714496.652957439</c:v>
                </c:pt>
                <c:pt idx="736">
                  <c:v>3054580.9941092841</c:v>
                </c:pt>
                <c:pt idx="737">
                  <c:v>3847617.2845366951</c:v>
                </c:pt>
                <c:pt idx="738">
                  <c:v>2487489.2271427568</c:v>
                </c:pt>
                <c:pt idx="739">
                  <c:v>4465620.4847774776</c:v>
                </c:pt>
                <c:pt idx="740">
                  <c:v>4409457.1088404339</c:v>
                </c:pt>
                <c:pt idx="741">
                  <c:v>2517961.0900657023</c:v>
                </c:pt>
                <c:pt idx="742">
                  <c:v>3296352.1993648368</c:v>
                </c:pt>
                <c:pt idx="743">
                  <c:v>4181904.4159313459</c:v>
                </c:pt>
                <c:pt idx="744">
                  <c:v>4382016.0915424293</c:v>
                </c:pt>
                <c:pt idx="745">
                  <c:v>3618382.9107095599</c:v>
                </c:pt>
                <c:pt idx="746">
                  <c:v>3399005.0279816845</c:v>
                </c:pt>
                <c:pt idx="747">
                  <c:v>3209919.5765679395</c:v>
                </c:pt>
                <c:pt idx="748">
                  <c:v>4318000.6838444807</c:v>
                </c:pt>
                <c:pt idx="749">
                  <c:v>3439220.0200322801</c:v>
                </c:pt>
                <c:pt idx="750">
                  <c:v>4138250.0426815557</c:v>
                </c:pt>
                <c:pt idx="751">
                  <c:v>2894562.354860235</c:v>
                </c:pt>
                <c:pt idx="752">
                  <c:v>3030595.7431113357</c:v>
                </c:pt>
                <c:pt idx="753">
                  <c:v>3322642.7805207549</c:v>
                </c:pt>
                <c:pt idx="754">
                  <c:v>4326890.5712517863</c:v>
                </c:pt>
                <c:pt idx="755">
                  <c:v>4580025.6516737659</c:v>
                </c:pt>
                <c:pt idx="756">
                  <c:v>4397768.8396105031</c:v>
                </c:pt>
                <c:pt idx="757">
                  <c:v>4615122.0862611849</c:v>
                </c:pt>
                <c:pt idx="758">
                  <c:v>2778283.935978577</c:v>
                </c:pt>
                <c:pt idx="759">
                  <c:v>4546969.0233510751</c:v>
                </c:pt>
                <c:pt idx="760">
                  <c:v>4700598.1776429331</c:v>
                </c:pt>
                <c:pt idx="761">
                  <c:v>3592562.0067578601</c:v>
                </c:pt>
                <c:pt idx="762">
                  <c:v>3366383.359685428</c:v>
                </c:pt>
                <c:pt idx="763">
                  <c:v>4139772.7198741268</c:v>
                </c:pt>
                <c:pt idx="764">
                  <c:v>2749539.4616673943</c:v>
                </c:pt>
                <c:pt idx="765">
                  <c:v>4138250.0426815557</c:v>
                </c:pt>
                <c:pt idx="766">
                  <c:v>4912653.7050800631</c:v>
                </c:pt>
                <c:pt idx="767">
                  <c:v>4708486.0717257187</c:v>
                </c:pt>
                <c:pt idx="768">
                  <c:v>2425803.4365811213</c:v>
                </c:pt>
                <c:pt idx="769">
                  <c:v>2532820.8628450241</c:v>
                </c:pt>
                <c:pt idx="770">
                  <c:v>3684974.7848882601</c:v>
                </c:pt>
                <c:pt idx="771">
                  <c:v>2528790.9908311469</c:v>
                </c:pt>
                <c:pt idx="772">
                  <c:v>2538110.1863333797</c:v>
                </c:pt>
                <c:pt idx="773">
                  <c:v>2648712.5127515411</c:v>
                </c:pt>
                <c:pt idx="774">
                  <c:v>3572059.4018057426</c:v>
                </c:pt>
                <c:pt idx="775">
                  <c:v>4008862.061897222</c:v>
                </c:pt>
                <c:pt idx="776">
                  <c:v>4433089.6823233087</c:v>
                </c:pt>
                <c:pt idx="777">
                  <c:v>3299891.1265304247</c:v>
                </c:pt>
                <c:pt idx="778">
                  <c:v>3383325.7717703478</c:v>
                </c:pt>
                <c:pt idx="779">
                  <c:v>2904402.2863008776</c:v>
                </c:pt>
                <c:pt idx="780">
                  <c:v>4393957.5849518776</c:v>
                </c:pt>
                <c:pt idx="781">
                  <c:v>3303682.899639376</c:v>
                </c:pt>
                <c:pt idx="782">
                  <c:v>4464857.9877633853</c:v>
                </c:pt>
                <c:pt idx="783">
                  <c:v>3087154.7835355252</c:v>
                </c:pt>
                <c:pt idx="784">
                  <c:v>3763240.5042650588</c:v>
                </c:pt>
                <c:pt idx="785">
                  <c:v>4003028.7616742169</c:v>
                </c:pt>
                <c:pt idx="786">
                  <c:v>3094478.2621764336</c:v>
                </c:pt>
                <c:pt idx="787">
                  <c:v>3371946.390837552</c:v>
                </c:pt>
                <c:pt idx="788">
                  <c:v>3888677.5141782528</c:v>
                </c:pt>
                <c:pt idx="789">
                  <c:v>4211096.8959765891</c:v>
                </c:pt>
                <c:pt idx="790">
                  <c:v>3151812.1589907208</c:v>
                </c:pt>
                <c:pt idx="791">
                  <c:v>2574887.233376862</c:v>
                </c:pt>
                <c:pt idx="792">
                  <c:v>3581930.7799305376</c:v>
                </c:pt>
                <c:pt idx="793">
                  <c:v>2741723.6565214582</c:v>
                </c:pt>
                <c:pt idx="794">
                  <c:v>3449591.1573617016</c:v>
                </c:pt>
                <c:pt idx="795">
                  <c:v>4566802.3913872968</c:v>
                </c:pt>
                <c:pt idx="796">
                  <c:v>4189011.7839137954</c:v>
                </c:pt>
                <c:pt idx="797">
                  <c:v>3468058.0930147269</c:v>
                </c:pt>
                <c:pt idx="798">
                  <c:v>2802997.2169785141</c:v>
                </c:pt>
                <c:pt idx="799">
                  <c:v>3099781.6286926544</c:v>
                </c:pt>
                <c:pt idx="800">
                  <c:v>4522561.2323703039</c:v>
                </c:pt>
                <c:pt idx="801">
                  <c:v>2678451.4696936822</c:v>
                </c:pt>
                <c:pt idx="802">
                  <c:v>2554482.7398665673</c:v>
                </c:pt>
                <c:pt idx="803">
                  <c:v>4585620.3523561768</c:v>
                </c:pt>
                <c:pt idx="804">
                  <c:v>3392682.6080900873</c:v>
                </c:pt>
                <c:pt idx="805">
                  <c:v>4242324.5587899443</c:v>
                </c:pt>
                <c:pt idx="806">
                  <c:v>4046401.887824975</c:v>
                </c:pt>
                <c:pt idx="807">
                  <c:v>2769458.4630217827</c:v>
                </c:pt>
                <c:pt idx="808">
                  <c:v>4683042.2872891678</c:v>
                </c:pt>
                <c:pt idx="809">
                  <c:v>4446304.727144069</c:v>
                </c:pt>
                <c:pt idx="810">
                  <c:v>3565225.6389453011</c:v>
                </c:pt>
                <c:pt idx="811">
                  <c:v>4061115.2385043404</c:v>
                </c:pt>
                <c:pt idx="812">
                  <c:v>4668540.672835229</c:v>
                </c:pt>
                <c:pt idx="813">
                  <c:v>4633944.2682966841</c:v>
                </c:pt>
                <c:pt idx="814">
                  <c:v>2458028.8712547151</c:v>
                </c:pt>
                <c:pt idx="815">
                  <c:v>4746148.3787759356</c:v>
                </c:pt>
                <c:pt idx="816">
                  <c:v>4697035.9974101745</c:v>
                </c:pt>
                <c:pt idx="817">
                  <c:v>3614838.6796786766</c:v>
                </c:pt>
                <c:pt idx="818">
                  <c:v>4593249.723838212</c:v>
                </c:pt>
                <c:pt idx="819">
                  <c:v>3629269.1319880076</c:v>
                </c:pt>
                <c:pt idx="820">
                  <c:v>3578640.2696944238</c:v>
                </c:pt>
                <c:pt idx="821">
                  <c:v>2741471.5385777708</c:v>
                </c:pt>
                <c:pt idx="822">
                  <c:v>3724230.696163197</c:v>
                </c:pt>
                <c:pt idx="823">
                  <c:v>4597318.8324472075</c:v>
                </c:pt>
                <c:pt idx="824">
                  <c:v>2665849.7066736124</c:v>
                </c:pt>
                <c:pt idx="825">
                  <c:v>3351212.1966927871</c:v>
                </c:pt>
                <c:pt idx="826">
                  <c:v>3730562.9719206677</c:v>
                </c:pt>
                <c:pt idx="827">
                  <c:v>3922393.3592034513</c:v>
                </c:pt>
                <c:pt idx="828">
                  <c:v>3295088.3110952517</c:v>
                </c:pt>
                <c:pt idx="829">
                  <c:v>4262891.601511376</c:v>
                </c:pt>
                <c:pt idx="830">
                  <c:v>3423537.7975615519</c:v>
                </c:pt>
                <c:pt idx="831">
                  <c:v>2957142.0129869878</c:v>
                </c:pt>
                <c:pt idx="832">
                  <c:v>4285746.184802887</c:v>
                </c:pt>
                <c:pt idx="833">
                  <c:v>4287269.9102754258</c:v>
                </c:pt>
                <c:pt idx="834">
                  <c:v>4148655.219303377</c:v>
                </c:pt>
                <c:pt idx="835">
                  <c:v>3041704.3641933952</c:v>
                </c:pt>
                <c:pt idx="836">
                  <c:v>4448846.1750570992</c:v>
                </c:pt>
                <c:pt idx="837">
                  <c:v>4771345.0761054419</c:v>
                </c:pt>
                <c:pt idx="838">
                  <c:v>4720445.6869055759</c:v>
                </c:pt>
                <c:pt idx="839">
                  <c:v>2991720.1519252555</c:v>
                </c:pt>
                <c:pt idx="840">
                  <c:v>2597813.1470154114</c:v>
                </c:pt>
                <c:pt idx="841">
                  <c:v>4523578.1684011985</c:v>
                </c:pt>
                <c:pt idx="842">
                  <c:v>3945465.1621763203</c:v>
                </c:pt>
                <c:pt idx="843">
                  <c:v>4150685.5566198882</c:v>
                </c:pt>
                <c:pt idx="844">
                  <c:v>2608143.216376212</c:v>
                </c:pt>
                <c:pt idx="845">
                  <c:v>4895080.5794977397</c:v>
                </c:pt>
                <c:pt idx="846">
                  <c:v>3176316.3908276148</c:v>
                </c:pt>
                <c:pt idx="847">
                  <c:v>2801988.4551815875</c:v>
                </c:pt>
                <c:pt idx="848">
                  <c:v>3292055.0099330014</c:v>
                </c:pt>
                <c:pt idx="849">
                  <c:v>4693219.4409940736</c:v>
                </c:pt>
                <c:pt idx="850">
                  <c:v>3754627.3352729641</c:v>
                </c:pt>
                <c:pt idx="851">
                  <c:v>2820146.9026305825</c:v>
                </c:pt>
                <c:pt idx="852">
                  <c:v>3466540.2022020519</c:v>
                </c:pt>
                <c:pt idx="853">
                  <c:v>2734412.3580261073</c:v>
                </c:pt>
                <c:pt idx="854">
                  <c:v>4496376.7846582113</c:v>
                </c:pt>
                <c:pt idx="855">
                  <c:v>3018982.8069243715</c:v>
                </c:pt>
                <c:pt idx="856">
                  <c:v>4476804.0849467097</c:v>
                </c:pt>
                <c:pt idx="857">
                  <c:v>2895066.955613466</c:v>
                </c:pt>
                <c:pt idx="858">
                  <c:v>4210081.4386056289</c:v>
                </c:pt>
                <c:pt idx="859">
                  <c:v>4746402.8761726739</c:v>
                </c:pt>
                <c:pt idx="860">
                  <c:v>2601592.3821974001</c:v>
                </c:pt>
                <c:pt idx="861">
                  <c:v>3988319.4069925691</c:v>
                </c:pt>
                <c:pt idx="862">
                  <c:v>4244355.7838536482</c:v>
                </c:pt>
                <c:pt idx="863">
                  <c:v>4277619.8317397935</c:v>
                </c:pt>
                <c:pt idx="864">
                  <c:v>4247656.5656252671</c:v>
                </c:pt>
                <c:pt idx="865">
                  <c:v>4831421.785187874</c:v>
                </c:pt>
                <c:pt idx="866">
                  <c:v>3410638.7719416548</c:v>
                </c:pt>
                <c:pt idx="867">
                  <c:v>2963199.0896812184</c:v>
                </c:pt>
                <c:pt idx="868">
                  <c:v>3168737.4601930082</c:v>
                </c:pt>
                <c:pt idx="869">
                  <c:v>4228106.5221777717</c:v>
                </c:pt>
                <c:pt idx="870">
                  <c:v>3056095.9431509441</c:v>
                </c:pt>
                <c:pt idx="871">
                  <c:v>4679734.8157109283</c:v>
                </c:pt>
                <c:pt idx="872">
                  <c:v>3239990.0945391832</c:v>
                </c:pt>
                <c:pt idx="873">
                  <c:v>3530807.0580373011</c:v>
                </c:pt>
                <c:pt idx="874">
                  <c:v>4524595.1092374828</c:v>
                </c:pt>
                <c:pt idx="875">
                  <c:v>3171768.9999675928</c:v>
                </c:pt>
                <c:pt idx="876">
                  <c:v>3275119.8745798059</c:v>
                </c:pt>
                <c:pt idx="877">
                  <c:v>4083694.589344258</c:v>
                </c:pt>
                <c:pt idx="878">
                  <c:v>4095112.022028367</c:v>
                </c:pt>
                <c:pt idx="879">
                  <c:v>4856373.8000977812</c:v>
                </c:pt>
                <c:pt idx="880">
                  <c:v>4620717.6984060891</c:v>
                </c:pt>
                <c:pt idx="881">
                  <c:v>4701107.0653341236</c:v>
                </c:pt>
                <c:pt idx="882">
                  <c:v>3116450.2152461396</c:v>
                </c:pt>
                <c:pt idx="883">
                  <c:v>3471852.8674418493</c:v>
                </c:pt>
                <c:pt idx="884">
                  <c:v>3552064.9360339092</c:v>
                </c:pt>
                <c:pt idx="885">
                  <c:v>4189773.3016104558</c:v>
                </c:pt>
                <c:pt idx="886">
                  <c:v>2932410.7461508997</c:v>
                </c:pt>
                <c:pt idx="887">
                  <c:v>2905916.162464432</c:v>
                </c:pt>
                <c:pt idx="888">
                  <c:v>3952818.2383440612</c:v>
                </c:pt>
                <c:pt idx="889">
                  <c:v>3900591.5279472377</c:v>
                </c:pt>
                <c:pt idx="890">
                  <c:v>4889477.8539092401</c:v>
                </c:pt>
                <c:pt idx="891">
                  <c:v>4498410.4140318604</c:v>
                </c:pt>
                <c:pt idx="892">
                  <c:v>4635470.4632058926</c:v>
                </c:pt>
                <c:pt idx="893">
                  <c:v>2647956.4920314644</c:v>
                </c:pt>
                <c:pt idx="894">
                  <c:v>2731387.0669734683</c:v>
                </c:pt>
                <c:pt idx="895">
                  <c:v>4530951.0983349467</c:v>
                </c:pt>
                <c:pt idx="896">
                  <c:v>4408186.6139924377</c:v>
                </c:pt>
                <c:pt idx="897">
                  <c:v>4302761.7335902182</c:v>
                </c:pt>
                <c:pt idx="898">
                  <c:v>2871856.564638373</c:v>
                </c:pt>
                <c:pt idx="899">
                  <c:v>4348227.8033768563</c:v>
                </c:pt>
                <c:pt idx="900">
                  <c:v>4620972.0478648376</c:v>
                </c:pt>
                <c:pt idx="901">
                  <c:v>2620489.5704018334</c:v>
                </c:pt>
                <c:pt idx="902">
                  <c:v>4123023.8663035873</c:v>
                </c:pt>
                <c:pt idx="903">
                  <c:v>2765676.2300546719</c:v>
                </c:pt>
                <c:pt idx="904">
                  <c:v>4082426.023314822</c:v>
                </c:pt>
                <c:pt idx="905">
                  <c:v>4003535.9988536006</c:v>
                </c:pt>
                <c:pt idx="906">
                  <c:v>2768197.7111938284</c:v>
                </c:pt>
                <c:pt idx="907">
                  <c:v>3656107.3099697987</c:v>
                </c:pt>
                <c:pt idx="908">
                  <c:v>4142310.5392572004</c:v>
                </c:pt>
                <c:pt idx="909">
                  <c:v>4741821.9689264186</c:v>
                </c:pt>
                <c:pt idx="910">
                  <c:v>2681728.0509559028</c:v>
                </c:pt>
                <c:pt idx="911">
                  <c:v>3305705.2063077977</c:v>
                </c:pt>
                <c:pt idx="912">
                  <c:v>3611294.5076358207</c:v>
                </c:pt>
                <c:pt idx="913">
                  <c:v>3638130.4205841995</c:v>
                </c:pt>
                <c:pt idx="914">
                  <c:v>2676939.2185229454</c:v>
                </c:pt>
                <c:pt idx="915">
                  <c:v>3057358.408952625</c:v>
                </c:pt>
                <c:pt idx="916">
                  <c:v>3835706.2268205304</c:v>
                </c:pt>
                <c:pt idx="917">
                  <c:v>4579771.350550144</c:v>
                </c:pt>
                <c:pt idx="918">
                  <c:v>4097649.3120151833</c:v>
                </c:pt>
                <c:pt idx="919">
                  <c:v>4255781.7833970999</c:v>
                </c:pt>
                <c:pt idx="920">
                  <c:v>3627750.0909611527</c:v>
                </c:pt>
                <c:pt idx="921">
                  <c:v>3839254.1319421586</c:v>
                </c:pt>
                <c:pt idx="922">
                  <c:v>3228871.0874057072</c:v>
                </c:pt>
                <c:pt idx="923">
                  <c:v>3182127.0876133307</c:v>
                </c:pt>
                <c:pt idx="924">
                  <c:v>4334002.7463025777</c:v>
                </c:pt>
                <c:pt idx="925">
                  <c:v>2768954.1613899255</c:v>
                </c:pt>
                <c:pt idx="926">
                  <c:v>3945211.612339207</c:v>
                </c:pt>
                <c:pt idx="927">
                  <c:v>3713592.8963435506</c:v>
                </c:pt>
                <c:pt idx="928">
                  <c:v>4767272.6834402177</c:v>
                </c:pt>
                <c:pt idx="929">
                  <c:v>2709454.9994486505</c:v>
                </c:pt>
                <c:pt idx="930">
                  <c:v>2531309.6518461253</c:v>
                </c:pt>
                <c:pt idx="931">
                  <c:v>4666505.4365511602</c:v>
                </c:pt>
                <c:pt idx="932">
                  <c:v>3735122.3269379432</c:v>
                </c:pt>
                <c:pt idx="933">
                  <c:v>2475654.2322475072</c:v>
                </c:pt>
                <c:pt idx="934">
                  <c:v>2856972.978062578</c:v>
                </c:pt>
                <c:pt idx="935">
                  <c:v>4849498.978047492</c:v>
                </c:pt>
                <c:pt idx="936">
                  <c:v>2592774.2717452631</c:v>
                </c:pt>
                <c:pt idx="937">
                  <c:v>3407856.7317678379</c:v>
                </c:pt>
                <c:pt idx="938">
                  <c:v>3739681.7794664223</c:v>
                </c:pt>
                <c:pt idx="939">
                  <c:v>3073771.1482939757</c:v>
                </c:pt>
                <c:pt idx="940">
                  <c:v>2676939.2185229454</c:v>
                </c:pt>
                <c:pt idx="941">
                  <c:v>4327398.5759400316</c:v>
                </c:pt>
                <c:pt idx="942">
                  <c:v>3994405.9137587901</c:v>
                </c:pt>
                <c:pt idx="943">
                  <c:v>3222048.3486018181</c:v>
                </c:pt>
                <c:pt idx="944">
                  <c:v>2803501.5996786524</c:v>
                </c:pt>
                <c:pt idx="945">
                  <c:v>4041835.8813215001</c:v>
                </c:pt>
                <c:pt idx="946">
                  <c:v>2434866.3439522199</c:v>
                </c:pt>
                <c:pt idx="947">
                  <c:v>4105768.8421159661</c:v>
                </c:pt>
                <c:pt idx="948">
                  <c:v>4318000.6838444807</c:v>
                </c:pt>
                <c:pt idx="949">
                  <c:v>3898310.0695976242</c:v>
                </c:pt>
                <c:pt idx="950">
                  <c:v>2930644.3375162217</c:v>
                </c:pt>
                <c:pt idx="951">
                  <c:v>4539087.0382762793</c:v>
                </c:pt>
                <c:pt idx="952">
                  <c:v>3500948.3874831405</c:v>
                </c:pt>
                <c:pt idx="953">
                  <c:v>2711471.6464459328</c:v>
                </c:pt>
                <c:pt idx="954">
                  <c:v>4301491.8699191827</c:v>
                </c:pt>
                <c:pt idx="955">
                  <c:v>3330480.0255768625</c:v>
                </c:pt>
                <c:pt idx="956">
                  <c:v>4231660.9429271836</c:v>
                </c:pt>
                <c:pt idx="957">
                  <c:v>4353562.4427932231</c:v>
                </c:pt>
                <c:pt idx="958">
                  <c:v>2827965.6024898076</c:v>
                </c:pt>
                <c:pt idx="959">
                  <c:v>4362961.8918869188</c:v>
                </c:pt>
                <c:pt idx="960">
                  <c:v>2789631.5130722569</c:v>
                </c:pt>
                <c:pt idx="961">
                  <c:v>2579169.907730062</c:v>
                </c:pt>
                <c:pt idx="962">
                  <c:v>4919785.2354135411</c:v>
                </c:pt>
                <c:pt idx="963">
                  <c:v>3912759.7174690254</c:v>
                </c:pt>
                <c:pt idx="964">
                  <c:v>3050036.2119169729</c:v>
                </c:pt>
                <c:pt idx="965">
                  <c:v>3790855.6562408572</c:v>
                </c:pt>
                <c:pt idx="966">
                  <c:v>4319524.6383906193</c:v>
                </c:pt>
                <c:pt idx="967">
                  <c:v>3328457.4830452548</c:v>
                </c:pt>
                <c:pt idx="968">
                  <c:v>3828103.7716103173</c:v>
                </c:pt>
                <c:pt idx="969">
                  <c:v>4276858.0019240361</c:v>
                </c:pt>
                <c:pt idx="970">
                  <c:v>4914691.2612054031</c:v>
                </c:pt>
                <c:pt idx="971">
                  <c:v>3953832.4756058138</c:v>
                </c:pt>
                <c:pt idx="972">
                  <c:v>3937605.2571453983</c:v>
                </c:pt>
                <c:pt idx="973">
                  <c:v>2847135.2490661526</c:v>
                </c:pt>
                <c:pt idx="974">
                  <c:v>2975566.1587255392</c:v>
                </c:pt>
                <c:pt idx="975">
                  <c:v>4603931.2978579551</c:v>
                </c:pt>
                <c:pt idx="976">
                  <c:v>4725026.1405693255</c:v>
                </c:pt>
                <c:pt idx="977">
                  <c:v>3376750.9440247556</c:v>
                </c:pt>
                <c:pt idx="978">
                  <c:v>4921822.8586539738</c:v>
                </c:pt>
                <c:pt idx="979">
                  <c:v>4086485.4610811002</c:v>
                </c:pt>
                <c:pt idx="980">
                  <c:v>2467344.9505539546</c:v>
                </c:pt>
                <c:pt idx="981">
                  <c:v>4684823.2545292024</c:v>
                </c:pt>
                <c:pt idx="982">
                  <c:v>4492817.9795124438</c:v>
                </c:pt>
                <c:pt idx="983">
                  <c:v>3751334.1567186685</c:v>
                </c:pt>
                <c:pt idx="984">
                  <c:v>3571553.1896256083</c:v>
                </c:pt>
                <c:pt idx="985">
                  <c:v>3044481.6103947107</c:v>
                </c:pt>
                <c:pt idx="986">
                  <c:v>3039432.0989009584</c:v>
                </c:pt>
                <c:pt idx="987">
                  <c:v>2414475.3483222798</c:v>
                </c:pt>
                <c:pt idx="988">
                  <c:v>4327398.5759400316</c:v>
                </c:pt>
                <c:pt idx="989">
                  <c:v>4873179.8405740159</c:v>
                </c:pt>
                <c:pt idx="990">
                  <c:v>4439188.8328260649</c:v>
                </c:pt>
                <c:pt idx="991">
                  <c:v>3941915.4918387914</c:v>
                </c:pt>
                <c:pt idx="992">
                  <c:v>3541182.6617755974</c:v>
                </c:pt>
                <c:pt idx="993">
                  <c:v>3909971.1128002494</c:v>
                </c:pt>
                <c:pt idx="994">
                  <c:v>2440908.4978996413</c:v>
                </c:pt>
                <c:pt idx="995">
                  <c:v>4627330.8818925098</c:v>
                </c:pt>
                <c:pt idx="996">
                  <c:v>2564054.9733201871</c:v>
                </c:pt>
                <c:pt idx="997">
                  <c:v>4041074.8897142657</c:v>
                </c:pt>
                <c:pt idx="998">
                  <c:v>3447314.5229089791</c:v>
                </c:pt>
                <c:pt idx="999">
                  <c:v>3274614.3689080151</c:v>
                </c:pt>
              </c:numCache>
            </c:numRef>
          </c:yVal>
          <c:smooth val="0"/>
          <c:extLst>
            <c:ext xmlns:c16="http://schemas.microsoft.com/office/drawing/2014/chart" uri="{C3380CC4-5D6E-409C-BE32-E72D297353CC}">
              <c16:uniqueId val="{00000004-3C09-4549-8FAA-8789CDDB4B00}"/>
            </c:ext>
          </c:extLst>
        </c:ser>
        <c:dLbls>
          <c:showLegendKey val="0"/>
          <c:showVal val="0"/>
          <c:showCatName val="0"/>
          <c:showSerName val="0"/>
          <c:showPercent val="0"/>
          <c:showBubbleSize val="0"/>
        </c:dLbls>
        <c:axId val="629983696"/>
        <c:axId val="629984176"/>
      </c:scatterChart>
      <c:valAx>
        <c:axId val="62998369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629984176"/>
        <c:crosses val="autoZero"/>
        <c:crossBetween val="midCat"/>
      </c:valAx>
      <c:valAx>
        <c:axId val="62998417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00\ [$€-C0A]_-;\-* #,##0.00\ [$€-C0A]_-;_-* &quot;-&quot;??\ [$€-C0A]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62998369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Regresion</a:t>
            </a:r>
            <a:r>
              <a:rPr lang="en-US" baseline="0"/>
              <a:t> Lineal</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'Regresion Lineal'!$B$1</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layout>
                <c:manualLayout>
                  <c:x val="0.16745047130736565"/>
                  <c:y val="-0.582581761631874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trendlineLbl>
          </c:trendline>
          <c:trendline>
            <c:spPr>
              <a:ln w="25400" cap="rnd">
                <a:solidFill>
                  <a:schemeClr val="accent1">
                    <a:alpha val="50000"/>
                  </a:schemeClr>
                </a:solidFill>
              </a:ln>
              <a:effectLst/>
            </c:spPr>
            <c:trendlineType val="linear"/>
            <c:dispRSqr val="0"/>
            <c:dispEq val="0"/>
          </c:trendline>
          <c:xVal>
            <c:numRef>
              <c:f>'Regresion Lineal'!$A$2:$A$1001</c:f>
              <c:numCache>
                <c:formatCode>General</c:formatCode>
                <c:ptCount val="1000"/>
                <c:pt idx="0">
                  <c:v>5530</c:v>
                </c:pt>
                <c:pt idx="1">
                  <c:v>994</c:v>
                </c:pt>
                <c:pt idx="2">
                  <c:v>6845</c:v>
                </c:pt>
                <c:pt idx="3">
                  <c:v>9806</c:v>
                </c:pt>
                <c:pt idx="4">
                  <c:v>3633</c:v>
                </c:pt>
                <c:pt idx="5">
                  <c:v>4110</c:v>
                </c:pt>
                <c:pt idx="6">
                  <c:v>4056</c:v>
                </c:pt>
                <c:pt idx="7">
                  <c:v>8319</c:v>
                </c:pt>
                <c:pt idx="8">
                  <c:v>8779</c:v>
                </c:pt>
                <c:pt idx="9">
                  <c:v>9347</c:v>
                </c:pt>
                <c:pt idx="10">
                  <c:v>966</c:v>
                </c:pt>
                <c:pt idx="11">
                  <c:v>6609</c:v>
                </c:pt>
                <c:pt idx="12">
                  <c:v>6281</c:v>
                </c:pt>
                <c:pt idx="13">
                  <c:v>2018</c:v>
                </c:pt>
                <c:pt idx="14">
                  <c:v>2888</c:v>
                </c:pt>
                <c:pt idx="15">
                  <c:v>9989</c:v>
                </c:pt>
                <c:pt idx="16">
                  <c:v>1451</c:v>
                </c:pt>
                <c:pt idx="17">
                  <c:v>7436</c:v>
                </c:pt>
                <c:pt idx="18">
                  <c:v>5135</c:v>
                </c:pt>
                <c:pt idx="19">
                  <c:v>3772</c:v>
                </c:pt>
                <c:pt idx="20">
                  <c:v>9602</c:v>
                </c:pt>
                <c:pt idx="21">
                  <c:v>912</c:v>
                </c:pt>
                <c:pt idx="22">
                  <c:v>3019</c:v>
                </c:pt>
                <c:pt idx="23">
                  <c:v>3270</c:v>
                </c:pt>
                <c:pt idx="24">
                  <c:v>6047</c:v>
                </c:pt>
                <c:pt idx="25">
                  <c:v>7761</c:v>
                </c:pt>
                <c:pt idx="26">
                  <c:v>1852</c:v>
                </c:pt>
                <c:pt idx="27">
                  <c:v>3797</c:v>
                </c:pt>
                <c:pt idx="28">
                  <c:v>6098</c:v>
                </c:pt>
                <c:pt idx="29">
                  <c:v>3293</c:v>
                </c:pt>
                <c:pt idx="30">
                  <c:v>6948</c:v>
                </c:pt>
                <c:pt idx="31">
                  <c:v>663</c:v>
                </c:pt>
                <c:pt idx="32">
                  <c:v>5067</c:v>
                </c:pt>
                <c:pt idx="33">
                  <c:v>2822</c:v>
                </c:pt>
                <c:pt idx="34">
                  <c:v>3619</c:v>
                </c:pt>
                <c:pt idx="35">
                  <c:v>9183</c:v>
                </c:pt>
                <c:pt idx="36">
                  <c:v>8268</c:v>
                </c:pt>
                <c:pt idx="37">
                  <c:v>1660</c:v>
                </c:pt>
                <c:pt idx="38">
                  <c:v>7177</c:v>
                </c:pt>
                <c:pt idx="39">
                  <c:v>4668</c:v>
                </c:pt>
                <c:pt idx="40">
                  <c:v>1011</c:v>
                </c:pt>
                <c:pt idx="41">
                  <c:v>5120</c:v>
                </c:pt>
                <c:pt idx="42">
                  <c:v>2935</c:v>
                </c:pt>
                <c:pt idx="43">
                  <c:v>2430</c:v>
                </c:pt>
                <c:pt idx="44">
                  <c:v>8611</c:v>
                </c:pt>
                <c:pt idx="45">
                  <c:v>8513</c:v>
                </c:pt>
                <c:pt idx="46">
                  <c:v>6205</c:v>
                </c:pt>
                <c:pt idx="47">
                  <c:v>7783</c:v>
                </c:pt>
                <c:pt idx="48">
                  <c:v>6379</c:v>
                </c:pt>
                <c:pt idx="49">
                  <c:v>7154</c:v>
                </c:pt>
                <c:pt idx="50">
                  <c:v>2299</c:v>
                </c:pt>
                <c:pt idx="51">
                  <c:v>6039</c:v>
                </c:pt>
                <c:pt idx="52">
                  <c:v>9628</c:v>
                </c:pt>
                <c:pt idx="53">
                  <c:v>6353</c:v>
                </c:pt>
                <c:pt idx="54">
                  <c:v>6531</c:v>
                </c:pt>
                <c:pt idx="55">
                  <c:v>2510</c:v>
                </c:pt>
                <c:pt idx="56">
                  <c:v>3671</c:v>
                </c:pt>
                <c:pt idx="57">
                  <c:v>1424</c:v>
                </c:pt>
                <c:pt idx="58">
                  <c:v>4212</c:v>
                </c:pt>
                <c:pt idx="59">
                  <c:v>2509</c:v>
                </c:pt>
                <c:pt idx="60">
                  <c:v>3819</c:v>
                </c:pt>
                <c:pt idx="61">
                  <c:v>7679</c:v>
                </c:pt>
                <c:pt idx="62">
                  <c:v>656</c:v>
                </c:pt>
                <c:pt idx="63">
                  <c:v>1348</c:v>
                </c:pt>
                <c:pt idx="64">
                  <c:v>5386</c:v>
                </c:pt>
                <c:pt idx="65">
                  <c:v>431</c:v>
                </c:pt>
                <c:pt idx="66">
                  <c:v>1174</c:v>
                </c:pt>
                <c:pt idx="67">
                  <c:v>4340</c:v>
                </c:pt>
                <c:pt idx="68">
                  <c:v>3684</c:v>
                </c:pt>
                <c:pt idx="69">
                  <c:v>4991</c:v>
                </c:pt>
                <c:pt idx="70">
                  <c:v>1080</c:v>
                </c:pt>
                <c:pt idx="71">
                  <c:v>6798</c:v>
                </c:pt>
                <c:pt idx="72">
                  <c:v>4025</c:v>
                </c:pt>
                <c:pt idx="73">
                  <c:v>6674</c:v>
                </c:pt>
                <c:pt idx="74">
                  <c:v>5685</c:v>
                </c:pt>
                <c:pt idx="75">
                  <c:v>4033</c:v>
                </c:pt>
                <c:pt idx="76">
                  <c:v>1723</c:v>
                </c:pt>
                <c:pt idx="77">
                  <c:v>790</c:v>
                </c:pt>
                <c:pt idx="78">
                  <c:v>303</c:v>
                </c:pt>
                <c:pt idx="79">
                  <c:v>1359</c:v>
                </c:pt>
                <c:pt idx="80">
                  <c:v>2089</c:v>
                </c:pt>
                <c:pt idx="81">
                  <c:v>2653</c:v>
                </c:pt>
                <c:pt idx="82">
                  <c:v>245</c:v>
                </c:pt>
                <c:pt idx="83">
                  <c:v>4087</c:v>
                </c:pt>
                <c:pt idx="84">
                  <c:v>435</c:v>
                </c:pt>
                <c:pt idx="85">
                  <c:v>7575</c:v>
                </c:pt>
                <c:pt idx="86">
                  <c:v>824</c:v>
                </c:pt>
                <c:pt idx="87">
                  <c:v>7531</c:v>
                </c:pt>
                <c:pt idx="88">
                  <c:v>2075</c:v>
                </c:pt>
                <c:pt idx="89">
                  <c:v>869</c:v>
                </c:pt>
                <c:pt idx="90">
                  <c:v>7353</c:v>
                </c:pt>
                <c:pt idx="91">
                  <c:v>7003</c:v>
                </c:pt>
                <c:pt idx="92">
                  <c:v>2322</c:v>
                </c:pt>
                <c:pt idx="93">
                  <c:v>7846</c:v>
                </c:pt>
                <c:pt idx="94">
                  <c:v>5145</c:v>
                </c:pt>
                <c:pt idx="95">
                  <c:v>7815</c:v>
                </c:pt>
                <c:pt idx="96">
                  <c:v>6486</c:v>
                </c:pt>
                <c:pt idx="97">
                  <c:v>3821</c:v>
                </c:pt>
                <c:pt idx="98">
                  <c:v>9511</c:v>
                </c:pt>
                <c:pt idx="99">
                  <c:v>5279</c:v>
                </c:pt>
                <c:pt idx="100">
                  <c:v>9882</c:v>
                </c:pt>
                <c:pt idx="101">
                  <c:v>4104</c:v>
                </c:pt>
                <c:pt idx="102">
                  <c:v>5764</c:v>
                </c:pt>
                <c:pt idx="103">
                  <c:v>4709</c:v>
                </c:pt>
                <c:pt idx="104">
                  <c:v>7821</c:v>
                </c:pt>
                <c:pt idx="105">
                  <c:v>4009</c:v>
                </c:pt>
                <c:pt idx="106">
                  <c:v>9217</c:v>
                </c:pt>
                <c:pt idx="107">
                  <c:v>1417</c:v>
                </c:pt>
                <c:pt idx="108">
                  <c:v>5616</c:v>
                </c:pt>
                <c:pt idx="109">
                  <c:v>8848</c:v>
                </c:pt>
                <c:pt idx="110">
                  <c:v>5182</c:v>
                </c:pt>
                <c:pt idx="111">
                  <c:v>716</c:v>
                </c:pt>
                <c:pt idx="112">
                  <c:v>8579</c:v>
                </c:pt>
                <c:pt idx="113">
                  <c:v>3934</c:v>
                </c:pt>
                <c:pt idx="114">
                  <c:v>8972</c:v>
                </c:pt>
                <c:pt idx="115">
                  <c:v>7917</c:v>
                </c:pt>
                <c:pt idx="116">
                  <c:v>2024</c:v>
                </c:pt>
                <c:pt idx="117">
                  <c:v>4578</c:v>
                </c:pt>
                <c:pt idx="118">
                  <c:v>5899</c:v>
                </c:pt>
                <c:pt idx="119">
                  <c:v>8333</c:v>
                </c:pt>
                <c:pt idx="120">
                  <c:v>1261</c:v>
                </c:pt>
                <c:pt idx="121">
                  <c:v>6095</c:v>
                </c:pt>
                <c:pt idx="122">
                  <c:v>1276</c:v>
                </c:pt>
                <c:pt idx="123">
                  <c:v>7277</c:v>
                </c:pt>
                <c:pt idx="124">
                  <c:v>1605</c:v>
                </c:pt>
                <c:pt idx="125">
                  <c:v>3795</c:v>
                </c:pt>
                <c:pt idx="126">
                  <c:v>415</c:v>
                </c:pt>
                <c:pt idx="127">
                  <c:v>62</c:v>
                </c:pt>
                <c:pt idx="128">
                  <c:v>8367</c:v>
                </c:pt>
                <c:pt idx="129">
                  <c:v>2992</c:v>
                </c:pt>
                <c:pt idx="130">
                  <c:v>8628</c:v>
                </c:pt>
                <c:pt idx="131">
                  <c:v>1999</c:v>
                </c:pt>
                <c:pt idx="132">
                  <c:v>6861</c:v>
                </c:pt>
                <c:pt idx="133">
                  <c:v>8998</c:v>
                </c:pt>
                <c:pt idx="134">
                  <c:v>1229</c:v>
                </c:pt>
                <c:pt idx="135">
                  <c:v>8402</c:v>
                </c:pt>
                <c:pt idx="136">
                  <c:v>2397</c:v>
                </c:pt>
                <c:pt idx="137">
                  <c:v>7126</c:v>
                </c:pt>
                <c:pt idx="138">
                  <c:v>3530</c:v>
                </c:pt>
                <c:pt idx="139">
                  <c:v>4583</c:v>
                </c:pt>
                <c:pt idx="140">
                  <c:v>290</c:v>
                </c:pt>
                <c:pt idx="141">
                  <c:v>2687</c:v>
                </c:pt>
                <c:pt idx="142">
                  <c:v>842</c:v>
                </c:pt>
                <c:pt idx="143">
                  <c:v>5854</c:v>
                </c:pt>
                <c:pt idx="144">
                  <c:v>5851</c:v>
                </c:pt>
                <c:pt idx="145">
                  <c:v>996</c:v>
                </c:pt>
                <c:pt idx="146">
                  <c:v>8480</c:v>
                </c:pt>
                <c:pt idx="147">
                  <c:v>7527</c:v>
                </c:pt>
                <c:pt idx="148">
                  <c:v>4393</c:v>
                </c:pt>
                <c:pt idx="149">
                  <c:v>7363</c:v>
                </c:pt>
                <c:pt idx="150">
                  <c:v>1755</c:v>
                </c:pt>
                <c:pt idx="151">
                  <c:v>4917</c:v>
                </c:pt>
                <c:pt idx="152">
                  <c:v>1229</c:v>
                </c:pt>
                <c:pt idx="153">
                  <c:v>7102</c:v>
                </c:pt>
                <c:pt idx="154">
                  <c:v>5979</c:v>
                </c:pt>
                <c:pt idx="155">
                  <c:v>3333</c:v>
                </c:pt>
                <c:pt idx="156">
                  <c:v>1670</c:v>
                </c:pt>
                <c:pt idx="157">
                  <c:v>5525</c:v>
                </c:pt>
                <c:pt idx="158">
                  <c:v>6466</c:v>
                </c:pt>
                <c:pt idx="159">
                  <c:v>8091</c:v>
                </c:pt>
                <c:pt idx="160">
                  <c:v>1030</c:v>
                </c:pt>
                <c:pt idx="161">
                  <c:v>7945</c:v>
                </c:pt>
                <c:pt idx="162">
                  <c:v>8527</c:v>
                </c:pt>
                <c:pt idx="163">
                  <c:v>4501</c:v>
                </c:pt>
                <c:pt idx="164">
                  <c:v>4621</c:v>
                </c:pt>
                <c:pt idx="165">
                  <c:v>9673</c:v>
                </c:pt>
                <c:pt idx="166">
                  <c:v>7476</c:v>
                </c:pt>
                <c:pt idx="167">
                  <c:v>7876</c:v>
                </c:pt>
                <c:pt idx="168">
                  <c:v>7755</c:v>
                </c:pt>
                <c:pt idx="169">
                  <c:v>6024</c:v>
                </c:pt>
                <c:pt idx="170">
                  <c:v>8624</c:v>
                </c:pt>
                <c:pt idx="171">
                  <c:v>3529</c:v>
                </c:pt>
                <c:pt idx="172">
                  <c:v>5745</c:v>
                </c:pt>
                <c:pt idx="173">
                  <c:v>2308</c:v>
                </c:pt>
                <c:pt idx="174">
                  <c:v>7284</c:v>
                </c:pt>
                <c:pt idx="175">
                  <c:v>6773</c:v>
                </c:pt>
                <c:pt idx="176">
                  <c:v>3904</c:v>
                </c:pt>
                <c:pt idx="177">
                  <c:v>3839</c:v>
                </c:pt>
                <c:pt idx="178">
                  <c:v>8769</c:v>
                </c:pt>
                <c:pt idx="179">
                  <c:v>2919</c:v>
                </c:pt>
                <c:pt idx="180">
                  <c:v>7544</c:v>
                </c:pt>
                <c:pt idx="181">
                  <c:v>5929</c:v>
                </c:pt>
                <c:pt idx="182">
                  <c:v>8392</c:v>
                </c:pt>
                <c:pt idx="183">
                  <c:v>7281</c:v>
                </c:pt>
                <c:pt idx="184">
                  <c:v>1977</c:v>
                </c:pt>
                <c:pt idx="185">
                  <c:v>3890</c:v>
                </c:pt>
                <c:pt idx="186">
                  <c:v>1464</c:v>
                </c:pt>
                <c:pt idx="187">
                  <c:v>5171</c:v>
                </c:pt>
                <c:pt idx="188">
                  <c:v>2516</c:v>
                </c:pt>
                <c:pt idx="189">
                  <c:v>3036</c:v>
                </c:pt>
                <c:pt idx="190">
                  <c:v>3298</c:v>
                </c:pt>
                <c:pt idx="191">
                  <c:v>1901</c:v>
                </c:pt>
                <c:pt idx="192">
                  <c:v>4474</c:v>
                </c:pt>
                <c:pt idx="193">
                  <c:v>8678</c:v>
                </c:pt>
                <c:pt idx="194">
                  <c:v>9207</c:v>
                </c:pt>
                <c:pt idx="195">
                  <c:v>2783</c:v>
                </c:pt>
                <c:pt idx="196">
                  <c:v>3162</c:v>
                </c:pt>
                <c:pt idx="197">
                  <c:v>6130</c:v>
                </c:pt>
                <c:pt idx="198">
                  <c:v>4503</c:v>
                </c:pt>
                <c:pt idx="199">
                  <c:v>3131</c:v>
                </c:pt>
                <c:pt idx="200">
                  <c:v>3894</c:v>
                </c:pt>
                <c:pt idx="201">
                  <c:v>703</c:v>
                </c:pt>
                <c:pt idx="202">
                  <c:v>4499</c:v>
                </c:pt>
                <c:pt idx="203">
                  <c:v>8257</c:v>
                </c:pt>
                <c:pt idx="204">
                  <c:v>1982</c:v>
                </c:pt>
                <c:pt idx="205">
                  <c:v>7710</c:v>
                </c:pt>
                <c:pt idx="206">
                  <c:v>4507</c:v>
                </c:pt>
                <c:pt idx="207">
                  <c:v>3474</c:v>
                </c:pt>
                <c:pt idx="208">
                  <c:v>2739</c:v>
                </c:pt>
                <c:pt idx="209">
                  <c:v>2463</c:v>
                </c:pt>
                <c:pt idx="210">
                  <c:v>9840</c:v>
                </c:pt>
                <c:pt idx="211">
                  <c:v>4093</c:v>
                </c:pt>
                <c:pt idx="212">
                  <c:v>1476</c:v>
                </c:pt>
                <c:pt idx="213">
                  <c:v>276</c:v>
                </c:pt>
                <c:pt idx="214">
                  <c:v>5810</c:v>
                </c:pt>
                <c:pt idx="215">
                  <c:v>5427</c:v>
                </c:pt>
                <c:pt idx="216">
                  <c:v>3507</c:v>
                </c:pt>
                <c:pt idx="217">
                  <c:v>6460</c:v>
                </c:pt>
                <c:pt idx="218">
                  <c:v>7730</c:v>
                </c:pt>
                <c:pt idx="219">
                  <c:v>2789</c:v>
                </c:pt>
                <c:pt idx="220">
                  <c:v>4144</c:v>
                </c:pt>
                <c:pt idx="221">
                  <c:v>6329</c:v>
                </c:pt>
                <c:pt idx="222">
                  <c:v>912</c:v>
                </c:pt>
                <c:pt idx="223">
                  <c:v>1492</c:v>
                </c:pt>
                <c:pt idx="224">
                  <c:v>8699</c:v>
                </c:pt>
                <c:pt idx="225">
                  <c:v>5193</c:v>
                </c:pt>
                <c:pt idx="226">
                  <c:v>668</c:v>
                </c:pt>
                <c:pt idx="227">
                  <c:v>6847</c:v>
                </c:pt>
                <c:pt idx="228">
                  <c:v>2485</c:v>
                </c:pt>
                <c:pt idx="229">
                  <c:v>8367</c:v>
                </c:pt>
                <c:pt idx="230">
                  <c:v>2312</c:v>
                </c:pt>
                <c:pt idx="231">
                  <c:v>4168</c:v>
                </c:pt>
                <c:pt idx="232">
                  <c:v>815</c:v>
                </c:pt>
                <c:pt idx="233">
                  <c:v>1163</c:v>
                </c:pt>
                <c:pt idx="234">
                  <c:v>1156</c:v>
                </c:pt>
                <c:pt idx="235">
                  <c:v>8767</c:v>
                </c:pt>
                <c:pt idx="236">
                  <c:v>9000</c:v>
                </c:pt>
                <c:pt idx="237">
                  <c:v>8893</c:v>
                </c:pt>
                <c:pt idx="238">
                  <c:v>2512</c:v>
                </c:pt>
                <c:pt idx="239">
                  <c:v>5955</c:v>
                </c:pt>
                <c:pt idx="240">
                  <c:v>2354</c:v>
                </c:pt>
                <c:pt idx="241">
                  <c:v>6869</c:v>
                </c:pt>
                <c:pt idx="242">
                  <c:v>1692</c:v>
                </c:pt>
                <c:pt idx="243">
                  <c:v>1047</c:v>
                </c:pt>
                <c:pt idx="244">
                  <c:v>6189</c:v>
                </c:pt>
                <c:pt idx="245">
                  <c:v>404</c:v>
                </c:pt>
                <c:pt idx="246">
                  <c:v>4010</c:v>
                </c:pt>
                <c:pt idx="247">
                  <c:v>9354</c:v>
                </c:pt>
                <c:pt idx="248">
                  <c:v>5818</c:v>
                </c:pt>
                <c:pt idx="249">
                  <c:v>4811</c:v>
                </c:pt>
                <c:pt idx="250">
                  <c:v>4777</c:v>
                </c:pt>
                <c:pt idx="251">
                  <c:v>6189</c:v>
                </c:pt>
                <c:pt idx="252">
                  <c:v>6552</c:v>
                </c:pt>
                <c:pt idx="253">
                  <c:v>5402</c:v>
                </c:pt>
                <c:pt idx="254">
                  <c:v>9307</c:v>
                </c:pt>
                <c:pt idx="255">
                  <c:v>6864</c:v>
                </c:pt>
                <c:pt idx="256">
                  <c:v>3705</c:v>
                </c:pt>
                <c:pt idx="257">
                  <c:v>7490</c:v>
                </c:pt>
                <c:pt idx="258">
                  <c:v>2911</c:v>
                </c:pt>
                <c:pt idx="259">
                  <c:v>6692</c:v>
                </c:pt>
                <c:pt idx="260">
                  <c:v>2589</c:v>
                </c:pt>
                <c:pt idx="261">
                  <c:v>6386</c:v>
                </c:pt>
                <c:pt idx="262">
                  <c:v>903</c:v>
                </c:pt>
                <c:pt idx="263">
                  <c:v>986</c:v>
                </c:pt>
                <c:pt idx="264">
                  <c:v>8516</c:v>
                </c:pt>
                <c:pt idx="265">
                  <c:v>7405</c:v>
                </c:pt>
                <c:pt idx="266">
                  <c:v>8594</c:v>
                </c:pt>
                <c:pt idx="267">
                  <c:v>5057</c:v>
                </c:pt>
                <c:pt idx="268">
                  <c:v>6799</c:v>
                </c:pt>
                <c:pt idx="269">
                  <c:v>5857</c:v>
                </c:pt>
                <c:pt idx="270">
                  <c:v>1297</c:v>
                </c:pt>
                <c:pt idx="271">
                  <c:v>4219</c:v>
                </c:pt>
                <c:pt idx="272">
                  <c:v>2751</c:v>
                </c:pt>
                <c:pt idx="273">
                  <c:v>7056</c:v>
                </c:pt>
                <c:pt idx="274">
                  <c:v>4325</c:v>
                </c:pt>
                <c:pt idx="275">
                  <c:v>3783</c:v>
                </c:pt>
                <c:pt idx="276">
                  <c:v>1684</c:v>
                </c:pt>
                <c:pt idx="277">
                  <c:v>6314</c:v>
                </c:pt>
                <c:pt idx="278">
                  <c:v>2991</c:v>
                </c:pt>
                <c:pt idx="279">
                  <c:v>9063</c:v>
                </c:pt>
                <c:pt idx="280">
                  <c:v>8910</c:v>
                </c:pt>
                <c:pt idx="281">
                  <c:v>8943</c:v>
                </c:pt>
                <c:pt idx="282">
                  <c:v>2606</c:v>
                </c:pt>
                <c:pt idx="283">
                  <c:v>5370</c:v>
                </c:pt>
                <c:pt idx="284">
                  <c:v>9742</c:v>
                </c:pt>
                <c:pt idx="285">
                  <c:v>257</c:v>
                </c:pt>
                <c:pt idx="286">
                  <c:v>8483</c:v>
                </c:pt>
                <c:pt idx="287">
                  <c:v>8018</c:v>
                </c:pt>
                <c:pt idx="288">
                  <c:v>9493</c:v>
                </c:pt>
                <c:pt idx="289">
                  <c:v>5567</c:v>
                </c:pt>
                <c:pt idx="290">
                  <c:v>5935</c:v>
                </c:pt>
                <c:pt idx="291">
                  <c:v>2319</c:v>
                </c:pt>
                <c:pt idx="292">
                  <c:v>3474</c:v>
                </c:pt>
                <c:pt idx="293">
                  <c:v>187</c:v>
                </c:pt>
                <c:pt idx="294">
                  <c:v>274</c:v>
                </c:pt>
                <c:pt idx="295">
                  <c:v>3585</c:v>
                </c:pt>
                <c:pt idx="296">
                  <c:v>6999</c:v>
                </c:pt>
                <c:pt idx="297">
                  <c:v>9428</c:v>
                </c:pt>
                <c:pt idx="298">
                  <c:v>6813</c:v>
                </c:pt>
                <c:pt idx="299">
                  <c:v>7129</c:v>
                </c:pt>
                <c:pt idx="300">
                  <c:v>5380</c:v>
                </c:pt>
                <c:pt idx="301">
                  <c:v>8602</c:v>
                </c:pt>
                <c:pt idx="302">
                  <c:v>864</c:v>
                </c:pt>
                <c:pt idx="303">
                  <c:v>8263</c:v>
                </c:pt>
                <c:pt idx="304">
                  <c:v>3929</c:v>
                </c:pt>
                <c:pt idx="305">
                  <c:v>3024</c:v>
                </c:pt>
                <c:pt idx="306">
                  <c:v>7740</c:v>
                </c:pt>
                <c:pt idx="307">
                  <c:v>2300</c:v>
                </c:pt>
                <c:pt idx="308">
                  <c:v>7960</c:v>
                </c:pt>
                <c:pt idx="309">
                  <c:v>8005</c:v>
                </c:pt>
                <c:pt idx="310">
                  <c:v>2753</c:v>
                </c:pt>
                <c:pt idx="311">
                  <c:v>4552</c:v>
                </c:pt>
                <c:pt idx="312">
                  <c:v>2783</c:v>
                </c:pt>
                <c:pt idx="313">
                  <c:v>8857</c:v>
                </c:pt>
                <c:pt idx="314">
                  <c:v>1215</c:v>
                </c:pt>
                <c:pt idx="315">
                  <c:v>333</c:v>
                </c:pt>
                <c:pt idx="316">
                  <c:v>3713</c:v>
                </c:pt>
                <c:pt idx="317">
                  <c:v>893</c:v>
                </c:pt>
                <c:pt idx="318">
                  <c:v>8440</c:v>
                </c:pt>
                <c:pt idx="319">
                  <c:v>4953</c:v>
                </c:pt>
                <c:pt idx="320">
                  <c:v>6061</c:v>
                </c:pt>
                <c:pt idx="321">
                  <c:v>9426</c:v>
                </c:pt>
                <c:pt idx="322">
                  <c:v>9740</c:v>
                </c:pt>
                <c:pt idx="323">
                  <c:v>3726</c:v>
                </c:pt>
                <c:pt idx="324">
                  <c:v>5140</c:v>
                </c:pt>
                <c:pt idx="325">
                  <c:v>9768</c:v>
                </c:pt>
                <c:pt idx="326">
                  <c:v>427</c:v>
                </c:pt>
                <c:pt idx="327">
                  <c:v>1965</c:v>
                </c:pt>
                <c:pt idx="328">
                  <c:v>6263</c:v>
                </c:pt>
                <c:pt idx="329">
                  <c:v>7232</c:v>
                </c:pt>
                <c:pt idx="330">
                  <c:v>5813</c:v>
                </c:pt>
                <c:pt idx="331">
                  <c:v>4982</c:v>
                </c:pt>
                <c:pt idx="332">
                  <c:v>4742</c:v>
                </c:pt>
                <c:pt idx="333">
                  <c:v>7129</c:v>
                </c:pt>
                <c:pt idx="334">
                  <c:v>1212</c:v>
                </c:pt>
                <c:pt idx="335">
                  <c:v>8088</c:v>
                </c:pt>
                <c:pt idx="336">
                  <c:v>5889</c:v>
                </c:pt>
                <c:pt idx="337">
                  <c:v>4773</c:v>
                </c:pt>
                <c:pt idx="338">
                  <c:v>1935</c:v>
                </c:pt>
                <c:pt idx="339">
                  <c:v>6598</c:v>
                </c:pt>
                <c:pt idx="340">
                  <c:v>5017</c:v>
                </c:pt>
                <c:pt idx="341">
                  <c:v>5477</c:v>
                </c:pt>
                <c:pt idx="342">
                  <c:v>3296</c:v>
                </c:pt>
                <c:pt idx="343">
                  <c:v>5823</c:v>
                </c:pt>
                <c:pt idx="344">
                  <c:v>7438</c:v>
                </c:pt>
                <c:pt idx="345">
                  <c:v>4552</c:v>
                </c:pt>
                <c:pt idx="346">
                  <c:v>606</c:v>
                </c:pt>
                <c:pt idx="347">
                  <c:v>1076</c:v>
                </c:pt>
                <c:pt idx="348">
                  <c:v>8465</c:v>
                </c:pt>
                <c:pt idx="349">
                  <c:v>7311</c:v>
                </c:pt>
                <c:pt idx="350">
                  <c:v>9179</c:v>
                </c:pt>
                <c:pt idx="351">
                  <c:v>7669</c:v>
                </c:pt>
                <c:pt idx="352">
                  <c:v>3411</c:v>
                </c:pt>
                <c:pt idx="353">
                  <c:v>9066</c:v>
                </c:pt>
                <c:pt idx="354">
                  <c:v>4326</c:v>
                </c:pt>
                <c:pt idx="355">
                  <c:v>915</c:v>
                </c:pt>
                <c:pt idx="356">
                  <c:v>7588</c:v>
                </c:pt>
                <c:pt idx="357">
                  <c:v>5131</c:v>
                </c:pt>
                <c:pt idx="358">
                  <c:v>1361</c:v>
                </c:pt>
                <c:pt idx="359">
                  <c:v>6127</c:v>
                </c:pt>
                <c:pt idx="360">
                  <c:v>6308</c:v>
                </c:pt>
                <c:pt idx="361">
                  <c:v>817</c:v>
                </c:pt>
                <c:pt idx="362">
                  <c:v>5595</c:v>
                </c:pt>
                <c:pt idx="363">
                  <c:v>8616</c:v>
                </c:pt>
                <c:pt idx="364">
                  <c:v>4885</c:v>
                </c:pt>
                <c:pt idx="365">
                  <c:v>1437</c:v>
                </c:pt>
                <c:pt idx="366">
                  <c:v>2341</c:v>
                </c:pt>
                <c:pt idx="367">
                  <c:v>3695</c:v>
                </c:pt>
                <c:pt idx="368">
                  <c:v>8629</c:v>
                </c:pt>
                <c:pt idx="369">
                  <c:v>2304</c:v>
                </c:pt>
                <c:pt idx="370">
                  <c:v>6912</c:v>
                </c:pt>
                <c:pt idx="371">
                  <c:v>6678</c:v>
                </c:pt>
                <c:pt idx="372">
                  <c:v>2855</c:v>
                </c:pt>
                <c:pt idx="373">
                  <c:v>8730</c:v>
                </c:pt>
                <c:pt idx="374">
                  <c:v>4621</c:v>
                </c:pt>
                <c:pt idx="375">
                  <c:v>2875</c:v>
                </c:pt>
                <c:pt idx="376">
                  <c:v>2874</c:v>
                </c:pt>
                <c:pt idx="377">
                  <c:v>6028</c:v>
                </c:pt>
                <c:pt idx="378">
                  <c:v>779</c:v>
                </c:pt>
                <c:pt idx="379">
                  <c:v>7601</c:v>
                </c:pt>
                <c:pt idx="380">
                  <c:v>3999</c:v>
                </c:pt>
                <c:pt idx="381">
                  <c:v>9509</c:v>
                </c:pt>
                <c:pt idx="382">
                  <c:v>699</c:v>
                </c:pt>
                <c:pt idx="383">
                  <c:v>6167</c:v>
                </c:pt>
                <c:pt idx="384">
                  <c:v>1543</c:v>
                </c:pt>
                <c:pt idx="385">
                  <c:v>4487</c:v>
                </c:pt>
                <c:pt idx="386">
                  <c:v>9694</c:v>
                </c:pt>
                <c:pt idx="387">
                  <c:v>3885</c:v>
                </c:pt>
                <c:pt idx="388">
                  <c:v>817</c:v>
                </c:pt>
                <c:pt idx="389">
                  <c:v>6275</c:v>
                </c:pt>
                <c:pt idx="390">
                  <c:v>3076</c:v>
                </c:pt>
                <c:pt idx="391">
                  <c:v>6069</c:v>
                </c:pt>
                <c:pt idx="392">
                  <c:v>7135</c:v>
                </c:pt>
                <c:pt idx="393">
                  <c:v>184</c:v>
                </c:pt>
                <c:pt idx="394">
                  <c:v>6158</c:v>
                </c:pt>
                <c:pt idx="395">
                  <c:v>8031</c:v>
                </c:pt>
                <c:pt idx="396">
                  <c:v>5809</c:v>
                </c:pt>
                <c:pt idx="397">
                  <c:v>1527</c:v>
                </c:pt>
                <c:pt idx="398">
                  <c:v>4252</c:v>
                </c:pt>
                <c:pt idx="399">
                  <c:v>5083</c:v>
                </c:pt>
                <c:pt idx="400">
                  <c:v>2151</c:v>
                </c:pt>
                <c:pt idx="401">
                  <c:v>5616</c:v>
                </c:pt>
                <c:pt idx="402">
                  <c:v>2671</c:v>
                </c:pt>
                <c:pt idx="403">
                  <c:v>2538</c:v>
                </c:pt>
                <c:pt idx="404">
                  <c:v>1474</c:v>
                </c:pt>
                <c:pt idx="405">
                  <c:v>7765</c:v>
                </c:pt>
                <c:pt idx="406">
                  <c:v>6727</c:v>
                </c:pt>
                <c:pt idx="407">
                  <c:v>5709</c:v>
                </c:pt>
                <c:pt idx="408">
                  <c:v>9091</c:v>
                </c:pt>
                <c:pt idx="409">
                  <c:v>3285</c:v>
                </c:pt>
                <c:pt idx="410">
                  <c:v>1732</c:v>
                </c:pt>
                <c:pt idx="411">
                  <c:v>9907</c:v>
                </c:pt>
                <c:pt idx="412">
                  <c:v>314</c:v>
                </c:pt>
                <c:pt idx="413">
                  <c:v>7489</c:v>
                </c:pt>
                <c:pt idx="414">
                  <c:v>3000</c:v>
                </c:pt>
                <c:pt idx="415">
                  <c:v>445</c:v>
                </c:pt>
                <c:pt idx="416">
                  <c:v>455</c:v>
                </c:pt>
                <c:pt idx="417">
                  <c:v>5690</c:v>
                </c:pt>
                <c:pt idx="418">
                  <c:v>5843</c:v>
                </c:pt>
                <c:pt idx="419">
                  <c:v>2637</c:v>
                </c:pt>
                <c:pt idx="420">
                  <c:v>4827</c:v>
                </c:pt>
                <c:pt idx="421">
                  <c:v>3200</c:v>
                </c:pt>
                <c:pt idx="422">
                  <c:v>5572</c:v>
                </c:pt>
                <c:pt idx="423">
                  <c:v>1793</c:v>
                </c:pt>
                <c:pt idx="424">
                  <c:v>8743</c:v>
                </c:pt>
                <c:pt idx="425">
                  <c:v>5331</c:v>
                </c:pt>
                <c:pt idx="426">
                  <c:v>7502</c:v>
                </c:pt>
                <c:pt idx="427">
                  <c:v>3228</c:v>
                </c:pt>
                <c:pt idx="428">
                  <c:v>7514</c:v>
                </c:pt>
                <c:pt idx="429">
                  <c:v>7397</c:v>
                </c:pt>
                <c:pt idx="430">
                  <c:v>6944</c:v>
                </c:pt>
                <c:pt idx="431">
                  <c:v>2253</c:v>
                </c:pt>
                <c:pt idx="432">
                  <c:v>6454</c:v>
                </c:pt>
                <c:pt idx="433">
                  <c:v>4709</c:v>
                </c:pt>
                <c:pt idx="434">
                  <c:v>9210</c:v>
                </c:pt>
                <c:pt idx="435">
                  <c:v>4180</c:v>
                </c:pt>
                <c:pt idx="436">
                  <c:v>875</c:v>
                </c:pt>
                <c:pt idx="437">
                  <c:v>2580</c:v>
                </c:pt>
                <c:pt idx="438">
                  <c:v>9614</c:v>
                </c:pt>
                <c:pt idx="439">
                  <c:v>4323</c:v>
                </c:pt>
                <c:pt idx="440">
                  <c:v>6090</c:v>
                </c:pt>
                <c:pt idx="441">
                  <c:v>6323</c:v>
                </c:pt>
                <c:pt idx="442">
                  <c:v>3467</c:v>
                </c:pt>
                <c:pt idx="443">
                  <c:v>7994</c:v>
                </c:pt>
                <c:pt idx="444">
                  <c:v>7410</c:v>
                </c:pt>
                <c:pt idx="445">
                  <c:v>1250</c:v>
                </c:pt>
                <c:pt idx="446">
                  <c:v>6083</c:v>
                </c:pt>
                <c:pt idx="447">
                  <c:v>505</c:v>
                </c:pt>
                <c:pt idx="448">
                  <c:v>149</c:v>
                </c:pt>
                <c:pt idx="449">
                  <c:v>2674</c:v>
                </c:pt>
                <c:pt idx="450">
                  <c:v>2773</c:v>
                </c:pt>
                <c:pt idx="451">
                  <c:v>7169</c:v>
                </c:pt>
                <c:pt idx="452">
                  <c:v>9619</c:v>
                </c:pt>
                <c:pt idx="453">
                  <c:v>5906</c:v>
                </c:pt>
                <c:pt idx="454">
                  <c:v>8850</c:v>
                </c:pt>
                <c:pt idx="455">
                  <c:v>3299</c:v>
                </c:pt>
                <c:pt idx="456">
                  <c:v>1132</c:v>
                </c:pt>
                <c:pt idx="457">
                  <c:v>6261</c:v>
                </c:pt>
                <c:pt idx="458">
                  <c:v>9627</c:v>
                </c:pt>
                <c:pt idx="459">
                  <c:v>4206</c:v>
                </c:pt>
                <c:pt idx="460">
                  <c:v>1</c:v>
                </c:pt>
                <c:pt idx="461">
                  <c:v>9049</c:v>
                </c:pt>
                <c:pt idx="462">
                  <c:v>417</c:v>
                </c:pt>
                <c:pt idx="463">
                  <c:v>5203</c:v>
                </c:pt>
                <c:pt idx="464">
                  <c:v>1539</c:v>
                </c:pt>
                <c:pt idx="465">
                  <c:v>9584</c:v>
                </c:pt>
                <c:pt idx="466">
                  <c:v>6531</c:v>
                </c:pt>
                <c:pt idx="467">
                  <c:v>1604</c:v>
                </c:pt>
                <c:pt idx="468">
                  <c:v>1057</c:v>
                </c:pt>
                <c:pt idx="469">
                  <c:v>3178</c:v>
                </c:pt>
                <c:pt idx="470">
                  <c:v>3282</c:v>
                </c:pt>
                <c:pt idx="471">
                  <c:v>8719</c:v>
                </c:pt>
                <c:pt idx="472">
                  <c:v>3869</c:v>
                </c:pt>
                <c:pt idx="473">
                  <c:v>5143</c:v>
                </c:pt>
                <c:pt idx="474">
                  <c:v>5983</c:v>
                </c:pt>
                <c:pt idx="475">
                  <c:v>1863</c:v>
                </c:pt>
                <c:pt idx="476">
                  <c:v>5287</c:v>
                </c:pt>
                <c:pt idx="477">
                  <c:v>793</c:v>
                </c:pt>
                <c:pt idx="478">
                  <c:v>9946</c:v>
                </c:pt>
                <c:pt idx="479">
                  <c:v>6347</c:v>
                </c:pt>
                <c:pt idx="480">
                  <c:v>624</c:v>
                </c:pt>
                <c:pt idx="481">
                  <c:v>5439</c:v>
                </c:pt>
                <c:pt idx="482">
                  <c:v>484</c:v>
                </c:pt>
                <c:pt idx="483">
                  <c:v>7483</c:v>
                </c:pt>
                <c:pt idx="484">
                  <c:v>5191</c:v>
                </c:pt>
                <c:pt idx="485">
                  <c:v>4394</c:v>
                </c:pt>
                <c:pt idx="486">
                  <c:v>2909</c:v>
                </c:pt>
                <c:pt idx="487">
                  <c:v>585</c:v>
                </c:pt>
                <c:pt idx="488">
                  <c:v>4302</c:v>
                </c:pt>
                <c:pt idx="489">
                  <c:v>2971</c:v>
                </c:pt>
                <c:pt idx="490">
                  <c:v>2534</c:v>
                </c:pt>
                <c:pt idx="491">
                  <c:v>965</c:v>
                </c:pt>
                <c:pt idx="492">
                  <c:v>3269</c:v>
                </c:pt>
                <c:pt idx="493">
                  <c:v>6482</c:v>
                </c:pt>
                <c:pt idx="494">
                  <c:v>4671</c:v>
                </c:pt>
                <c:pt idx="495">
                  <c:v>3935</c:v>
                </c:pt>
                <c:pt idx="496">
                  <c:v>7404</c:v>
                </c:pt>
                <c:pt idx="497">
                  <c:v>239</c:v>
                </c:pt>
                <c:pt idx="498">
                  <c:v>4633</c:v>
                </c:pt>
                <c:pt idx="499">
                  <c:v>4808</c:v>
                </c:pt>
                <c:pt idx="500">
                  <c:v>2021</c:v>
                </c:pt>
                <c:pt idx="501">
                  <c:v>9556</c:v>
                </c:pt>
                <c:pt idx="502">
                  <c:v>7732</c:v>
                </c:pt>
                <c:pt idx="503">
                  <c:v>8896</c:v>
                </c:pt>
                <c:pt idx="504">
                  <c:v>2430</c:v>
                </c:pt>
                <c:pt idx="505">
                  <c:v>9744</c:v>
                </c:pt>
                <c:pt idx="506">
                  <c:v>9280</c:v>
                </c:pt>
                <c:pt idx="507">
                  <c:v>1513</c:v>
                </c:pt>
                <c:pt idx="508">
                  <c:v>3946</c:v>
                </c:pt>
                <c:pt idx="509">
                  <c:v>6116</c:v>
                </c:pt>
                <c:pt idx="510">
                  <c:v>4591</c:v>
                </c:pt>
                <c:pt idx="511">
                  <c:v>7969</c:v>
                </c:pt>
                <c:pt idx="512">
                  <c:v>1880</c:v>
                </c:pt>
                <c:pt idx="513">
                  <c:v>3985</c:v>
                </c:pt>
                <c:pt idx="514">
                  <c:v>8977</c:v>
                </c:pt>
                <c:pt idx="515">
                  <c:v>3578</c:v>
                </c:pt>
                <c:pt idx="516">
                  <c:v>1545</c:v>
                </c:pt>
                <c:pt idx="517">
                  <c:v>8663</c:v>
                </c:pt>
                <c:pt idx="518">
                  <c:v>7749</c:v>
                </c:pt>
                <c:pt idx="519">
                  <c:v>3653</c:v>
                </c:pt>
                <c:pt idx="520">
                  <c:v>8254</c:v>
                </c:pt>
                <c:pt idx="521">
                  <c:v>5463</c:v>
                </c:pt>
                <c:pt idx="522">
                  <c:v>6222</c:v>
                </c:pt>
                <c:pt idx="523">
                  <c:v>3506</c:v>
                </c:pt>
                <c:pt idx="524">
                  <c:v>7318</c:v>
                </c:pt>
                <c:pt idx="525">
                  <c:v>9696</c:v>
                </c:pt>
                <c:pt idx="526">
                  <c:v>9707</c:v>
                </c:pt>
                <c:pt idx="527">
                  <c:v>8448</c:v>
                </c:pt>
                <c:pt idx="528">
                  <c:v>4051</c:v>
                </c:pt>
                <c:pt idx="529">
                  <c:v>6676</c:v>
                </c:pt>
                <c:pt idx="530">
                  <c:v>3516</c:v>
                </c:pt>
                <c:pt idx="531">
                  <c:v>3794</c:v>
                </c:pt>
                <c:pt idx="532">
                  <c:v>3765</c:v>
                </c:pt>
                <c:pt idx="533">
                  <c:v>1715</c:v>
                </c:pt>
                <c:pt idx="534">
                  <c:v>2963</c:v>
                </c:pt>
                <c:pt idx="535">
                  <c:v>4855</c:v>
                </c:pt>
                <c:pt idx="536">
                  <c:v>1772</c:v>
                </c:pt>
                <c:pt idx="537">
                  <c:v>126</c:v>
                </c:pt>
                <c:pt idx="538">
                  <c:v>3359</c:v>
                </c:pt>
                <c:pt idx="539">
                  <c:v>6944</c:v>
                </c:pt>
                <c:pt idx="540">
                  <c:v>3386</c:v>
                </c:pt>
                <c:pt idx="541">
                  <c:v>7221</c:v>
                </c:pt>
                <c:pt idx="542">
                  <c:v>17</c:v>
                </c:pt>
                <c:pt idx="543">
                  <c:v>5373</c:v>
                </c:pt>
                <c:pt idx="544">
                  <c:v>3918</c:v>
                </c:pt>
                <c:pt idx="545">
                  <c:v>8313</c:v>
                </c:pt>
                <c:pt idx="546">
                  <c:v>8251</c:v>
                </c:pt>
                <c:pt idx="547">
                  <c:v>5455</c:v>
                </c:pt>
                <c:pt idx="548">
                  <c:v>8680</c:v>
                </c:pt>
                <c:pt idx="549">
                  <c:v>8713</c:v>
                </c:pt>
                <c:pt idx="550">
                  <c:v>3371</c:v>
                </c:pt>
                <c:pt idx="551">
                  <c:v>2502</c:v>
                </c:pt>
                <c:pt idx="552">
                  <c:v>2986</c:v>
                </c:pt>
                <c:pt idx="553">
                  <c:v>3735</c:v>
                </c:pt>
                <c:pt idx="554">
                  <c:v>691</c:v>
                </c:pt>
                <c:pt idx="555">
                  <c:v>1827</c:v>
                </c:pt>
                <c:pt idx="556">
                  <c:v>2149</c:v>
                </c:pt>
                <c:pt idx="557">
                  <c:v>8692</c:v>
                </c:pt>
                <c:pt idx="558">
                  <c:v>5523</c:v>
                </c:pt>
                <c:pt idx="559">
                  <c:v>8743</c:v>
                </c:pt>
                <c:pt idx="560">
                  <c:v>1479</c:v>
                </c:pt>
                <c:pt idx="561">
                  <c:v>8894</c:v>
                </c:pt>
                <c:pt idx="562">
                  <c:v>3180</c:v>
                </c:pt>
                <c:pt idx="563">
                  <c:v>8561</c:v>
                </c:pt>
                <c:pt idx="564">
                  <c:v>6291</c:v>
                </c:pt>
                <c:pt idx="565">
                  <c:v>9656</c:v>
                </c:pt>
                <c:pt idx="566">
                  <c:v>8975</c:v>
                </c:pt>
                <c:pt idx="567">
                  <c:v>6595</c:v>
                </c:pt>
                <c:pt idx="568">
                  <c:v>1896</c:v>
                </c:pt>
                <c:pt idx="569">
                  <c:v>6290</c:v>
                </c:pt>
                <c:pt idx="570">
                  <c:v>8219</c:v>
                </c:pt>
                <c:pt idx="571">
                  <c:v>8156</c:v>
                </c:pt>
                <c:pt idx="572">
                  <c:v>3607</c:v>
                </c:pt>
                <c:pt idx="573">
                  <c:v>4107</c:v>
                </c:pt>
                <c:pt idx="574">
                  <c:v>6225</c:v>
                </c:pt>
                <c:pt idx="575">
                  <c:v>8558</c:v>
                </c:pt>
                <c:pt idx="576">
                  <c:v>6736</c:v>
                </c:pt>
                <c:pt idx="577">
                  <c:v>8421</c:v>
                </c:pt>
                <c:pt idx="578">
                  <c:v>8306</c:v>
                </c:pt>
                <c:pt idx="579">
                  <c:v>3112</c:v>
                </c:pt>
                <c:pt idx="580">
                  <c:v>6597</c:v>
                </c:pt>
                <c:pt idx="581">
                  <c:v>4545</c:v>
                </c:pt>
                <c:pt idx="582">
                  <c:v>9774</c:v>
                </c:pt>
                <c:pt idx="583">
                  <c:v>7132</c:v>
                </c:pt>
                <c:pt idx="584">
                  <c:v>8501</c:v>
                </c:pt>
                <c:pt idx="585">
                  <c:v>7789</c:v>
                </c:pt>
                <c:pt idx="586">
                  <c:v>5941</c:v>
                </c:pt>
                <c:pt idx="587">
                  <c:v>5930</c:v>
                </c:pt>
                <c:pt idx="588">
                  <c:v>7760</c:v>
                </c:pt>
                <c:pt idx="589">
                  <c:v>3468</c:v>
                </c:pt>
                <c:pt idx="590">
                  <c:v>2121</c:v>
                </c:pt>
                <c:pt idx="591">
                  <c:v>4818</c:v>
                </c:pt>
                <c:pt idx="592">
                  <c:v>9689</c:v>
                </c:pt>
                <c:pt idx="593">
                  <c:v>6894</c:v>
                </c:pt>
                <c:pt idx="594">
                  <c:v>3626</c:v>
                </c:pt>
                <c:pt idx="595">
                  <c:v>9109</c:v>
                </c:pt>
                <c:pt idx="596">
                  <c:v>9598</c:v>
                </c:pt>
                <c:pt idx="597">
                  <c:v>3378</c:v>
                </c:pt>
                <c:pt idx="598">
                  <c:v>5768</c:v>
                </c:pt>
                <c:pt idx="599">
                  <c:v>4115</c:v>
                </c:pt>
                <c:pt idx="600">
                  <c:v>2801</c:v>
                </c:pt>
                <c:pt idx="601">
                  <c:v>8234</c:v>
                </c:pt>
                <c:pt idx="602">
                  <c:v>3860</c:v>
                </c:pt>
                <c:pt idx="603">
                  <c:v>5150</c:v>
                </c:pt>
                <c:pt idx="604">
                  <c:v>4609</c:v>
                </c:pt>
                <c:pt idx="605">
                  <c:v>6775</c:v>
                </c:pt>
                <c:pt idx="606">
                  <c:v>3213</c:v>
                </c:pt>
                <c:pt idx="607">
                  <c:v>7524</c:v>
                </c:pt>
                <c:pt idx="608">
                  <c:v>336</c:v>
                </c:pt>
                <c:pt idx="609">
                  <c:v>4311</c:v>
                </c:pt>
                <c:pt idx="610">
                  <c:v>9142</c:v>
                </c:pt>
                <c:pt idx="611">
                  <c:v>6551</c:v>
                </c:pt>
                <c:pt idx="612">
                  <c:v>5294</c:v>
                </c:pt>
                <c:pt idx="613">
                  <c:v>6157</c:v>
                </c:pt>
                <c:pt idx="614">
                  <c:v>6958</c:v>
                </c:pt>
                <c:pt idx="615">
                  <c:v>7544</c:v>
                </c:pt>
                <c:pt idx="616">
                  <c:v>4796</c:v>
                </c:pt>
                <c:pt idx="617">
                  <c:v>7625</c:v>
                </c:pt>
                <c:pt idx="618">
                  <c:v>1973</c:v>
                </c:pt>
                <c:pt idx="619">
                  <c:v>5814</c:v>
                </c:pt>
                <c:pt idx="620">
                  <c:v>4153</c:v>
                </c:pt>
                <c:pt idx="621">
                  <c:v>4026</c:v>
                </c:pt>
                <c:pt idx="622">
                  <c:v>9501</c:v>
                </c:pt>
                <c:pt idx="623">
                  <c:v>6675</c:v>
                </c:pt>
                <c:pt idx="624">
                  <c:v>8679</c:v>
                </c:pt>
                <c:pt idx="625">
                  <c:v>674</c:v>
                </c:pt>
                <c:pt idx="626">
                  <c:v>4853</c:v>
                </c:pt>
                <c:pt idx="627">
                  <c:v>5439</c:v>
                </c:pt>
                <c:pt idx="628">
                  <c:v>3686</c:v>
                </c:pt>
                <c:pt idx="629">
                  <c:v>2882</c:v>
                </c:pt>
                <c:pt idx="630">
                  <c:v>3343</c:v>
                </c:pt>
                <c:pt idx="631">
                  <c:v>7418</c:v>
                </c:pt>
                <c:pt idx="632">
                  <c:v>4487</c:v>
                </c:pt>
                <c:pt idx="633">
                  <c:v>5960</c:v>
                </c:pt>
                <c:pt idx="634">
                  <c:v>282</c:v>
                </c:pt>
                <c:pt idx="635">
                  <c:v>7924</c:v>
                </c:pt>
                <c:pt idx="636">
                  <c:v>6393</c:v>
                </c:pt>
                <c:pt idx="637">
                  <c:v>5223</c:v>
                </c:pt>
                <c:pt idx="638">
                  <c:v>983</c:v>
                </c:pt>
                <c:pt idx="639">
                  <c:v>2271</c:v>
                </c:pt>
                <c:pt idx="640">
                  <c:v>4718</c:v>
                </c:pt>
                <c:pt idx="641">
                  <c:v>5983</c:v>
                </c:pt>
                <c:pt idx="642">
                  <c:v>760</c:v>
                </c:pt>
                <c:pt idx="643">
                  <c:v>5771</c:v>
                </c:pt>
                <c:pt idx="644">
                  <c:v>4773</c:v>
                </c:pt>
                <c:pt idx="645">
                  <c:v>3551</c:v>
                </c:pt>
                <c:pt idx="646">
                  <c:v>4923</c:v>
                </c:pt>
                <c:pt idx="647">
                  <c:v>3737</c:v>
                </c:pt>
                <c:pt idx="648">
                  <c:v>1872</c:v>
                </c:pt>
                <c:pt idx="649">
                  <c:v>3241</c:v>
                </c:pt>
                <c:pt idx="650">
                  <c:v>8786</c:v>
                </c:pt>
                <c:pt idx="651">
                  <c:v>1480</c:v>
                </c:pt>
                <c:pt idx="652">
                  <c:v>1328</c:v>
                </c:pt>
                <c:pt idx="653">
                  <c:v>366</c:v>
                </c:pt>
                <c:pt idx="654">
                  <c:v>7661</c:v>
                </c:pt>
                <c:pt idx="655">
                  <c:v>4313</c:v>
                </c:pt>
                <c:pt idx="656">
                  <c:v>8451</c:v>
                </c:pt>
                <c:pt idx="657">
                  <c:v>236</c:v>
                </c:pt>
                <c:pt idx="658">
                  <c:v>6861</c:v>
                </c:pt>
                <c:pt idx="659">
                  <c:v>7549</c:v>
                </c:pt>
                <c:pt idx="660">
                  <c:v>8556</c:v>
                </c:pt>
                <c:pt idx="661">
                  <c:v>8166</c:v>
                </c:pt>
                <c:pt idx="662">
                  <c:v>1698</c:v>
                </c:pt>
                <c:pt idx="663">
                  <c:v>6501</c:v>
                </c:pt>
                <c:pt idx="664">
                  <c:v>6954</c:v>
                </c:pt>
                <c:pt idx="665">
                  <c:v>9468</c:v>
                </c:pt>
                <c:pt idx="666">
                  <c:v>7485</c:v>
                </c:pt>
                <c:pt idx="667">
                  <c:v>6480</c:v>
                </c:pt>
                <c:pt idx="668">
                  <c:v>8958</c:v>
                </c:pt>
                <c:pt idx="669">
                  <c:v>9453</c:v>
                </c:pt>
                <c:pt idx="670">
                  <c:v>9535</c:v>
                </c:pt>
                <c:pt idx="671">
                  <c:v>2800</c:v>
                </c:pt>
                <c:pt idx="672">
                  <c:v>9880</c:v>
                </c:pt>
                <c:pt idx="673">
                  <c:v>3435</c:v>
                </c:pt>
                <c:pt idx="674">
                  <c:v>3158</c:v>
                </c:pt>
                <c:pt idx="675">
                  <c:v>773</c:v>
                </c:pt>
                <c:pt idx="676">
                  <c:v>5033</c:v>
                </c:pt>
                <c:pt idx="677">
                  <c:v>6727</c:v>
                </c:pt>
                <c:pt idx="678">
                  <c:v>3669</c:v>
                </c:pt>
                <c:pt idx="679">
                  <c:v>5711</c:v>
                </c:pt>
                <c:pt idx="680">
                  <c:v>9730</c:v>
                </c:pt>
                <c:pt idx="681">
                  <c:v>4639</c:v>
                </c:pt>
                <c:pt idx="682">
                  <c:v>6380</c:v>
                </c:pt>
                <c:pt idx="683">
                  <c:v>2926</c:v>
                </c:pt>
                <c:pt idx="684">
                  <c:v>9283</c:v>
                </c:pt>
                <c:pt idx="685">
                  <c:v>2486</c:v>
                </c:pt>
                <c:pt idx="686">
                  <c:v>6603</c:v>
                </c:pt>
                <c:pt idx="687">
                  <c:v>7733</c:v>
                </c:pt>
                <c:pt idx="688">
                  <c:v>9004</c:v>
                </c:pt>
                <c:pt idx="689">
                  <c:v>5580</c:v>
                </c:pt>
                <c:pt idx="690">
                  <c:v>9651</c:v>
                </c:pt>
                <c:pt idx="691">
                  <c:v>5441</c:v>
                </c:pt>
                <c:pt idx="692">
                  <c:v>4206</c:v>
                </c:pt>
                <c:pt idx="693">
                  <c:v>9232</c:v>
                </c:pt>
                <c:pt idx="694">
                  <c:v>836</c:v>
                </c:pt>
                <c:pt idx="695">
                  <c:v>1366</c:v>
                </c:pt>
                <c:pt idx="696">
                  <c:v>202</c:v>
                </c:pt>
                <c:pt idx="697">
                  <c:v>8756</c:v>
                </c:pt>
                <c:pt idx="698">
                  <c:v>5470</c:v>
                </c:pt>
                <c:pt idx="699">
                  <c:v>818</c:v>
                </c:pt>
                <c:pt idx="700">
                  <c:v>2304</c:v>
                </c:pt>
                <c:pt idx="701">
                  <c:v>9464</c:v>
                </c:pt>
                <c:pt idx="702">
                  <c:v>8867</c:v>
                </c:pt>
                <c:pt idx="703">
                  <c:v>9110</c:v>
                </c:pt>
                <c:pt idx="704">
                  <c:v>5824</c:v>
                </c:pt>
                <c:pt idx="705">
                  <c:v>6669</c:v>
                </c:pt>
                <c:pt idx="706">
                  <c:v>6338</c:v>
                </c:pt>
                <c:pt idx="707">
                  <c:v>1555</c:v>
                </c:pt>
                <c:pt idx="708">
                  <c:v>6075</c:v>
                </c:pt>
                <c:pt idx="709">
                  <c:v>5683</c:v>
                </c:pt>
                <c:pt idx="710">
                  <c:v>3197</c:v>
                </c:pt>
                <c:pt idx="711">
                  <c:v>3466</c:v>
                </c:pt>
                <c:pt idx="712">
                  <c:v>8369</c:v>
                </c:pt>
                <c:pt idx="713">
                  <c:v>1818</c:v>
                </c:pt>
                <c:pt idx="714">
                  <c:v>4756</c:v>
                </c:pt>
                <c:pt idx="715">
                  <c:v>154</c:v>
                </c:pt>
                <c:pt idx="716">
                  <c:v>8020</c:v>
                </c:pt>
                <c:pt idx="717">
                  <c:v>388</c:v>
                </c:pt>
                <c:pt idx="718">
                  <c:v>6326</c:v>
                </c:pt>
                <c:pt idx="719">
                  <c:v>6933</c:v>
                </c:pt>
                <c:pt idx="720">
                  <c:v>339</c:v>
                </c:pt>
                <c:pt idx="721">
                  <c:v>6704</c:v>
                </c:pt>
                <c:pt idx="722">
                  <c:v>3221</c:v>
                </c:pt>
                <c:pt idx="723">
                  <c:v>9115</c:v>
                </c:pt>
                <c:pt idx="724">
                  <c:v>639</c:v>
                </c:pt>
                <c:pt idx="725">
                  <c:v>6079</c:v>
                </c:pt>
                <c:pt idx="726">
                  <c:v>754</c:v>
                </c:pt>
                <c:pt idx="727">
                  <c:v>2012</c:v>
                </c:pt>
                <c:pt idx="728">
                  <c:v>4232</c:v>
                </c:pt>
                <c:pt idx="729">
                  <c:v>3826</c:v>
                </c:pt>
                <c:pt idx="730">
                  <c:v>4236</c:v>
                </c:pt>
                <c:pt idx="731">
                  <c:v>936</c:v>
                </c:pt>
                <c:pt idx="732">
                  <c:v>6431</c:v>
                </c:pt>
                <c:pt idx="733">
                  <c:v>5257</c:v>
                </c:pt>
                <c:pt idx="734">
                  <c:v>8981</c:v>
                </c:pt>
                <c:pt idx="735">
                  <c:v>1201</c:v>
                </c:pt>
                <c:pt idx="736">
                  <c:v>2549</c:v>
                </c:pt>
                <c:pt idx="737">
                  <c:v>5684</c:v>
                </c:pt>
                <c:pt idx="738">
                  <c:v>300</c:v>
                </c:pt>
                <c:pt idx="739">
                  <c:v>8119</c:v>
                </c:pt>
                <c:pt idx="740">
                  <c:v>7898</c:v>
                </c:pt>
                <c:pt idx="741">
                  <c:v>421</c:v>
                </c:pt>
                <c:pt idx="742">
                  <c:v>3506</c:v>
                </c:pt>
                <c:pt idx="743">
                  <c:v>7002</c:v>
                </c:pt>
                <c:pt idx="744">
                  <c:v>7790</c:v>
                </c:pt>
                <c:pt idx="745">
                  <c:v>4779</c:v>
                </c:pt>
                <c:pt idx="746">
                  <c:v>3912</c:v>
                </c:pt>
                <c:pt idx="747">
                  <c:v>3164</c:v>
                </c:pt>
                <c:pt idx="748">
                  <c:v>7538</c:v>
                </c:pt>
                <c:pt idx="749">
                  <c:v>4071</c:v>
                </c:pt>
                <c:pt idx="750">
                  <c:v>6830</c:v>
                </c:pt>
                <c:pt idx="751">
                  <c:v>1915</c:v>
                </c:pt>
                <c:pt idx="752">
                  <c:v>2454</c:v>
                </c:pt>
                <c:pt idx="753">
                  <c:v>3610</c:v>
                </c:pt>
                <c:pt idx="754">
                  <c:v>7573</c:v>
                </c:pt>
                <c:pt idx="755">
                  <c:v>8569</c:v>
                </c:pt>
                <c:pt idx="756">
                  <c:v>7852</c:v>
                </c:pt>
                <c:pt idx="757">
                  <c:v>8707</c:v>
                </c:pt>
                <c:pt idx="758">
                  <c:v>1454</c:v>
                </c:pt>
                <c:pt idx="759">
                  <c:v>8439</c:v>
                </c:pt>
                <c:pt idx="760">
                  <c:v>9043</c:v>
                </c:pt>
                <c:pt idx="761">
                  <c:v>4677</c:v>
                </c:pt>
                <c:pt idx="762">
                  <c:v>3783</c:v>
                </c:pt>
                <c:pt idx="763">
                  <c:v>6836</c:v>
                </c:pt>
                <c:pt idx="764">
                  <c:v>1340</c:v>
                </c:pt>
                <c:pt idx="765">
                  <c:v>6830</c:v>
                </c:pt>
                <c:pt idx="766">
                  <c:v>9876</c:v>
                </c:pt>
                <c:pt idx="767">
                  <c:v>9074</c:v>
                </c:pt>
                <c:pt idx="768">
                  <c:v>55</c:v>
                </c:pt>
                <c:pt idx="769">
                  <c:v>480</c:v>
                </c:pt>
                <c:pt idx="770">
                  <c:v>5042</c:v>
                </c:pt>
                <c:pt idx="771">
                  <c:v>464</c:v>
                </c:pt>
                <c:pt idx="772">
                  <c:v>501</c:v>
                </c:pt>
                <c:pt idx="773">
                  <c:v>940</c:v>
                </c:pt>
                <c:pt idx="774">
                  <c:v>4596</c:v>
                </c:pt>
                <c:pt idx="775">
                  <c:v>6320</c:v>
                </c:pt>
                <c:pt idx="776">
                  <c:v>7991</c:v>
                </c:pt>
                <c:pt idx="777">
                  <c:v>3520</c:v>
                </c:pt>
                <c:pt idx="778">
                  <c:v>3850</c:v>
                </c:pt>
                <c:pt idx="779">
                  <c:v>1954</c:v>
                </c:pt>
                <c:pt idx="780">
                  <c:v>7837</c:v>
                </c:pt>
                <c:pt idx="781">
                  <c:v>3535</c:v>
                </c:pt>
                <c:pt idx="782">
                  <c:v>8116</c:v>
                </c:pt>
                <c:pt idx="783">
                  <c:v>2678</c:v>
                </c:pt>
                <c:pt idx="784">
                  <c:v>5351</c:v>
                </c:pt>
                <c:pt idx="785">
                  <c:v>6297</c:v>
                </c:pt>
                <c:pt idx="786">
                  <c:v>2707</c:v>
                </c:pt>
                <c:pt idx="787">
                  <c:v>3805</c:v>
                </c:pt>
                <c:pt idx="788">
                  <c:v>5846</c:v>
                </c:pt>
                <c:pt idx="789">
                  <c:v>7117</c:v>
                </c:pt>
                <c:pt idx="790">
                  <c:v>2934</c:v>
                </c:pt>
                <c:pt idx="791">
                  <c:v>647</c:v>
                </c:pt>
                <c:pt idx="792">
                  <c:v>4635</c:v>
                </c:pt>
                <c:pt idx="793">
                  <c:v>1309</c:v>
                </c:pt>
                <c:pt idx="794">
                  <c:v>4112</c:v>
                </c:pt>
                <c:pt idx="795">
                  <c:v>8517</c:v>
                </c:pt>
                <c:pt idx="796">
                  <c:v>7030</c:v>
                </c:pt>
                <c:pt idx="797">
                  <c:v>4185</c:v>
                </c:pt>
                <c:pt idx="798">
                  <c:v>1552</c:v>
                </c:pt>
                <c:pt idx="799">
                  <c:v>2728</c:v>
                </c:pt>
                <c:pt idx="800">
                  <c:v>8343</c:v>
                </c:pt>
                <c:pt idx="801">
                  <c:v>1058</c:v>
                </c:pt>
                <c:pt idx="802">
                  <c:v>566</c:v>
                </c:pt>
                <c:pt idx="803">
                  <c:v>8591</c:v>
                </c:pt>
                <c:pt idx="804">
                  <c:v>3887</c:v>
                </c:pt>
                <c:pt idx="805">
                  <c:v>7240</c:v>
                </c:pt>
                <c:pt idx="806">
                  <c:v>6468</c:v>
                </c:pt>
                <c:pt idx="807">
                  <c:v>1419</c:v>
                </c:pt>
                <c:pt idx="808">
                  <c:v>8974</c:v>
                </c:pt>
                <c:pt idx="809">
                  <c:v>8043</c:v>
                </c:pt>
                <c:pt idx="810">
                  <c:v>4569</c:v>
                </c:pt>
                <c:pt idx="811">
                  <c:v>6526</c:v>
                </c:pt>
                <c:pt idx="812">
                  <c:v>8917</c:v>
                </c:pt>
                <c:pt idx="813">
                  <c:v>8781</c:v>
                </c:pt>
                <c:pt idx="814">
                  <c:v>183</c:v>
                </c:pt>
                <c:pt idx="815">
                  <c:v>9222</c:v>
                </c:pt>
                <c:pt idx="816">
                  <c:v>9029</c:v>
                </c:pt>
                <c:pt idx="817">
                  <c:v>4765</c:v>
                </c:pt>
                <c:pt idx="818">
                  <c:v>8621</c:v>
                </c:pt>
                <c:pt idx="819">
                  <c:v>4822</c:v>
                </c:pt>
                <c:pt idx="820">
                  <c:v>4622</c:v>
                </c:pt>
                <c:pt idx="821">
                  <c:v>1308</c:v>
                </c:pt>
                <c:pt idx="822">
                  <c:v>5197</c:v>
                </c:pt>
                <c:pt idx="823">
                  <c:v>8637</c:v>
                </c:pt>
                <c:pt idx="824">
                  <c:v>1008</c:v>
                </c:pt>
                <c:pt idx="825">
                  <c:v>3723</c:v>
                </c:pt>
                <c:pt idx="826">
                  <c:v>5222</c:v>
                </c:pt>
                <c:pt idx="827">
                  <c:v>5979</c:v>
                </c:pt>
                <c:pt idx="828">
                  <c:v>3501</c:v>
                </c:pt>
                <c:pt idx="829">
                  <c:v>7321</c:v>
                </c:pt>
                <c:pt idx="830">
                  <c:v>4009</c:v>
                </c:pt>
                <c:pt idx="831">
                  <c:v>2163</c:v>
                </c:pt>
                <c:pt idx="832">
                  <c:v>7411</c:v>
                </c:pt>
                <c:pt idx="833">
                  <c:v>7417</c:v>
                </c:pt>
                <c:pt idx="834">
                  <c:v>6871</c:v>
                </c:pt>
                <c:pt idx="835">
                  <c:v>2498</c:v>
                </c:pt>
                <c:pt idx="836">
                  <c:v>8053</c:v>
                </c:pt>
                <c:pt idx="837">
                  <c:v>9321</c:v>
                </c:pt>
                <c:pt idx="838">
                  <c:v>9121</c:v>
                </c:pt>
                <c:pt idx="839">
                  <c:v>2300</c:v>
                </c:pt>
                <c:pt idx="840">
                  <c:v>738</c:v>
                </c:pt>
                <c:pt idx="841">
                  <c:v>8347</c:v>
                </c:pt>
                <c:pt idx="842">
                  <c:v>6070</c:v>
                </c:pt>
                <c:pt idx="843">
                  <c:v>6879</c:v>
                </c:pt>
                <c:pt idx="844">
                  <c:v>779</c:v>
                </c:pt>
                <c:pt idx="845">
                  <c:v>9807</c:v>
                </c:pt>
                <c:pt idx="846">
                  <c:v>3031</c:v>
                </c:pt>
                <c:pt idx="847">
                  <c:v>1548</c:v>
                </c:pt>
                <c:pt idx="848">
                  <c:v>3489</c:v>
                </c:pt>
                <c:pt idx="849">
                  <c:v>9014</c:v>
                </c:pt>
                <c:pt idx="850">
                  <c:v>5317</c:v>
                </c:pt>
                <c:pt idx="851">
                  <c:v>1620</c:v>
                </c:pt>
                <c:pt idx="852">
                  <c:v>4179</c:v>
                </c:pt>
                <c:pt idx="853">
                  <c:v>1280</c:v>
                </c:pt>
                <c:pt idx="854">
                  <c:v>8240</c:v>
                </c:pt>
                <c:pt idx="855">
                  <c:v>2408</c:v>
                </c:pt>
                <c:pt idx="856">
                  <c:v>8163</c:v>
                </c:pt>
                <c:pt idx="857">
                  <c:v>1917</c:v>
                </c:pt>
                <c:pt idx="858">
                  <c:v>7113</c:v>
                </c:pt>
                <c:pt idx="859">
                  <c:v>9223</c:v>
                </c:pt>
                <c:pt idx="860">
                  <c:v>753</c:v>
                </c:pt>
                <c:pt idx="861">
                  <c:v>6239</c:v>
                </c:pt>
                <c:pt idx="862">
                  <c:v>7248</c:v>
                </c:pt>
                <c:pt idx="863">
                  <c:v>7379</c:v>
                </c:pt>
                <c:pt idx="864">
                  <c:v>7261</c:v>
                </c:pt>
                <c:pt idx="865">
                  <c:v>9557</c:v>
                </c:pt>
                <c:pt idx="866">
                  <c:v>3958</c:v>
                </c:pt>
                <c:pt idx="867">
                  <c:v>2187</c:v>
                </c:pt>
                <c:pt idx="868">
                  <c:v>3001</c:v>
                </c:pt>
                <c:pt idx="869">
                  <c:v>7184</c:v>
                </c:pt>
                <c:pt idx="870">
                  <c:v>2555</c:v>
                </c:pt>
                <c:pt idx="871">
                  <c:v>8961</c:v>
                </c:pt>
                <c:pt idx="872">
                  <c:v>3283</c:v>
                </c:pt>
                <c:pt idx="873">
                  <c:v>4433</c:v>
                </c:pt>
                <c:pt idx="874">
                  <c:v>8351</c:v>
                </c:pt>
                <c:pt idx="875">
                  <c:v>3013</c:v>
                </c:pt>
                <c:pt idx="876">
                  <c:v>3422</c:v>
                </c:pt>
                <c:pt idx="877">
                  <c:v>6615</c:v>
                </c:pt>
                <c:pt idx="878">
                  <c:v>6660</c:v>
                </c:pt>
                <c:pt idx="879">
                  <c:v>9655</c:v>
                </c:pt>
                <c:pt idx="880">
                  <c:v>8729</c:v>
                </c:pt>
                <c:pt idx="881">
                  <c:v>9045</c:v>
                </c:pt>
                <c:pt idx="882">
                  <c:v>2794</c:v>
                </c:pt>
                <c:pt idx="883">
                  <c:v>4200</c:v>
                </c:pt>
                <c:pt idx="884">
                  <c:v>4517</c:v>
                </c:pt>
                <c:pt idx="885">
                  <c:v>7033</c:v>
                </c:pt>
                <c:pt idx="886">
                  <c:v>2065</c:v>
                </c:pt>
                <c:pt idx="887">
                  <c:v>1960</c:v>
                </c:pt>
                <c:pt idx="888">
                  <c:v>6099</c:v>
                </c:pt>
                <c:pt idx="889">
                  <c:v>5893</c:v>
                </c:pt>
                <c:pt idx="890">
                  <c:v>9785</c:v>
                </c:pt>
                <c:pt idx="891">
                  <c:v>8248</c:v>
                </c:pt>
                <c:pt idx="892">
                  <c:v>8787</c:v>
                </c:pt>
                <c:pt idx="893">
                  <c:v>937</c:v>
                </c:pt>
                <c:pt idx="894">
                  <c:v>1268</c:v>
                </c:pt>
                <c:pt idx="895">
                  <c:v>8376</c:v>
                </c:pt>
                <c:pt idx="896">
                  <c:v>7893</c:v>
                </c:pt>
                <c:pt idx="897">
                  <c:v>7478</c:v>
                </c:pt>
                <c:pt idx="898">
                  <c:v>1825</c:v>
                </c:pt>
                <c:pt idx="899">
                  <c:v>7657</c:v>
                </c:pt>
                <c:pt idx="900">
                  <c:v>8730</c:v>
                </c:pt>
                <c:pt idx="901">
                  <c:v>828</c:v>
                </c:pt>
                <c:pt idx="902">
                  <c:v>6770</c:v>
                </c:pt>
                <c:pt idx="903">
                  <c:v>1404</c:v>
                </c:pt>
                <c:pt idx="904">
                  <c:v>6610</c:v>
                </c:pt>
                <c:pt idx="905">
                  <c:v>6299</c:v>
                </c:pt>
                <c:pt idx="906">
                  <c:v>1414</c:v>
                </c:pt>
                <c:pt idx="907">
                  <c:v>4928</c:v>
                </c:pt>
                <c:pt idx="908">
                  <c:v>6846</c:v>
                </c:pt>
                <c:pt idx="909">
                  <c:v>9205</c:v>
                </c:pt>
                <c:pt idx="910">
                  <c:v>1071</c:v>
                </c:pt>
                <c:pt idx="911">
                  <c:v>3543</c:v>
                </c:pt>
                <c:pt idx="912">
                  <c:v>4751</c:v>
                </c:pt>
                <c:pt idx="913">
                  <c:v>4857</c:v>
                </c:pt>
                <c:pt idx="914">
                  <c:v>1052</c:v>
                </c:pt>
                <c:pt idx="915">
                  <c:v>2560</c:v>
                </c:pt>
                <c:pt idx="916">
                  <c:v>5637</c:v>
                </c:pt>
                <c:pt idx="917">
                  <c:v>8568</c:v>
                </c:pt>
                <c:pt idx="918">
                  <c:v>6670</c:v>
                </c:pt>
                <c:pt idx="919">
                  <c:v>7293</c:v>
                </c:pt>
                <c:pt idx="920">
                  <c:v>4816</c:v>
                </c:pt>
                <c:pt idx="921">
                  <c:v>5651</c:v>
                </c:pt>
                <c:pt idx="922">
                  <c:v>3239</c:v>
                </c:pt>
                <c:pt idx="923">
                  <c:v>3054</c:v>
                </c:pt>
                <c:pt idx="924">
                  <c:v>7601</c:v>
                </c:pt>
                <c:pt idx="925">
                  <c:v>1417</c:v>
                </c:pt>
                <c:pt idx="926">
                  <c:v>6069</c:v>
                </c:pt>
                <c:pt idx="927">
                  <c:v>5155</c:v>
                </c:pt>
                <c:pt idx="928">
                  <c:v>9305</c:v>
                </c:pt>
                <c:pt idx="929">
                  <c:v>1181</c:v>
                </c:pt>
                <c:pt idx="930">
                  <c:v>474</c:v>
                </c:pt>
                <c:pt idx="931">
                  <c:v>8909</c:v>
                </c:pt>
                <c:pt idx="932">
                  <c:v>5240</c:v>
                </c:pt>
                <c:pt idx="933">
                  <c:v>253</c:v>
                </c:pt>
                <c:pt idx="934">
                  <c:v>1766</c:v>
                </c:pt>
                <c:pt idx="935">
                  <c:v>9628</c:v>
                </c:pt>
                <c:pt idx="936">
                  <c:v>718</c:v>
                </c:pt>
                <c:pt idx="937">
                  <c:v>3947</c:v>
                </c:pt>
                <c:pt idx="938">
                  <c:v>5258</c:v>
                </c:pt>
                <c:pt idx="939">
                  <c:v>2625</c:v>
                </c:pt>
                <c:pt idx="940">
                  <c:v>1052</c:v>
                </c:pt>
                <c:pt idx="941">
                  <c:v>7575</c:v>
                </c:pt>
                <c:pt idx="942">
                  <c:v>6263</c:v>
                </c:pt>
                <c:pt idx="943">
                  <c:v>3212</c:v>
                </c:pt>
                <c:pt idx="944">
                  <c:v>1554</c:v>
                </c:pt>
                <c:pt idx="945">
                  <c:v>6450</c:v>
                </c:pt>
                <c:pt idx="946">
                  <c:v>91</c:v>
                </c:pt>
                <c:pt idx="947">
                  <c:v>6702</c:v>
                </c:pt>
                <c:pt idx="948">
                  <c:v>7538</c:v>
                </c:pt>
                <c:pt idx="949">
                  <c:v>5884</c:v>
                </c:pt>
                <c:pt idx="950">
                  <c:v>2058</c:v>
                </c:pt>
                <c:pt idx="951">
                  <c:v>8408</c:v>
                </c:pt>
                <c:pt idx="952">
                  <c:v>4315</c:v>
                </c:pt>
                <c:pt idx="953">
                  <c:v>1189</c:v>
                </c:pt>
                <c:pt idx="954">
                  <c:v>7473</c:v>
                </c:pt>
                <c:pt idx="955">
                  <c:v>3641</c:v>
                </c:pt>
                <c:pt idx="956">
                  <c:v>7198</c:v>
                </c:pt>
                <c:pt idx="957">
                  <c:v>7678</c:v>
                </c:pt>
                <c:pt idx="958">
                  <c:v>1651</c:v>
                </c:pt>
                <c:pt idx="959">
                  <c:v>7715</c:v>
                </c:pt>
                <c:pt idx="960">
                  <c:v>1499</c:v>
                </c:pt>
                <c:pt idx="961">
                  <c:v>664</c:v>
                </c:pt>
                <c:pt idx="962">
                  <c:v>9904</c:v>
                </c:pt>
                <c:pt idx="963">
                  <c:v>5941</c:v>
                </c:pt>
                <c:pt idx="964">
                  <c:v>2531</c:v>
                </c:pt>
                <c:pt idx="965">
                  <c:v>5460</c:v>
                </c:pt>
                <c:pt idx="966">
                  <c:v>7544</c:v>
                </c:pt>
                <c:pt idx="967">
                  <c:v>3633</c:v>
                </c:pt>
                <c:pt idx="968">
                  <c:v>5607</c:v>
                </c:pt>
                <c:pt idx="969">
                  <c:v>7376</c:v>
                </c:pt>
                <c:pt idx="970">
                  <c:v>9884</c:v>
                </c:pt>
                <c:pt idx="971">
                  <c:v>6103</c:v>
                </c:pt>
                <c:pt idx="972">
                  <c:v>6039</c:v>
                </c:pt>
                <c:pt idx="973">
                  <c:v>1727</c:v>
                </c:pt>
                <c:pt idx="974">
                  <c:v>2236</c:v>
                </c:pt>
                <c:pt idx="975">
                  <c:v>8663</c:v>
                </c:pt>
                <c:pt idx="976">
                  <c:v>9139</c:v>
                </c:pt>
                <c:pt idx="977">
                  <c:v>3824</c:v>
                </c:pt>
                <c:pt idx="978">
                  <c:v>9912</c:v>
                </c:pt>
                <c:pt idx="979">
                  <c:v>6626</c:v>
                </c:pt>
                <c:pt idx="980">
                  <c:v>220</c:v>
                </c:pt>
                <c:pt idx="981">
                  <c:v>8981</c:v>
                </c:pt>
                <c:pt idx="982">
                  <c:v>8226</c:v>
                </c:pt>
                <c:pt idx="983">
                  <c:v>5304</c:v>
                </c:pt>
                <c:pt idx="984">
                  <c:v>4594</c:v>
                </c:pt>
                <c:pt idx="985">
                  <c:v>2509</c:v>
                </c:pt>
                <c:pt idx="986">
                  <c:v>2489</c:v>
                </c:pt>
                <c:pt idx="987">
                  <c:v>10</c:v>
                </c:pt>
                <c:pt idx="988">
                  <c:v>7575</c:v>
                </c:pt>
                <c:pt idx="989">
                  <c:v>9721</c:v>
                </c:pt>
                <c:pt idx="990">
                  <c:v>8015</c:v>
                </c:pt>
                <c:pt idx="991">
                  <c:v>6056</c:v>
                </c:pt>
                <c:pt idx="992">
                  <c:v>4474</c:v>
                </c:pt>
                <c:pt idx="993">
                  <c:v>5930</c:v>
                </c:pt>
                <c:pt idx="994">
                  <c:v>115</c:v>
                </c:pt>
                <c:pt idx="995">
                  <c:v>8755</c:v>
                </c:pt>
                <c:pt idx="996">
                  <c:v>604</c:v>
                </c:pt>
                <c:pt idx="997">
                  <c:v>6447</c:v>
                </c:pt>
                <c:pt idx="998">
                  <c:v>4103</c:v>
                </c:pt>
                <c:pt idx="999">
                  <c:v>3420</c:v>
                </c:pt>
              </c:numCache>
            </c:numRef>
          </c:xVal>
          <c:yVal>
            <c:numRef>
              <c:f>'Regresion Lineal'!$B$2:$B$1001</c:f>
              <c:numCache>
                <c:formatCode>_-* #,##0.00\ [$€-C0A]_-;\-* #,##0.00\ [$€-C0A]_-;_-* "-"??\ [$€-C0A]_-;_-@_-</c:formatCode>
                <c:ptCount val="1000"/>
                <c:pt idx="0">
                  <c:v>843767.4</c:v>
                </c:pt>
                <c:pt idx="1">
                  <c:v>419358.66</c:v>
                </c:pt>
                <c:pt idx="2">
                  <c:v>1408016.5</c:v>
                </c:pt>
                <c:pt idx="3">
                  <c:v>91489.98</c:v>
                </c:pt>
                <c:pt idx="4">
                  <c:v>927432.24</c:v>
                </c:pt>
                <c:pt idx="5">
                  <c:v>195019.5</c:v>
                </c:pt>
                <c:pt idx="6">
                  <c:v>618864.4800000001</c:v>
                </c:pt>
                <c:pt idx="7">
                  <c:v>3637066.8</c:v>
                </c:pt>
                <c:pt idx="8">
                  <c:v>717507.67</c:v>
                </c:pt>
                <c:pt idx="9">
                  <c:v>6086859.8700000001</c:v>
                </c:pt>
                <c:pt idx="10">
                  <c:v>422335.2</c:v>
                </c:pt>
                <c:pt idx="11">
                  <c:v>1008401.2200000001</c:v>
                </c:pt>
                <c:pt idx="12">
                  <c:v>298033.45</c:v>
                </c:pt>
                <c:pt idx="13">
                  <c:v>310893.08</c:v>
                </c:pt>
                <c:pt idx="14">
                  <c:v>26945.040000000001</c:v>
                </c:pt>
                <c:pt idx="15">
                  <c:v>816400.97000000009</c:v>
                </c:pt>
                <c:pt idx="16">
                  <c:v>634377.19999999995</c:v>
                </c:pt>
                <c:pt idx="17">
                  <c:v>1134584.8800000001</c:v>
                </c:pt>
                <c:pt idx="18">
                  <c:v>3343963.35</c:v>
                </c:pt>
                <c:pt idx="19">
                  <c:v>2456364.12</c:v>
                </c:pt>
                <c:pt idx="20">
                  <c:v>784771.46000000008</c:v>
                </c:pt>
                <c:pt idx="21">
                  <c:v>398726.39999999997</c:v>
                </c:pt>
                <c:pt idx="22">
                  <c:v>460639.02</c:v>
                </c:pt>
                <c:pt idx="23">
                  <c:v>357345.6</c:v>
                </c:pt>
                <c:pt idx="24">
                  <c:v>931600.82000000007</c:v>
                </c:pt>
                <c:pt idx="25">
                  <c:v>634306.53</c:v>
                </c:pt>
                <c:pt idx="26">
                  <c:v>202386.56</c:v>
                </c:pt>
                <c:pt idx="27">
                  <c:v>414936.16000000003</c:v>
                </c:pt>
                <c:pt idx="28">
                  <c:v>4075110.46</c:v>
                </c:pt>
                <c:pt idx="29">
                  <c:v>1439699.5999999999</c:v>
                </c:pt>
                <c:pt idx="30">
                  <c:v>1070408.8800000001</c:v>
                </c:pt>
                <c:pt idx="31">
                  <c:v>54186.990000000005</c:v>
                </c:pt>
                <c:pt idx="32">
                  <c:v>553721.76</c:v>
                </c:pt>
                <c:pt idx="33">
                  <c:v>26329.26</c:v>
                </c:pt>
                <c:pt idx="34">
                  <c:v>395484.32</c:v>
                </c:pt>
                <c:pt idx="35">
                  <c:v>3874215.8699999996</c:v>
                </c:pt>
                <c:pt idx="36">
                  <c:v>392316.60000000003</c:v>
                </c:pt>
                <c:pt idx="37">
                  <c:v>341462</c:v>
                </c:pt>
                <c:pt idx="38">
                  <c:v>1105688.6200000001</c:v>
                </c:pt>
                <c:pt idx="39">
                  <c:v>3119484.36</c:v>
                </c:pt>
                <c:pt idx="40">
                  <c:v>9432.6299999999992</c:v>
                </c:pt>
                <c:pt idx="41">
                  <c:v>559513.59999999998</c:v>
                </c:pt>
                <c:pt idx="42">
                  <c:v>27383.55</c:v>
                </c:pt>
                <c:pt idx="43">
                  <c:v>1582440.3</c:v>
                </c:pt>
                <c:pt idx="44">
                  <c:v>1771282.7</c:v>
                </c:pt>
                <c:pt idx="45">
                  <c:v>695767.49</c:v>
                </c:pt>
                <c:pt idx="46">
                  <c:v>678082.4</c:v>
                </c:pt>
                <c:pt idx="47">
                  <c:v>369303.35000000003</c:v>
                </c:pt>
                <c:pt idx="48">
                  <c:v>2691236.31</c:v>
                </c:pt>
                <c:pt idx="49">
                  <c:v>781789.12</c:v>
                </c:pt>
                <c:pt idx="50">
                  <c:v>472904.3</c:v>
                </c:pt>
                <c:pt idx="51">
                  <c:v>930368.34</c:v>
                </c:pt>
                <c:pt idx="52">
                  <c:v>456848.60000000003</c:v>
                </c:pt>
                <c:pt idx="53">
                  <c:v>2680267.17</c:v>
                </c:pt>
                <c:pt idx="54">
                  <c:v>1006165.86</c:v>
                </c:pt>
                <c:pt idx="55">
                  <c:v>119099.5</c:v>
                </c:pt>
                <c:pt idx="56">
                  <c:v>565554.26</c:v>
                </c:pt>
                <c:pt idx="57">
                  <c:v>292916.8</c:v>
                </c:pt>
                <c:pt idx="58">
                  <c:v>460287.36</c:v>
                </c:pt>
                <c:pt idx="59">
                  <c:v>640497.52</c:v>
                </c:pt>
                <c:pt idx="60">
                  <c:v>1669666.8</c:v>
                </c:pt>
                <c:pt idx="61">
                  <c:v>627604.67000000004</c:v>
                </c:pt>
                <c:pt idx="62">
                  <c:v>438385.12</c:v>
                </c:pt>
                <c:pt idx="63">
                  <c:v>110172.04000000001</c:v>
                </c:pt>
                <c:pt idx="64">
                  <c:v>2272299.54</c:v>
                </c:pt>
                <c:pt idx="65">
                  <c:v>66399.86</c:v>
                </c:pt>
                <c:pt idx="66">
                  <c:v>10953.42</c:v>
                </c:pt>
                <c:pt idx="67">
                  <c:v>1107915.2</c:v>
                </c:pt>
                <c:pt idx="68">
                  <c:v>301093.32</c:v>
                </c:pt>
                <c:pt idx="69">
                  <c:v>407914.43</c:v>
                </c:pt>
                <c:pt idx="70">
                  <c:v>721731.6</c:v>
                </c:pt>
                <c:pt idx="71">
                  <c:v>2868008.2199999997</c:v>
                </c:pt>
                <c:pt idx="72">
                  <c:v>2689786.75</c:v>
                </c:pt>
                <c:pt idx="73">
                  <c:v>4346175.54</c:v>
                </c:pt>
                <c:pt idx="74">
                  <c:v>53041.05</c:v>
                </c:pt>
                <c:pt idx="75">
                  <c:v>621323.98</c:v>
                </c:pt>
                <c:pt idx="76">
                  <c:v>81756.350000000006</c:v>
                </c:pt>
                <c:pt idx="77">
                  <c:v>345388</c:v>
                </c:pt>
                <c:pt idx="78">
                  <c:v>62327.1</c:v>
                </c:pt>
                <c:pt idx="79">
                  <c:v>111071.07</c:v>
                </c:pt>
                <c:pt idx="80">
                  <c:v>1396016.03</c:v>
                </c:pt>
                <c:pt idx="81">
                  <c:v>677257.84</c:v>
                </c:pt>
                <c:pt idx="82">
                  <c:v>159546.45000000001</c:v>
                </c:pt>
                <c:pt idx="83">
                  <c:v>1724264.43</c:v>
                </c:pt>
                <c:pt idx="84">
                  <c:v>111046.8</c:v>
                </c:pt>
                <c:pt idx="85">
                  <c:v>3311790</c:v>
                </c:pt>
                <c:pt idx="86">
                  <c:v>67345.52</c:v>
                </c:pt>
                <c:pt idx="87">
                  <c:v>4904262.5100000007</c:v>
                </c:pt>
                <c:pt idx="88">
                  <c:v>907190</c:v>
                </c:pt>
                <c:pt idx="89">
                  <c:v>132592.02000000002</c:v>
                </c:pt>
                <c:pt idx="90">
                  <c:v>4913789.3099999996</c:v>
                </c:pt>
                <c:pt idx="91">
                  <c:v>2954495.67</c:v>
                </c:pt>
                <c:pt idx="92">
                  <c:v>1512109.62</c:v>
                </c:pt>
                <c:pt idx="93">
                  <c:v>73203.180000000008</c:v>
                </c:pt>
                <c:pt idx="94">
                  <c:v>244130.25000000003</c:v>
                </c:pt>
                <c:pt idx="95">
                  <c:v>370821.75</c:v>
                </c:pt>
                <c:pt idx="96">
                  <c:v>1655746.08</c:v>
                </c:pt>
                <c:pt idx="97">
                  <c:v>2553459.67</c:v>
                </c:pt>
                <c:pt idx="98">
                  <c:v>777334.03</c:v>
                </c:pt>
                <c:pt idx="99">
                  <c:v>805469.82000000007</c:v>
                </c:pt>
                <c:pt idx="100">
                  <c:v>2032727.4</c:v>
                </c:pt>
                <c:pt idx="101">
                  <c:v>632262.24</c:v>
                </c:pt>
                <c:pt idx="102">
                  <c:v>879471.12000000011</c:v>
                </c:pt>
                <c:pt idx="103">
                  <c:v>3146883.4299999997</c:v>
                </c:pt>
                <c:pt idx="104">
                  <c:v>371106.45</c:v>
                </c:pt>
                <c:pt idx="105">
                  <c:v>617626.54</c:v>
                </c:pt>
                <c:pt idx="106">
                  <c:v>2352915.7600000002</c:v>
                </c:pt>
                <c:pt idx="107">
                  <c:v>597818.13</c:v>
                </c:pt>
                <c:pt idx="108">
                  <c:v>3753004.32</c:v>
                </c:pt>
                <c:pt idx="109">
                  <c:v>2258717.44</c:v>
                </c:pt>
                <c:pt idx="110">
                  <c:v>2265570.4</c:v>
                </c:pt>
                <c:pt idx="111">
                  <c:v>302073.24</c:v>
                </c:pt>
                <c:pt idx="112">
                  <c:v>701161.67</c:v>
                </c:pt>
                <c:pt idx="113">
                  <c:v>1659715.26</c:v>
                </c:pt>
                <c:pt idx="114">
                  <c:v>5995718.4399999995</c:v>
                </c:pt>
                <c:pt idx="115">
                  <c:v>2021051.76</c:v>
                </c:pt>
                <c:pt idx="116">
                  <c:v>96038.8</c:v>
                </c:pt>
                <c:pt idx="117">
                  <c:v>941694.6</c:v>
                </c:pt>
                <c:pt idx="118">
                  <c:v>482125.27</c:v>
                </c:pt>
                <c:pt idx="119">
                  <c:v>77746.89</c:v>
                </c:pt>
                <c:pt idx="120">
                  <c:v>192403.38</c:v>
                </c:pt>
                <c:pt idx="121">
                  <c:v>289207.75</c:v>
                </c:pt>
                <c:pt idx="122">
                  <c:v>11905.08</c:v>
                </c:pt>
                <c:pt idx="123">
                  <c:v>67894.41</c:v>
                </c:pt>
                <c:pt idx="124">
                  <c:v>677133.45</c:v>
                </c:pt>
                <c:pt idx="125">
                  <c:v>35407.35</c:v>
                </c:pt>
                <c:pt idx="126">
                  <c:v>19691.75</c:v>
                </c:pt>
                <c:pt idx="127">
                  <c:v>26157.18</c:v>
                </c:pt>
                <c:pt idx="128">
                  <c:v>1289020.02</c:v>
                </c:pt>
                <c:pt idx="129">
                  <c:v>460947.52</c:v>
                </c:pt>
                <c:pt idx="130">
                  <c:v>5765833.5599999996</c:v>
                </c:pt>
                <c:pt idx="131">
                  <c:v>510304.72000000003</c:v>
                </c:pt>
                <c:pt idx="132">
                  <c:v>4467951.8100000005</c:v>
                </c:pt>
                <c:pt idx="133">
                  <c:v>1386231.8800000001</c:v>
                </c:pt>
                <c:pt idx="134">
                  <c:v>134305.12</c:v>
                </c:pt>
                <c:pt idx="135">
                  <c:v>1728291.4</c:v>
                </c:pt>
                <c:pt idx="136">
                  <c:v>113737.65000000001</c:v>
                </c:pt>
                <c:pt idx="137">
                  <c:v>582407.98</c:v>
                </c:pt>
                <c:pt idx="138">
                  <c:v>1489271.7</c:v>
                </c:pt>
                <c:pt idx="139">
                  <c:v>217463.35</c:v>
                </c:pt>
                <c:pt idx="140">
                  <c:v>126788</c:v>
                </c:pt>
                <c:pt idx="141">
                  <c:v>552715.9</c:v>
                </c:pt>
                <c:pt idx="142">
                  <c:v>173199.4</c:v>
                </c:pt>
                <c:pt idx="143">
                  <c:v>639725.12</c:v>
                </c:pt>
                <c:pt idx="144">
                  <c:v>54589.83</c:v>
                </c:pt>
                <c:pt idx="145">
                  <c:v>9292.68</c:v>
                </c:pt>
                <c:pt idx="146">
                  <c:v>693070.4</c:v>
                </c:pt>
                <c:pt idx="147">
                  <c:v>1148469.6600000001</c:v>
                </c:pt>
                <c:pt idx="148">
                  <c:v>359039.89</c:v>
                </c:pt>
                <c:pt idx="149">
                  <c:v>68696.789999999994</c:v>
                </c:pt>
                <c:pt idx="150">
                  <c:v>1142873.55</c:v>
                </c:pt>
                <c:pt idx="151">
                  <c:v>45875.61</c:v>
                </c:pt>
                <c:pt idx="152">
                  <c:v>11466.57</c:v>
                </c:pt>
                <c:pt idx="153">
                  <c:v>66261.66</c:v>
                </c:pt>
                <c:pt idx="154">
                  <c:v>3995586.33</c:v>
                </c:pt>
                <c:pt idx="155">
                  <c:v>2170482.9300000002</c:v>
                </c:pt>
                <c:pt idx="156">
                  <c:v>1087520.7</c:v>
                </c:pt>
                <c:pt idx="157">
                  <c:v>451558.25</c:v>
                </c:pt>
                <c:pt idx="158">
                  <c:v>4321033.82</c:v>
                </c:pt>
                <c:pt idx="159">
                  <c:v>5268940.1100000003</c:v>
                </c:pt>
                <c:pt idx="160">
                  <c:v>670746.30000000005</c:v>
                </c:pt>
                <c:pt idx="161">
                  <c:v>1224006.7</c:v>
                </c:pt>
                <c:pt idx="162">
                  <c:v>3597456.03</c:v>
                </c:pt>
                <c:pt idx="163">
                  <c:v>2931096.21</c:v>
                </c:pt>
                <c:pt idx="164">
                  <c:v>1949553.69</c:v>
                </c:pt>
                <c:pt idx="165">
                  <c:v>1057065.44</c:v>
                </c:pt>
                <c:pt idx="166">
                  <c:v>3154049.64</c:v>
                </c:pt>
                <c:pt idx="167">
                  <c:v>1201720.08</c:v>
                </c:pt>
                <c:pt idx="168">
                  <c:v>847466.4</c:v>
                </c:pt>
                <c:pt idx="169">
                  <c:v>1239136.8</c:v>
                </c:pt>
                <c:pt idx="170">
                  <c:v>1315849.9200000002</c:v>
                </c:pt>
                <c:pt idx="171">
                  <c:v>2358324.83</c:v>
                </c:pt>
                <c:pt idx="172">
                  <c:v>3741201.45</c:v>
                </c:pt>
                <c:pt idx="173">
                  <c:v>188632.84</c:v>
                </c:pt>
                <c:pt idx="174">
                  <c:v>795995.52</c:v>
                </c:pt>
                <c:pt idx="175">
                  <c:v>1043448.38</c:v>
                </c:pt>
                <c:pt idx="176">
                  <c:v>595672.32000000007</c:v>
                </c:pt>
                <c:pt idx="177">
                  <c:v>2499995.19</c:v>
                </c:pt>
                <c:pt idx="178">
                  <c:v>5710460.4900000002</c:v>
                </c:pt>
                <c:pt idx="179">
                  <c:v>138506.55000000002</c:v>
                </c:pt>
                <c:pt idx="180">
                  <c:v>1551800.7999999998</c:v>
                </c:pt>
                <c:pt idx="181">
                  <c:v>647921.12</c:v>
                </c:pt>
                <c:pt idx="182">
                  <c:v>1726234.4</c:v>
                </c:pt>
                <c:pt idx="183">
                  <c:v>4865673.87</c:v>
                </c:pt>
                <c:pt idx="184">
                  <c:v>1287442.1700000002</c:v>
                </c:pt>
                <c:pt idx="185">
                  <c:v>184580.5</c:v>
                </c:pt>
                <c:pt idx="186">
                  <c:v>69466.8</c:v>
                </c:pt>
                <c:pt idx="187">
                  <c:v>788991.18</c:v>
                </c:pt>
                <c:pt idx="188">
                  <c:v>517541.19999999995</c:v>
                </c:pt>
                <c:pt idx="189">
                  <c:v>1327339.2</c:v>
                </c:pt>
                <c:pt idx="190">
                  <c:v>30770.34</c:v>
                </c:pt>
                <c:pt idx="191">
                  <c:v>155368.73000000001</c:v>
                </c:pt>
                <c:pt idx="192">
                  <c:v>689264.44000000006</c:v>
                </c:pt>
                <c:pt idx="193">
                  <c:v>3661161.42</c:v>
                </c:pt>
                <c:pt idx="194">
                  <c:v>85901.31</c:v>
                </c:pt>
                <c:pt idx="195">
                  <c:v>1216727.5999999999</c:v>
                </c:pt>
                <c:pt idx="196">
                  <c:v>487137.72000000003</c:v>
                </c:pt>
                <c:pt idx="197">
                  <c:v>3991917.3000000003</c:v>
                </c:pt>
                <c:pt idx="198">
                  <c:v>926267.1</c:v>
                </c:pt>
                <c:pt idx="199">
                  <c:v>477727.98000000004</c:v>
                </c:pt>
                <c:pt idx="200">
                  <c:v>599909.64</c:v>
                </c:pt>
                <c:pt idx="201">
                  <c:v>33357.35</c:v>
                </c:pt>
                <c:pt idx="202">
                  <c:v>1148504.72</c:v>
                </c:pt>
                <c:pt idx="203">
                  <c:v>902324.96</c:v>
                </c:pt>
                <c:pt idx="204">
                  <c:v>836185.98</c:v>
                </c:pt>
                <c:pt idx="205">
                  <c:v>71934.3</c:v>
                </c:pt>
                <c:pt idx="206">
                  <c:v>42050.31</c:v>
                </c:pt>
                <c:pt idx="207">
                  <c:v>1518832.8</c:v>
                </c:pt>
                <c:pt idx="208">
                  <c:v>563412.29999999993</c:v>
                </c:pt>
                <c:pt idx="209">
                  <c:v>269156.64</c:v>
                </c:pt>
                <c:pt idx="210">
                  <c:v>2511955.2000000002</c:v>
                </c:pt>
                <c:pt idx="211">
                  <c:v>38187.69</c:v>
                </c:pt>
                <c:pt idx="212">
                  <c:v>227392.56</c:v>
                </c:pt>
                <c:pt idx="213">
                  <c:v>22557.48</c:v>
                </c:pt>
                <c:pt idx="214">
                  <c:v>2451180.9</c:v>
                </c:pt>
                <c:pt idx="215">
                  <c:v>836083.62</c:v>
                </c:pt>
                <c:pt idx="216">
                  <c:v>2283793.4700000002</c:v>
                </c:pt>
                <c:pt idx="217">
                  <c:v>306527</c:v>
                </c:pt>
                <c:pt idx="218">
                  <c:v>1973314.4</c:v>
                </c:pt>
                <c:pt idx="219">
                  <c:v>1176651.21</c:v>
                </c:pt>
                <c:pt idx="220">
                  <c:v>338689.12</c:v>
                </c:pt>
                <c:pt idx="221">
                  <c:v>1615667.12</c:v>
                </c:pt>
                <c:pt idx="222">
                  <c:v>609462.24</c:v>
                </c:pt>
                <c:pt idx="223">
                  <c:v>306904.39999999997</c:v>
                </c:pt>
                <c:pt idx="224">
                  <c:v>1789384.2999999998</c:v>
                </c:pt>
                <c:pt idx="225">
                  <c:v>1068200.0999999999</c:v>
                </c:pt>
                <c:pt idx="226">
                  <c:v>446404.36</c:v>
                </c:pt>
                <c:pt idx="227">
                  <c:v>2993508.4</c:v>
                </c:pt>
                <c:pt idx="228">
                  <c:v>511164.5</c:v>
                </c:pt>
                <c:pt idx="229">
                  <c:v>1289020.02</c:v>
                </c:pt>
                <c:pt idx="230">
                  <c:v>1505597.52</c:v>
                </c:pt>
                <c:pt idx="231">
                  <c:v>1822249.5999999999</c:v>
                </c:pt>
                <c:pt idx="232">
                  <c:v>89063.2</c:v>
                </c:pt>
                <c:pt idx="233">
                  <c:v>296890.64</c:v>
                </c:pt>
                <c:pt idx="234">
                  <c:v>54852.200000000004</c:v>
                </c:pt>
                <c:pt idx="235">
                  <c:v>1803371.9</c:v>
                </c:pt>
                <c:pt idx="236">
                  <c:v>5860890</c:v>
                </c:pt>
                <c:pt idx="237">
                  <c:v>1370055.58</c:v>
                </c:pt>
                <c:pt idx="238">
                  <c:v>1059787.68</c:v>
                </c:pt>
                <c:pt idx="239">
                  <c:v>917427.3</c:v>
                </c:pt>
                <c:pt idx="240">
                  <c:v>21962.82</c:v>
                </c:pt>
                <c:pt idx="241">
                  <c:v>2897962.4099999997</c:v>
                </c:pt>
                <c:pt idx="242">
                  <c:v>260669.52</c:v>
                </c:pt>
                <c:pt idx="243">
                  <c:v>49680.15</c:v>
                </c:pt>
                <c:pt idx="244">
                  <c:v>4030338.6900000004</c:v>
                </c:pt>
                <c:pt idx="245">
                  <c:v>269981.08</c:v>
                </c:pt>
                <c:pt idx="246">
                  <c:v>438212.8</c:v>
                </c:pt>
                <c:pt idx="247">
                  <c:v>87272.82</c:v>
                </c:pt>
                <c:pt idx="248">
                  <c:v>54281.94</c:v>
                </c:pt>
                <c:pt idx="249">
                  <c:v>2103369.1999999997</c:v>
                </c:pt>
                <c:pt idx="250">
                  <c:v>728874.66</c:v>
                </c:pt>
                <c:pt idx="251">
                  <c:v>2611077.21</c:v>
                </c:pt>
                <c:pt idx="252">
                  <c:v>310892.40000000002</c:v>
                </c:pt>
                <c:pt idx="253">
                  <c:v>2361754.4</c:v>
                </c:pt>
                <c:pt idx="254">
                  <c:v>1420062.06</c:v>
                </c:pt>
                <c:pt idx="255">
                  <c:v>1047309.1200000001</c:v>
                </c:pt>
                <c:pt idx="256">
                  <c:v>302809.65000000002</c:v>
                </c:pt>
                <c:pt idx="257">
                  <c:v>355400.5</c:v>
                </c:pt>
                <c:pt idx="258">
                  <c:v>743120.08</c:v>
                </c:pt>
                <c:pt idx="259">
                  <c:v>2823287.88</c:v>
                </c:pt>
                <c:pt idx="260">
                  <c:v>1092273.21</c:v>
                </c:pt>
                <c:pt idx="261">
                  <c:v>521927.78</c:v>
                </c:pt>
                <c:pt idx="262">
                  <c:v>380966.67</c:v>
                </c:pt>
                <c:pt idx="263">
                  <c:v>107750.08</c:v>
                </c:pt>
                <c:pt idx="264">
                  <c:v>404084.2</c:v>
                </c:pt>
                <c:pt idx="265">
                  <c:v>4822210.05</c:v>
                </c:pt>
                <c:pt idx="266">
                  <c:v>5743112.3799999999</c:v>
                </c:pt>
                <c:pt idx="267">
                  <c:v>552628.96</c:v>
                </c:pt>
                <c:pt idx="268">
                  <c:v>1398554.2999999998</c:v>
                </c:pt>
                <c:pt idx="269">
                  <c:v>3914057.3899999997</c:v>
                </c:pt>
                <c:pt idx="270">
                  <c:v>106003.81000000001</c:v>
                </c:pt>
                <c:pt idx="271">
                  <c:v>461052.32</c:v>
                </c:pt>
                <c:pt idx="272">
                  <c:v>1202737.2</c:v>
                </c:pt>
                <c:pt idx="273">
                  <c:v>4594937.7600000007</c:v>
                </c:pt>
                <c:pt idx="274">
                  <c:v>1824674.25</c:v>
                </c:pt>
                <c:pt idx="275">
                  <c:v>179503.35</c:v>
                </c:pt>
                <c:pt idx="276">
                  <c:v>259437.04</c:v>
                </c:pt>
                <c:pt idx="277">
                  <c:v>1298789.7999999998</c:v>
                </c:pt>
                <c:pt idx="278">
                  <c:v>326856.48</c:v>
                </c:pt>
                <c:pt idx="279">
                  <c:v>740718.99</c:v>
                </c:pt>
                <c:pt idx="280">
                  <c:v>1359487.8</c:v>
                </c:pt>
                <c:pt idx="281">
                  <c:v>977291.04</c:v>
                </c:pt>
                <c:pt idx="282">
                  <c:v>1697053.26</c:v>
                </c:pt>
                <c:pt idx="283">
                  <c:v>819354.60000000009</c:v>
                </c:pt>
                <c:pt idx="284">
                  <c:v>2486937.7600000002</c:v>
                </c:pt>
                <c:pt idx="285">
                  <c:v>171745.38999999998</c:v>
                </c:pt>
                <c:pt idx="286">
                  <c:v>927022.24</c:v>
                </c:pt>
                <c:pt idx="287">
                  <c:v>380454.10000000003</c:v>
                </c:pt>
                <c:pt idx="288">
                  <c:v>450442.85000000003</c:v>
                </c:pt>
                <c:pt idx="289">
                  <c:v>1145131.8999999999</c:v>
                </c:pt>
                <c:pt idx="290">
                  <c:v>1220829.5</c:v>
                </c:pt>
                <c:pt idx="291">
                  <c:v>1013866.7999999999</c:v>
                </c:pt>
                <c:pt idx="292">
                  <c:v>530062.92000000004</c:v>
                </c:pt>
                <c:pt idx="293">
                  <c:v>81756.399999999994</c:v>
                </c:pt>
                <c:pt idx="294">
                  <c:v>178431.54</c:v>
                </c:pt>
                <c:pt idx="295">
                  <c:v>2395747.9499999997</c:v>
                </c:pt>
                <c:pt idx="296">
                  <c:v>1786704.72</c:v>
                </c:pt>
                <c:pt idx="297">
                  <c:v>4121921.6</c:v>
                </c:pt>
                <c:pt idx="298">
                  <c:v>2978643.6</c:v>
                </c:pt>
                <c:pt idx="299">
                  <c:v>4764096.83</c:v>
                </c:pt>
                <c:pt idx="300">
                  <c:v>439707.4</c:v>
                </c:pt>
                <c:pt idx="301">
                  <c:v>80256.66</c:v>
                </c:pt>
                <c:pt idx="302">
                  <c:v>562645.44000000006</c:v>
                </c:pt>
                <c:pt idx="303">
                  <c:v>3486077.07</c:v>
                </c:pt>
                <c:pt idx="304">
                  <c:v>599486.82000000007</c:v>
                </c:pt>
                <c:pt idx="305">
                  <c:v>330462.72000000003</c:v>
                </c:pt>
                <c:pt idx="306">
                  <c:v>3265428.6</c:v>
                </c:pt>
                <c:pt idx="307">
                  <c:v>1005560</c:v>
                </c:pt>
                <c:pt idx="308">
                  <c:v>2032028.8</c:v>
                </c:pt>
                <c:pt idx="309">
                  <c:v>874786.4</c:v>
                </c:pt>
                <c:pt idx="310">
                  <c:v>225002.69</c:v>
                </c:pt>
                <c:pt idx="311">
                  <c:v>936346.39999999991</c:v>
                </c:pt>
                <c:pt idx="312">
                  <c:v>25965.39</c:v>
                </c:pt>
                <c:pt idx="313">
                  <c:v>723882.61</c:v>
                </c:pt>
                <c:pt idx="314">
                  <c:v>185384.7</c:v>
                </c:pt>
                <c:pt idx="315">
                  <c:v>216852.93000000002</c:v>
                </c:pt>
                <c:pt idx="316">
                  <c:v>566529.54</c:v>
                </c:pt>
                <c:pt idx="317">
                  <c:v>581530.53</c:v>
                </c:pt>
                <c:pt idx="318">
                  <c:v>689801.20000000007</c:v>
                </c:pt>
                <c:pt idx="319">
                  <c:v>763059.18</c:v>
                </c:pt>
                <c:pt idx="320">
                  <c:v>1547252.08</c:v>
                </c:pt>
                <c:pt idx="321">
                  <c:v>3976735.1399999997</c:v>
                </c:pt>
                <c:pt idx="322">
                  <c:v>462163</c:v>
                </c:pt>
                <c:pt idx="323">
                  <c:v>766438.2</c:v>
                </c:pt>
                <c:pt idx="324">
                  <c:v>243893.00000000003</c:v>
                </c:pt>
                <c:pt idx="325">
                  <c:v>2493575.04</c:v>
                </c:pt>
                <c:pt idx="326">
                  <c:v>186684.4</c:v>
                </c:pt>
                <c:pt idx="327">
                  <c:v>299819.7</c:v>
                </c:pt>
                <c:pt idx="328">
                  <c:v>684420.64</c:v>
                </c:pt>
                <c:pt idx="329">
                  <c:v>3161830.4</c:v>
                </c:pt>
                <c:pt idx="330">
                  <c:v>2452446.5699999998</c:v>
                </c:pt>
                <c:pt idx="331">
                  <c:v>236395.90000000002</c:v>
                </c:pt>
                <c:pt idx="332">
                  <c:v>723534.3600000001</c:v>
                </c:pt>
                <c:pt idx="333">
                  <c:v>3116798.8</c:v>
                </c:pt>
                <c:pt idx="334">
                  <c:v>249308.4</c:v>
                </c:pt>
                <c:pt idx="335">
                  <c:v>3412246.32</c:v>
                </c:pt>
                <c:pt idx="336">
                  <c:v>907259.34</c:v>
                </c:pt>
                <c:pt idx="337">
                  <c:v>735328.38</c:v>
                </c:pt>
                <c:pt idx="338">
                  <c:v>18053.55</c:v>
                </c:pt>
                <c:pt idx="339">
                  <c:v>721029.44000000006</c:v>
                </c:pt>
                <c:pt idx="340">
                  <c:v>2116622.13</c:v>
                </c:pt>
                <c:pt idx="341">
                  <c:v>598526.56000000006</c:v>
                </c:pt>
                <c:pt idx="342">
                  <c:v>1441011.2</c:v>
                </c:pt>
                <c:pt idx="343">
                  <c:v>1486495.44</c:v>
                </c:pt>
                <c:pt idx="344">
                  <c:v>3138017.82</c:v>
                </c:pt>
                <c:pt idx="345">
                  <c:v>497442.56</c:v>
                </c:pt>
                <c:pt idx="346">
                  <c:v>124654.2</c:v>
                </c:pt>
                <c:pt idx="347">
                  <c:v>165768.56</c:v>
                </c:pt>
                <c:pt idx="348">
                  <c:v>3571298.85</c:v>
                </c:pt>
                <c:pt idx="349">
                  <c:v>3084437.79</c:v>
                </c:pt>
                <c:pt idx="350">
                  <c:v>4013058.8</c:v>
                </c:pt>
                <c:pt idx="351">
                  <c:v>1957742.32</c:v>
                </c:pt>
                <c:pt idx="352">
                  <c:v>161851.95000000001</c:v>
                </c:pt>
                <c:pt idx="353">
                  <c:v>84585.78</c:v>
                </c:pt>
                <c:pt idx="354">
                  <c:v>353563.98000000004</c:v>
                </c:pt>
                <c:pt idx="355">
                  <c:v>8536.9500000000007</c:v>
                </c:pt>
                <c:pt idx="356">
                  <c:v>829216.64</c:v>
                </c:pt>
                <c:pt idx="357">
                  <c:v>1055446.7</c:v>
                </c:pt>
                <c:pt idx="358">
                  <c:v>909515.47</c:v>
                </c:pt>
                <c:pt idx="359">
                  <c:v>943925.62</c:v>
                </c:pt>
                <c:pt idx="360">
                  <c:v>971810.48</c:v>
                </c:pt>
                <c:pt idx="361">
                  <c:v>532038.57000000007</c:v>
                </c:pt>
                <c:pt idx="362">
                  <c:v>457279.35000000003</c:v>
                </c:pt>
                <c:pt idx="363">
                  <c:v>3635004.2399999998</c:v>
                </c:pt>
                <c:pt idx="364">
                  <c:v>231793.25</c:v>
                </c:pt>
                <c:pt idx="365">
                  <c:v>935788.77</c:v>
                </c:pt>
                <c:pt idx="366">
                  <c:v>191329.93000000002</c:v>
                </c:pt>
                <c:pt idx="367">
                  <c:v>563783.10000000009</c:v>
                </c:pt>
                <c:pt idx="368">
                  <c:v>5766501.8300000001</c:v>
                </c:pt>
                <c:pt idx="369">
                  <c:v>1007308.7999999999</c:v>
                </c:pt>
                <c:pt idx="370">
                  <c:v>1054632.9600000002</c:v>
                </c:pt>
                <c:pt idx="371">
                  <c:v>4462707.0599999996</c:v>
                </c:pt>
                <c:pt idx="372">
                  <c:v>311994.40000000002</c:v>
                </c:pt>
                <c:pt idx="373">
                  <c:v>1795761</c:v>
                </c:pt>
                <c:pt idx="374">
                  <c:v>377674.33</c:v>
                </c:pt>
                <c:pt idx="375">
                  <c:v>591387.5</c:v>
                </c:pt>
                <c:pt idx="376">
                  <c:v>1212511.8599999999</c:v>
                </c:pt>
                <c:pt idx="377">
                  <c:v>2635441.6</c:v>
                </c:pt>
                <c:pt idx="378">
                  <c:v>160240.29999999999</c:v>
                </c:pt>
                <c:pt idx="379">
                  <c:v>3206785.8899999997</c:v>
                </c:pt>
                <c:pt idx="380">
                  <c:v>1020864.72</c:v>
                </c:pt>
                <c:pt idx="381">
                  <c:v>1450883.2200000002</c:v>
                </c:pt>
                <c:pt idx="382">
                  <c:v>294901.11</c:v>
                </c:pt>
                <c:pt idx="383">
                  <c:v>1574311.76</c:v>
                </c:pt>
                <c:pt idx="384">
                  <c:v>126109.39</c:v>
                </c:pt>
                <c:pt idx="385">
                  <c:v>41863.71</c:v>
                </c:pt>
                <c:pt idx="386">
                  <c:v>1994055.7999999998</c:v>
                </c:pt>
                <c:pt idx="387">
                  <c:v>592773.30000000005</c:v>
                </c:pt>
                <c:pt idx="388">
                  <c:v>532038.57000000007</c:v>
                </c:pt>
                <c:pt idx="389">
                  <c:v>512855.75</c:v>
                </c:pt>
                <c:pt idx="390">
                  <c:v>785241.28</c:v>
                </c:pt>
                <c:pt idx="391">
                  <c:v>2653366.7999999998</c:v>
                </c:pt>
                <c:pt idx="392">
                  <c:v>779712.8</c:v>
                </c:pt>
                <c:pt idx="393">
                  <c:v>37848.799999999996</c:v>
                </c:pt>
                <c:pt idx="394">
                  <c:v>2597998.62</c:v>
                </c:pt>
                <c:pt idx="395">
                  <c:v>1237255.8600000001</c:v>
                </c:pt>
                <c:pt idx="396">
                  <c:v>634807.52</c:v>
                </c:pt>
                <c:pt idx="397">
                  <c:v>72456.150000000009</c:v>
                </c:pt>
                <c:pt idx="398">
                  <c:v>648770.16</c:v>
                </c:pt>
                <c:pt idx="399">
                  <c:v>3310100.43</c:v>
                </c:pt>
                <c:pt idx="400">
                  <c:v>235061.28</c:v>
                </c:pt>
                <c:pt idx="401">
                  <c:v>865200.96</c:v>
                </c:pt>
                <c:pt idx="402">
                  <c:v>24920.43</c:v>
                </c:pt>
                <c:pt idx="403">
                  <c:v>387248.04000000004</c:v>
                </c:pt>
                <c:pt idx="404">
                  <c:v>224902.92</c:v>
                </c:pt>
                <c:pt idx="405">
                  <c:v>5189116.55</c:v>
                </c:pt>
                <c:pt idx="406">
                  <c:v>1026405.66</c:v>
                </c:pt>
                <c:pt idx="407">
                  <c:v>466596.57</c:v>
                </c:pt>
                <c:pt idx="408">
                  <c:v>84819.03</c:v>
                </c:pt>
                <c:pt idx="409">
                  <c:v>155873.25</c:v>
                </c:pt>
                <c:pt idx="410">
                  <c:v>82183.400000000009</c:v>
                </c:pt>
                <c:pt idx="411">
                  <c:v>2529058.96</c:v>
                </c:pt>
                <c:pt idx="412">
                  <c:v>2929.62</c:v>
                </c:pt>
                <c:pt idx="413">
                  <c:v>3159534.21</c:v>
                </c:pt>
                <c:pt idx="414">
                  <c:v>2004810</c:v>
                </c:pt>
                <c:pt idx="415">
                  <c:v>4151.8500000000004</c:v>
                </c:pt>
                <c:pt idx="416">
                  <c:v>93593.5</c:v>
                </c:pt>
                <c:pt idx="417">
                  <c:v>465043.7</c:v>
                </c:pt>
                <c:pt idx="418">
                  <c:v>900172.58</c:v>
                </c:pt>
                <c:pt idx="419">
                  <c:v>215522.01</c:v>
                </c:pt>
                <c:pt idx="420">
                  <c:v>229041.15000000002</c:v>
                </c:pt>
                <c:pt idx="421">
                  <c:v>492992</c:v>
                </c:pt>
                <c:pt idx="422">
                  <c:v>1146160.3999999999</c:v>
                </c:pt>
                <c:pt idx="423">
                  <c:v>16728.689999999999</c:v>
                </c:pt>
                <c:pt idx="424">
                  <c:v>414855.35000000003</c:v>
                </c:pt>
                <c:pt idx="425">
                  <c:v>252955.95</c:v>
                </c:pt>
                <c:pt idx="426">
                  <c:v>69993.66</c:v>
                </c:pt>
                <c:pt idx="427">
                  <c:v>2102105.88</c:v>
                </c:pt>
                <c:pt idx="428">
                  <c:v>4893191.9400000004</c:v>
                </c:pt>
                <c:pt idx="429">
                  <c:v>808344.16</c:v>
                </c:pt>
                <c:pt idx="430">
                  <c:v>329492.80000000005</c:v>
                </c:pt>
                <c:pt idx="431">
                  <c:v>347097.18</c:v>
                </c:pt>
                <c:pt idx="432">
                  <c:v>527485.42000000004</c:v>
                </c:pt>
                <c:pt idx="433">
                  <c:v>718499.22000000009</c:v>
                </c:pt>
                <c:pt idx="434">
                  <c:v>1418892.6</c:v>
                </c:pt>
                <c:pt idx="435">
                  <c:v>38999.4</c:v>
                </c:pt>
                <c:pt idx="436">
                  <c:v>584736.25</c:v>
                </c:pt>
                <c:pt idx="437">
                  <c:v>1088476.2</c:v>
                </c:pt>
                <c:pt idx="438">
                  <c:v>1466904.12</c:v>
                </c:pt>
                <c:pt idx="439">
                  <c:v>666001.38</c:v>
                </c:pt>
                <c:pt idx="440">
                  <c:v>929212.20000000007</c:v>
                </c:pt>
                <c:pt idx="441">
                  <c:v>1614135.44</c:v>
                </c:pt>
                <c:pt idx="442">
                  <c:v>1462692.63</c:v>
                </c:pt>
                <c:pt idx="443">
                  <c:v>873584.32000000007</c:v>
                </c:pt>
                <c:pt idx="444">
                  <c:v>1141584.6000000001</c:v>
                </c:pt>
                <c:pt idx="445">
                  <c:v>527362.5</c:v>
                </c:pt>
                <c:pt idx="446">
                  <c:v>497163.59</c:v>
                </c:pt>
                <c:pt idx="447">
                  <c:v>77052.900000000009</c:v>
                </c:pt>
                <c:pt idx="448">
                  <c:v>22954.94</c:v>
                </c:pt>
                <c:pt idx="449">
                  <c:v>1169072.8</c:v>
                </c:pt>
                <c:pt idx="450">
                  <c:v>427208.38</c:v>
                </c:pt>
                <c:pt idx="451">
                  <c:v>783428.32000000007</c:v>
                </c:pt>
                <c:pt idx="452">
                  <c:v>4205426.8</c:v>
                </c:pt>
                <c:pt idx="453">
                  <c:v>909878.36</c:v>
                </c:pt>
                <c:pt idx="454">
                  <c:v>2259228</c:v>
                </c:pt>
                <c:pt idx="455">
                  <c:v>2204622.73</c:v>
                </c:pt>
                <c:pt idx="456">
                  <c:v>53713.4</c:v>
                </c:pt>
                <c:pt idx="457">
                  <c:v>2737309.1999999997</c:v>
                </c:pt>
                <c:pt idx="458">
                  <c:v>1052038.56</c:v>
                </c:pt>
                <c:pt idx="459">
                  <c:v>199574.7</c:v>
                </c:pt>
                <c:pt idx="460">
                  <c:v>47.45</c:v>
                </c:pt>
                <c:pt idx="461">
                  <c:v>1380696.4200000002</c:v>
                </c:pt>
                <c:pt idx="462">
                  <c:v>45569.760000000002</c:v>
                </c:pt>
                <c:pt idx="463">
                  <c:v>425241.19</c:v>
                </c:pt>
                <c:pt idx="464">
                  <c:v>237098.34</c:v>
                </c:pt>
                <c:pt idx="465">
                  <c:v>783300.32000000007</c:v>
                </c:pt>
                <c:pt idx="466">
                  <c:v>1006165.86</c:v>
                </c:pt>
                <c:pt idx="467">
                  <c:v>409469.12</c:v>
                </c:pt>
                <c:pt idx="468">
                  <c:v>162841.42000000001</c:v>
                </c:pt>
                <c:pt idx="469">
                  <c:v>2123762.06</c:v>
                </c:pt>
                <c:pt idx="470">
                  <c:v>2193262.14</c:v>
                </c:pt>
                <c:pt idx="471">
                  <c:v>1343249.1400000001</c:v>
                </c:pt>
                <c:pt idx="472">
                  <c:v>36097.769999999997</c:v>
                </c:pt>
                <c:pt idx="473">
                  <c:v>792330.58</c:v>
                </c:pt>
                <c:pt idx="474">
                  <c:v>283893.35000000003</c:v>
                </c:pt>
                <c:pt idx="475">
                  <c:v>284256.54000000004</c:v>
                </c:pt>
                <c:pt idx="476">
                  <c:v>2311476.4</c:v>
                </c:pt>
                <c:pt idx="477">
                  <c:v>86659.040000000008</c:v>
                </c:pt>
                <c:pt idx="478">
                  <c:v>1532280.76</c:v>
                </c:pt>
                <c:pt idx="479">
                  <c:v>4241509.6899999995</c:v>
                </c:pt>
                <c:pt idx="480">
                  <c:v>406355.04000000004</c:v>
                </c:pt>
                <c:pt idx="481">
                  <c:v>1118802.3</c:v>
                </c:pt>
                <c:pt idx="482">
                  <c:v>4515.72</c:v>
                </c:pt>
                <c:pt idx="483">
                  <c:v>1539253.0999999999</c:v>
                </c:pt>
                <c:pt idx="484">
                  <c:v>48432.03</c:v>
                </c:pt>
                <c:pt idx="485">
                  <c:v>2936378.38</c:v>
                </c:pt>
                <c:pt idx="486">
                  <c:v>317895.52</c:v>
                </c:pt>
                <c:pt idx="487">
                  <c:v>90125.1</c:v>
                </c:pt>
                <c:pt idx="488">
                  <c:v>470122.56</c:v>
                </c:pt>
                <c:pt idx="489">
                  <c:v>242819.83000000002</c:v>
                </c:pt>
                <c:pt idx="490">
                  <c:v>646879.52</c:v>
                </c:pt>
                <c:pt idx="491">
                  <c:v>78869.45</c:v>
                </c:pt>
                <c:pt idx="492">
                  <c:v>1429206.8</c:v>
                </c:pt>
                <c:pt idx="493">
                  <c:v>60477.06</c:v>
                </c:pt>
                <c:pt idx="494">
                  <c:v>3041801.91</c:v>
                </c:pt>
                <c:pt idx="495">
                  <c:v>809429.5</c:v>
                </c:pt>
                <c:pt idx="496">
                  <c:v>1129702.32</c:v>
                </c:pt>
                <c:pt idx="497">
                  <c:v>159716.53</c:v>
                </c:pt>
                <c:pt idx="498">
                  <c:v>953008.1</c:v>
                </c:pt>
                <c:pt idx="499">
                  <c:v>989005.6</c:v>
                </c:pt>
                <c:pt idx="500">
                  <c:v>308364.18000000005</c:v>
                </c:pt>
                <c:pt idx="501">
                  <c:v>4177883.1999999997</c:v>
                </c:pt>
                <c:pt idx="502">
                  <c:v>72139.56</c:v>
                </c:pt>
                <c:pt idx="503">
                  <c:v>5944929.9199999999</c:v>
                </c:pt>
                <c:pt idx="504">
                  <c:v>1582440.3</c:v>
                </c:pt>
                <c:pt idx="505">
                  <c:v>2487448.3199999998</c:v>
                </c:pt>
                <c:pt idx="506">
                  <c:v>1908896</c:v>
                </c:pt>
                <c:pt idx="507">
                  <c:v>14116.29</c:v>
                </c:pt>
                <c:pt idx="508">
                  <c:v>602080.68000000005</c:v>
                </c:pt>
                <c:pt idx="509">
                  <c:v>57062.28</c:v>
                </c:pt>
                <c:pt idx="510">
                  <c:v>217842.95</c:v>
                </c:pt>
                <c:pt idx="511">
                  <c:v>1215910.02</c:v>
                </c:pt>
                <c:pt idx="512">
                  <c:v>289632.8</c:v>
                </c:pt>
                <c:pt idx="513">
                  <c:v>613929.1</c:v>
                </c:pt>
                <c:pt idx="514">
                  <c:v>425958.65</c:v>
                </c:pt>
                <c:pt idx="515">
                  <c:v>545931.24</c:v>
                </c:pt>
                <c:pt idx="516">
                  <c:v>317806.5</c:v>
                </c:pt>
                <c:pt idx="517">
                  <c:v>80825.789999999994</c:v>
                </c:pt>
                <c:pt idx="518">
                  <c:v>72298.17</c:v>
                </c:pt>
                <c:pt idx="519">
                  <c:v>562781.18000000005</c:v>
                </c:pt>
                <c:pt idx="520">
                  <c:v>1271611.24</c:v>
                </c:pt>
                <c:pt idx="521">
                  <c:v>3557560.23</c:v>
                </c:pt>
                <c:pt idx="522">
                  <c:v>2720258.4</c:v>
                </c:pt>
                <c:pt idx="523">
                  <c:v>2342954.62</c:v>
                </c:pt>
                <c:pt idx="524">
                  <c:v>68276.94</c:v>
                </c:pt>
                <c:pt idx="525">
                  <c:v>460075.2</c:v>
                </c:pt>
                <c:pt idx="526">
                  <c:v>1481094.06</c:v>
                </c:pt>
                <c:pt idx="527">
                  <c:v>400857.60000000003</c:v>
                </c:pt>
                <c:pt idx="528">
                  <c:v>833290.7</c:v>
                </c:pt>
                <c:pt idx="529">
                  <c:v>1704249.28</c:v>
                </c:pt>
                <c:pt idx="530">
                  <c:v>2349637.3199999998</c:v>
                </c:pt>
                <c:pt idx="531">
                  <c:v>2470690.7400000002</c:v>
                </c:pt>
                <c:pt idx="532">
                  <c:v>774460.5</c:v>
                </c:pt>
                <c:pt idx="533">
                  <c:v>81376.75</c:v>
                </c:pt>
                <c:pt idx="534">
                  <c:v>1980084.01</c:v>
                </c:pt>
                <c:pt idx="535">
                  <c:v>747961.3</c:v>
                </c:pt>
                <c:pt idx="536">
                  <c:v>1153944.1200000001</c:v>
                </c:pt>
                <c:pt idx="537">
                  <c:v>5978.7000000000007</c:v>
                </c:pt>
                <c:pt idx="538">
                  <c:v>690946.29999999993</c:v>
                </c:pt>
                <c:pt idx="539">
                  <c:v>329492.80000000005</c:v>
                </c:pt>
                <c:pt idx="540">
                  <c:v>521647.16000000003</c:v>
                </c:pt>
                <c:pt idx="541">
                  <c:v>3157021.1999999997</c:v>
                </c:pt>
                <c:pt idx="542">
                  <c:v>158.61000000000001</c:v>
                </c:pt>
                <c:pt idx="543">
                  <c:v>827764.38</c:v>
                </c:pt>
                <c:pt idx="544">
                  <c:v>1000187.04</c:v>
                </c:pt>
                <c:pt idx="545">
                  <c:v>1268397.54</c:v>
                </c:pt>
                <c:pt idx="546">
                  <c:v>1271149.06</c:v>
                </c:pt>
                <c:pt idx="547">
                  <c:v>832323.9</c:v>
                </c:pt>
                <c:pt idx="548">
                  <c:v>948550.4</c:v>
                </c:pt>
                <c:pt idx="549">
                  <c:v>3809323.6</c:v>
                </c:pt>
                <c:pt idx="550">
                  <c:v>1422191.19</c:v>
                </c:pt>
                <c:pt idx="551">
                  <c:v>1672011.54</c:v>
                </c:pt>
                <c:pt idx="552">
                  <c:v>1995454.22</c:v>
                </c:pt>
                <c:pt idx="553">
                  <c:v>1575759.15</c:v>
                </c:pt>
                <c:pt idx="554">
                  <c:v>176398.48</c:v>
                </c:pt>
                <c:pt idx="555">
                  <c:v>86691.150000000009</c:v>
                </c:pt>
                <c:pt idx="556">
                  <c:v>442049.3</c:v>
                </c:pt>
                <c:pt idx="557">
                  <c:v>412435.4</c:v>
                </c:pt>
                <c:pt idx="558">
                  <c:v>1136081.0999999999</c:v>
                </c:pt>
                <c:pt idx="559">
                  <c:v>2231913.04</c:v>
                </c:pt>
                <c:pt idx="560">
                  <c:v>646618.79999999993</c:v>
                </c:pt>
                <c:pt idx="561">
                  <c:v>5943593.3799999999</c:v>
                </c:pt>
                <c:pt idx="562">
                  <c:v>811790.4</c:v>
                </c:pt>
                <c:pt idx="563">
                  <c:v>1760997.7</c:v>
                </c:pt>
                <c:pt idx="564">
                  <c:v>1294058.7</c:v>
                </c:pt>
                <c:pt idx="565">
                  <c:v>2464983.6800000002</c:v>
                </c:pt>
                <c:pt idx="566">
                  <c:v>1369405.5</c:v>
                </c:pt>
                <c:pt idx="567">
                  <c:v>61531.35</c:v>
                </c:pt>
                <c:pt idx="568">
                  <c:v>828931.2</c:v>
                </c:pt>
                <c:pt idx="569">
                  <c:v>2749988</c:v>
                </c:pt>
                <c:pt idx="570">
                  <c:v>389991.55000000005</c:v>
                </c:pt>
                <c:pt idx="571">
                  <c:v>1244442.4800000002</c:v>
                </c:pt>
                <c:pt idx="572">
                  <c:v>294800.11</c:v>
                </c:pt>
                <c:pt idx="573">
                  <c:v>38318.31</c:v>
                </c:pt>
                <c:pt idx="574">
                  <c:v>4053782.25</c:v>
                </c:pt>
                <c:pt idx="575">
                  <c:v>1760380.5999999999</c:v>
                </c:pt>
                <c:pt idx="576">
                  <c:v>2841851.04</c:v>
                </c:pt>
                <c:pt idx="577">
                  <c:v>5627501.6699999999</c:v>
                </c:pt>
                <c:pt idx="578">
                  <c:v>678849.38</c:v>
                </c:pt>
                <c:pt idx="579">
                  <c:v>640138.39999999991</c:v>
                </c:pt>
                <c:pt idx="580">
                  <c:v>2884208.4</c:v>
                </c:pt>
                <c:pt idx="581">
                  <c:v>2959749.45</c:v>
                </c:pt>
                <c:pt idx="582">
                  <c:v>798829.02</c:v>
                </c:pt>
                <c:pt idx="583">
                  <c:v>3118110.4</c:v>
                </c:pt>
                <c:pt idx="584">
                  <c:v>1297082.58</c:v>
                </c:pt>
                <c:pt idx="585">
                  <c:v>369588.05000000005</c:v>
                </c:pt>
                <c:pt idx="586">
                  <c:v>649232.48</c:v>
                </c:pt>
                <c:pt idx="587">
                  <c:v>484658.9</c:v>
                </c:pt>
                <c:pt idx="588">
                  <c:v>848012.80000000005</c:v>
                </c:pt>
                <c:pt idx="589">
                  <c:v>32356.44</c:v>
                </c:pt>
                <c:pt idx="590">
                  <c:v>927301.2</c:v>
                </c:pt>
                <c:pt idx="591">
                  <c:v>3137529.7800000003</c:v>
                </c:pt>
                <c:pt idx="592">
                  <c:v>2473407.92</c:v>
                </c:pt>
                <c:pt idx="593">
                  <c:v>4607053.38</c:v>
                </c:pt>
                <c:pt idx="594">
                  <c:v>745868.2</c:v>
                </c:pt>
                <c:pt idx="595">
                  <c:v>2325345.52</c:v>
                </c:pt>
                <c:pt idx="596">
                  <c:v>2450177.44</c:v>
                </c:pt>
                <c:pt idx="597">
                  <c:v>2199787.3800000004</c:v>
                </c:pt>
                <c:pt idx="598">
                  <c:v>880081.44000000006</c:v>
                </c:pt>
                <c:pt idx="599">
                  <c:v>1736077.3499999999</c:v>
                </c:pt>
                <c:pt idx="600">
                  <c:v>306093.28000000003</c:v>
                </c:pt>
                <c:pt idx="601">
                  <c:v>5502535.1799999997</c:v>
                </c:pt>
                <c:pt idx="602">
                  <c:v>1628495.4</c:v>
                </c:pt>
                <c:pt idx="603">
                  <c:v>1059355</c:v>
                </c:pt>
                <c:pt idx="604">
                  <c:v>376693.57</c:v>
                </c:pt>
                <c:pt idx="605">
                  <c:v>740372</c:v>
                </c:pt>
                <c:pt idx="606">
                  <c:v>494994.78</c:v>
                </c:pt>
                <c:pt idx="607">
                  <c:v>1547686.7999999998</c:v>
                </c:pt>
                <c:pt idx="608">
                  <c:v>36718.080000000002</c:v>
                </c:pt>
                <c:pt idx="609">
                  <c:v>471106.08</c:v>
                </c:pt>
                <c:pt idx="610">
                  <c:v>747175.66</c:v>
                </c:pt>
                <c:pt idx="611">
                  <c:v>4377836.7699999996</c:v>
                </c:pt>
                <c:pt idx="612">
                  <c:v>3447505.74</c:v>
                </c:pt>
                <c:pt idx="613">
                  <c:v>292149.65000000002</c:v>
                </c:pt>
                <c:pt idx="614">
                  <c:v>2935510.62</c:v>
                </c:pt>
                <c:pt idx="615">
                  <c:v>1551800.7999999998</c:v>
                </c:pt>
                <c:pt idx="616">
                  <c:v>731773.68</c:v>
                </c:pt>
                <c:pt idx="617">
                  <c:v>623191.25</c:v>
                </c:pt>
                <c:pt idx="618">
                  <c:v>18408.09</c:v>
                </c:pt>
                <c:pt idx="619">
                  <c:v>2452868.46</c:v>
                </c:pt>
                <c:pt idx="620">
                  <c:v>1815691.5999999999</c:v>
                </c:pt>
                <c:pt idx="621">
                  <c:v>614287.08000000007</c:v>
                </c:pt>
                <c:pt idx="622">
                  <c:v>2425415.2799999998</c:v>
                </c:pt>
                <c:pt idx="623">
                  <c:v>2918310</c:v>
                </c:pt>
                <c:pt idx="624">
                  <c:v>5799915.3300000001</c:v>
                </c:pt>
                <c:pt idx="625">
                  <c:v>31981.300000000003</c:v>
                </c:pt>
                <c:pt idx="626">
                  <c:v>998262.1</c:v>
                </c:pt>
                <c:pt idx="627">
                  <c:v>50745.87</c:v>
                </c:pt>
                <c:pt idx="628">
                  <c:v>301256.78000000003</c:v>
                </c:pt>
                <c:pt idx="629">
                  <c:v>592827.4</c:v>
                </c:pt>
                <c:pt idx="630">
                  <c:v>273223.39</c:v>
                </c:pt>
                <c:pt idx="631">
                  <c:v>1893667.04</c:v>
                </c:pt>
                <c:pt idx="632">
                  <c:v>922975.89999999991</c:v>
                </c:pt>
                <c:pt idx="633">
                  <c:v>2514464.4</c:v>
                </c:pt>
                <c:pt idx="634">
                  <c:v>13380.900000000001</c:v>
                </c:pt>
                <c:pt idx="635">
                  <c:v>5295371.4799999995</c:v>
                </c:pt>
                <c:pt idx="636">
                  <c:v>4163185.5300000003</c:v>
                </c:pt>
                <c:pt idx="637">
                  <c:v>3401269.83</c:v>
                </c:pt>
                <c:pt idx="638">
                  <c:v>202203.09999999998</c:v>
                </c:pt>
                <c:pt idx="639">
                  <c:v>958112.19</c:v>
                </c:pt>
                <c:pt idx="640">
                  <c:v>719872.44000000006</c:v>
                </c:pt>
                <c:pt idx="641">
                  <c:v>2615767.6</c:v>
                </c:pt>
                <c:pt idx="642">
                  <c:v>494919.60000000003</c:v>
                </c:pt>
                <c:pt idx="643">
                  <c:v>471663.83</c:v>
                </c:pt>
                <c:pt idx="644">
                  <c:v>2013680.97</c:v>
                </c:pt>
                <c:pt idx="645">
                  <c:v>388053.28</c:v>
                </c:pt>
                <c:pt idx="646">
                  <c:v>2152335.6</c:v>
                </c:pt>
                <c:pt idx="647">
                  <c:v>34866.21</c:v>
                </c:pt>
                <c:pt idx="648">
                  <c:v>152998.56</c:v>
                </c:pt>
                <c:pt idx="649">
                  <c:v>1367345.49</c:v>
                </c:pt>
                <c:pt idx="650">
                  <c:v>3706725.54</c:v>
                </c:pt>
                <c:pt idx="651">
                  <c:v>989039.6</c:v>
                </c:pt>
                <c:pt idx="652">
                  <c:v>864806.88</c:v>
                </c:pt>
                <c:pt idx="653">
                  <c:v>244586.82</c:v>
                </c:pt>
                <c:pt idx="654">
                  <c:v>5119616.47</c:v>
                </c:pt>
                <c:pt idx="655">
                  <c:v>1885643.5999999999</c:v>
                </c:pt>
                <c:pt idx="656">
                  <c:v>3694777.1999999997</c:v>
                </c:pt>
                <c:pt idx="657">
                  <c:v>153685.56</c:v>
                </c:pt>
                <c:pt idx="658">
                  <c:v>1046851.3800000001</c:v>
                </c:pt>
                <c:pt idx="659">
                  <c:v>824954.72</c:v>
                </c:pt>
                <c:pt idx="660">
                  <c:v>1759969.2</c:v>
                </c:pt>
                <c:pt idx="661">
                  <c:v>2084616.48</c:v>
                </c:pt>
                <c:pt idx="662">
                  <c:v>742365.6</c:v>
                </c:pt>
                <c:pt idx="663">
                  <c:v>991922.58000000007</c:v>
                </c:pt>
                <c:pt idx="664">
                  <c:v>64880.82</c:v>
                </c:pt>
                <c:pt idx="665">
                  <c:v>6327180.3599999994</c:v>
                </c:pt>
                <c:pt idx="666">
                  <c:v>1539664.5</c:v>
                </c:pt>
                <c:pt idx="667">
                  <c:v>529610.4</c:v>
                </c:pt>
                <c:pt idx="668">
                  <c:v>1842660.5999999999</c:v>
                </c:pt>
                <c:pt idx="669">
                  <c:v>3988126.17</c:v>
                </c:pt>
                <c:pt idx="670">
                  <c:v>6371954.4500000002</c:v>
                </c:pt>
                <c:pt idx="671">
                  <c:v>575960</c:v>
                </c:pt>
                <c:pt idx="672">
                  <c:v>6602507.5999999996</c:v>
                </c:pt>
                <c:pt idx="673">
                  <c:v>524112.30000000005</c:v>
                </c:pt>
                <c:pt idx="674">
                  <c:v>649600.6</c:v>
                </c:pt>
                <c:pt idx="675">
                  <c:v>84473.44</c:v>
                </c:pt>
                <c:pt idx="676">
                  <c:v>775383.98</c:v>
                </c:pt>
                <c:pt idx="677">
                  <c:v>1026405.66</c:v>
                </c:pt>
                <c:pt idx="678">
                  <c:v>2451882.63</c:v>
                </c:pt>
                <c:pt idx="679">
                  <c:v>624098.07999999996</c:v>
                </c:pt>
                <c:pt idx="680">
                  <c:v>4253956</c:v>
                </c:pt>
                <c:pt idx="681">
                  <c:v>707818.62000000011</c:v>
                </c:pt>
                <c:pt idx="682">
                  <c:v>521437.4</c:v>
                </c:pt>
                <c:pt idx="683">
                  <c:v>27299.58</c:v>
                </c:pt>
                <c:pt idx="684">
                  <c:v>3916404.8699999996</c:v>
                </c:pt>
                <c:pt idx="685">
                  <c:v>379313.88</c:v>
                </c:pt>
                <c:pt idx="686">
                  <c:v>1358237.0999999999</c:v>
                </c:pt>
                <c:pt idx="687">
                  <c:v>5035806.9300000006</c:v>
                </c:pt>
                <c:pt idx="688">
                  <c:v>5863494.8400000008</c:v>
                </c:pt>
                <c:pt idx="689">
                  <c:v>52061.4</c:v>
                </c:pt>
                <c:pt idx="690">
                  <c:v>1486833.06</c:v>
                </c:pt>
                <c:pt idx="691">
                  <c:v>444692.93</c:v>
                </c:pt>
                <c:pt idx="692">
                  <c:v>647976.36</c:v>
                </c:pt>
                <c:pt idx="693">
                  <c:v>86134.56</c:v>
                </c:pt>
                <c:pt idx="694">
                  <c:v>68326.28</c:v>
                </c:pt>
                <c:pt idx="695">
                  <c:v>64816.700000000004</c:v>
                </c:pt>
                <c:pt idx="696">
                  <c:v>1884.66</c:v>
                </c:pt>
                <c:pt idx="697">
                  <c:v>1801109.2</c:v>
                </c:pt>
                <c:pt idx="698">
                  <c:v>1125179</c:v>
                </c:pt>
                <c:pt idx="699">
                  <c:v>546644.86</c:v>
                </c:pt>
                <c:pt idx="700">
                  <c:v>972034.55999999994</c:v>
                </c:pt>
                <c:pt idx="701">
                  <c:v>1444017.12</c:v>
                </c:pt>
                <c:pt idx="702">
                  <c:v>2263567.7600000002</c:v>
                </c:pt>
                <c:pt idx="703">
                  <c:v>1873927</c:v>
                </c:pt>
                <c:pt idx="704">
                  <c:v>897245.44000000006</c:v>
                </c:pt>
                <c:pt idx="705">
                  <c:v>1017556.0200000001</c:v>
                </c:pt>
                <c:pt idx="706">
                  <c:v>2673938.8199999998</c:v>
                </c:pt>
                <c:pt idx="707">
                  <c:v>14508.15</c:v>
                </c:pt>
                <c:pt idx="708">
                  <c:v>1550826</c:v>
                </c:pt>
                <c:pt idx="709">
                  <c:v>53022.39</c:v>
                </c:pt>
                <c:pt idx="710">
                  <c:v>151697.65000000002</c:v>
                </c:pt>
                <c:pt idx="711">
                  <c:v>1462270.74</c:v>
                </c:pt>
                <c:pt idx="712">
                  <c:v>3530797.4099999997</c:v>
                </c:pt>
                <c:pt idx="713">
                  <c:v>280081.08</c:v>
                </c:pt>
                <c:pt idx="714">
                  <c:v>2006508.8399999999</c:v>
                </c:pt>
                <c:pt idx="715">
                  <c:v>39313.120000000003</c:v>
                </c:pt>
                <c:pt idx="716">
                  <c:v>1235561.2</c:v>
                </c:pt>
                <c:pt idx="717">
                  <c:v>59775.28</c:v>
                </c:pt>
                <c:pt idx="718">
                  <c:v>974583.56</c:v>
                </c:pt>
                <c:pt idx="719">
                  <c:v>1769856.24</c:v>
                </c:pt>
                <c:pt idx="720">
                  <c:v>143020.71</c:v>
                </c:pt>
                <c:pt idx="721">
                  <c:v>4365711.84</c:v>
                </c:pt>
                <c:pt idx="722">
                  <c:v>2152497.67</c:v>
                </c:pt>
                <c:pt idx="723">
                  <c:v>996087.2</c:v>
                </c:pt>
                <c:pt idx="724">
                  <c:v>98444.34</c:v>
                </c:pt>
                <c:pt idx="725">
                  <c:v>927533.82000000007</c:v>
                </c:pt>
                <c:pt idx="726">
                  <c:v>82397.119999999995</c:v>
                </c:pt>
                <c:pt idx="727">
                  <c:v>309968.72000000003</c:v>
                </c:pt>
                <c:pt idx="728">
                  <c:v>1080344.96</c:v>
                </c:pt>
                <c:pt idx="729">
                  <c:v>418105.28</c:v>
                </c:pt>
                <c:pt idx="730">
                  <c:v>646328.88</c:v>
                </c:pt>
                <c:pt idx="731">
                  <c:v>409219.2</c:v>
                </c:pt>
                <c:pt idx="732">
                  <c:v>702779.68</c:v>
                </c:pt>
                <c:pt idx="733">
                  <c:v>3423410.97</c:v>
                </c:pt>
                <c:pt idx="734">
                  <c:v>1847391.7</c:v>
                </c:pt>
                <c:pt idx="735">
                  <c:v>185026.06</c:v>
                </c:pt>
                <c:pt idx="736">
                  <c:v>388926.42000000004</c:v>
                </c:pt>
                <c:pt idx="737">
                  <c:v>1169198.8</c:v>
                </c:pt>
                <c:pt idx="738">
                  <c:v>32784</c:v>
                </c:pt>
                <c:pt idx="739">
                  <c:v>2072618.32</c:v>
                </c:pt>
                <c:pt idx="740">
                  <c:v>5143256.58</c:v>
                </c:pt>
                <c:pt idx="741">
                  <c:v>107472.88</c:v>
                </c:pt>
                <c:pt idx="742">
                  <c:v>895011.68</c:v>
                </c:pt>
                <c:pt idx="743">
                  <c:v>572273.46000000008</c:v>
                </c:pt>
                <c:pt idx="744">
                  <c:v>5205823.3</c:v>
                </c:pt>
                <c:pt idx="745">
                  <c:v>44588.07</c:v>
                </c:pt>
                <c:pt idx="746">
                  <c:v>1710326.4</c:v>
                </c:pt>
                <c:pt idx="747">
                  <c:v>650834.79999999993</c:v>
                </c:pt>
                <c:pt idx="748">
                  <c:v>357678.10000000003</c:v>
                </c:pt>
                <c:pt idx="749">
                  <c:v>1779841.2</c:v>
                </c:pt>
                <c:pt idx="750">
                  <c:v>1052229.8</c:v>
                </c:pt>
                <c:pt idx="751">
                  <c:v>90866.75</c:v>
                </c:pt>
                <c:pt idx="752">
                  <c:v>378063.24</c:v>
                </c:pt>
                <c:pt idx="753">
                  <c:v>550813.80000000005</c:v>
                </c:pt>
                <c:pt idx="754">
                  <c:v>1155488.3400000001</c:v>
                </c:pt>
                <c:pt idx="755">
                  <c:v>3746366.8</c:v>
                </c:pt>
                <c:pt idx="756">
                  <c:v>3432894.4</c:v>
                </c:pt>
                <c:pt idx="757">
                  <c:v>5818626.8899999997</c:v>
                </c:pt>
                <c:pt idx="758">
                  <c:v>158893.12</c:v>
                </c:pt>
                <c:pt idx="759">
                  <c:v>1735902.2999999998</c:v>
                </c:pt>
                <c:pt idx="760">
                  <c:v>739084.39</c:v>
                </c:pt>
                <c:pt idx="761">
                  <c:v>511102.56</c:v>
                </c:pt>
                <c:pt idx="762">
                  <c:v>2463527.4300000002</c:v>
                </c:pt>
                <c:pt idx="763">
                  <c:v>324368.2</c:v>
                </c:pt>
                <c:pt idx="764">
                  <c:v>204457.2</c:v>
                </c:pt>
                <c:pt idx="765">
                  <c:v>4447764.3</c:v>
                </c:pt>
                <c:pt idx="766">
                  <c:v>2521145.2799999998</c:v>
                </c:pt>
                <c:pt idx="767">
                  <c:v>1384510.9200000002</c:v>
                </c:pt>
                <c:pt idx="768">
                  <c:v>11313.5</c:v>
                </c:pt>
                <c:pt idx="769">
                  <c:v>320769.59999999998</c:v>
                </c:pt>
                <c:pt idx="770">
                  <c:v>550989.76</c:v>
                </c:pt>
                <c:pt idx="771">
                  <c:v>95444.799999999988</c:v>
                </c:pt>
                <c:pt idx="772">
                  <c:v>334803.27</c:v>
                </c:pt>
                <c:pt idx="773">
                  <c:v>239963.2</c:v>
                </c:pt>
                <c:pt idx="774">
                  <c:v>218080.2</c:v>
                </c:pt>
                <c:pt idx="775">
                  <c:v>299884</c:v>
                </c:pt>
                <c:pt idx="776">
                  <c:v>5340145.57</c:v>
                </c:pt>
                <c:pt idx="777">
                  <c:v>2292259.2000000002</c:v>
                </c:pt>
                <c:pt idx="778">
                  <c:v>2572839.5</c:v>
                </c:pt>
                <c:pt idx="779">
                  <c:v>824373.05999999994</c:v>
                </c:pt>
                <c:pt idx="780">
                  <c:v>5103532.7700000005</c:v>
                </c:pt>
                <c:pt idx="781">
                  <c:v>1545502</c:v>
                </c:pt>
                <c:pt idx="782">
                  <c:v>3548315.1999999997</c:v>
                </c:pt>
                <c:pt idx="783">
                  <c:v>550864.6</c:v>
                </c:pt>
                <c:pt idx="784">
                  <c:v>1366003.28</c:v>
                </c:pt>
                <c:pt idx="785">
                  <c:v>514653.81</c:v>
                </c:pt>
                <c:pt idx="786">
                  <c:v>295820.96000000002</c:v>
                </c:pt>
                <c:pt idx="787">
                  <c:v>180547.25</c:v>
                </c:pt>
                <c:pt idx="788">
                  <c:v>891982.68</c:v>
                </c:pt>
                <c:pt idx="789">
                  <c:v>1085911.8600000001</c:v>
                </c:pt>
                <c:pt idx="790">
                  <c:v>1237825.26</c:v>
                </c:pt>
                <c:pt idx="791">
                  <c:v>133087.9</c:v>
                </c:pt>
                <c:pt idx="792">
                  <c:v>219930.75</c:v>
                </c:pt>
                <c:pt idx="793">
                  <c:v>269261.3</c:v>
                </c:pt>
                <c:pt idx="794">
                  <c:v>627408.96000000008</c:v>
                </c:pt>
                <c:pt idx="795">
                  <c:v>404131.65</c:v>
                </c:pt>
                <c:pt idx="796">
                  <c:v>4697938.0999999996</c:v>
                </c:pt>
                <c:pt idx="797">
                  <c:v>342040.05</c:v>
                </c:pt>
                <c:pt idx="798">
                  <c:v>169602.56</c:v>
                </c:pt>
                <c:pt idx="799">
                  <c:v>1823040.56</c:v>
                </c:pt>
                <c:pt idx="800">
                  <c:v>3647559.6</c:v>
                </c:pt>
                <c:pt idx="801">
                  <c:v>86470.340000000011</c:v>
                </c:pt>
                <c:pt idx="802">
                  <c:v>46259.18</c:v>
                </c:pt>
                <c:pt idx="803">
                  <c:v>3624456.9899999998</c:v>
                </c:pt>
                <c:pt idx="804">
                  <c:v>2597565.4899999998</c:v>
                </c:pt>
                <c:pt idx="805">
                  <c:v>67549.2</c:v>
                </c:pt>
                <c:pt idx="806">
                  <c:v>528629.64</c:v>
                </c:pt>
                <c:pt idx="807">
                  <c:v>115974.87000000001</c:v>
                </c:pt>
                <c:pt idx="808">
                  <c:v>5843958.54</c:v>
                </c:pt>
                <c:pt idx="809">
                  <c:v>1227200.9400000002</c:v>
                </c:pt>
                <c:pt idx="810">
                  <c:v>216799.05000000002</c:v>
                </c:pt>
                <c:pt idx="811">
                  <c:v>60887.58</c:v>
                </c:pt>
                <c:pt idx="812">
                  <c:v>728786.41</c:v>
                </c:pt>
                <c:pt idx="813">
                  <c:v>717671.13</c:v>
                </c:pt>
                <c:pt idx="814">
                  <c:v>19998.240000000002</c:v>
                </c:pt>
                <c:pt idx="815">
                  <c:v>753714.06</c:v>
                </c:pt>
                <c:pt idx="816">
                  <c:v>3809244.81</c:v>
                </c:pt>
                <c:pt idx="817">
                  <c:v>3184306.55</c:v>
                </c:pt>
                <c:pt idx="818">
                  <c:v>5614081.4100000001</c:v>
                </c:pt>
                <c:pt idx="819">
                  <c:v>228803.90000000002</c:v>
                </c:pt>
                <c:pt idx="820">
                  <c:v>43123.26</c:v>
                </c:pt>
                <c:pt idx="821">
                  <c:v>12203.64</c:v>
                </c:pt>
                <c:pt idx="822">
                  <c:v>1069022.8999999999</c:v>
                </c:pt>
                <c:pt idx="823">
                  <c:v>5624500.7700000005</c:v>
                </c:pt>
                <c:pt idx="824">
                  <c:v>207345.59999999998</c:v>
                </c:pt>
                <c:pt idx="825">
                  <c:v>2487969.21</c:v>
                </c:pt>
                <c:pt idx="826">
                  <c:v>1333072.1599999999</c:v>
                </c:pt>
                <c:pt idx="827">
                  <c:v>921124.74</c:v>
                </c:pt>
                <c:pt idx="828">
                  <c:v>32664.33</c:v>
                </c:pt>
                <c:pt idx="829">
                  <c:v>1505929.7</c:v>
                </c:pt>
                <c:pt idx="830">
                  <c:v>37403.97</c:v>
                </c:pt>
                <c:pt idx="831">
                  <c:v>330030.54000000004</c:v>
                </c:pt>
                <c:pt idx="832">
                  <c:v>1891880.08</c:v>
                </c:pt>
                <c:pt idx="833">
                  <c:v>810529.76</c:v>
                </c:pt>
                <c:pt idx="834">
                  <c:v>64106.43</c:v>
                </c:pt>
                <c:pt idx="835">
                  <c:v>1092125.5999999999</c:v>
                </c:pt>
                <c:pt idx="836">
                  <c:v>3397480.17</c:v>
                </c:pt>
                <c:pt idx="837">
                  <c:v>1422198.1800000002</c:v>
                </c:pt>
                <c:pt idx="838">
                  <c:v>1876189.7</c:v>
                </c:pt>
                <c:pt idx="839">
                  <c:v>187979</c:v>
                </c:pt>
                <c:pt idx="840">
                  <c:v>188396.64</c:v>
                </c:pt>
                <c:pt idx="841">
                  <c:v>682200.31</c:v>
                </c:pt>
                <c:pt idx="842">
                  <c:v>1549549.6</c:v>
                </c:pt>
                <c:pt idx="843">
                  <c:v>64181.07</c:v>
                </c:pt>
                <c:pt idx="844">
                  <c:v>520582.32999999996</c:v>
                </c:pt>
                <c:pt idx="845">
                  <c:v>91499.31</c:v>
                </c:pt>
                <c:pt idx="846">
                  <c:v>1325153.2</c:v>
                </c:pt>
                <c:pt idx="847">
                  <c:v>238484.88</c:v>
                </c:pt>
                <c:pt idx="848">
                  <c:v>381277.92</c:v>
                </c:pt>
                <c:pt idx="849">
                  <c:v>2301093.92</c:v>
                </c:pt>
                <c:pt idx="850">
                  <c:v>1357323.76</c:v>
                </c:pt>
                <c:pt idx="851">
                  <c:v>15114.6</c:v>
                </c:pt>
                <c:pt idx="852">
                  <c:v>2721406.5900000003</c:v>
                </c:pt>
                <c:pt idx="853">
                  <c:v>326758.40000000002</c:v>
                </c:pt>
                <c:pt idx="854">
                  <c:v>3476373.6</c:v>
                </c:pt>
                <c:pt idx="855">
                  <c:v>614714.24</c:v>
                </c:pt>
                <c:pt idx="856">
                  <c:v>2083850.64</c:v>
                </c:pt>
                <c:pt idx="857">
                  <c:v>156676.41</c:v>
                </c:pt>
                <c:pt idx="858">
                  <c:v>337511.85000000003</c:v>
                </c:pt>
                <c:pt idx="859">
                  <c:v>437631.35000000003</c:v>
                </c:pt>
                <c:pt idx="860">
                  <c:v>503207.31</c:v>
                </c:pt>
                <c:pt idx="861">
                  <c:v>296040.55000000005</c:v>
                </c:pt>
                <c:pt idx="862">
                  <c:v>592379.04</c:v>
                </c:pt>
                <c:pt idx="863">
                  <c:v>68846.070000000007</c:v>
                </c:pt>
                <c:pt idx="864">
                  <c:v>4852308.47</c:v>
                </c:pt>
                <c:pt idx="865">
                  <c:v>89166.81</c:v>
                </c:pt>
                <c:pt idx="866">
                  <c:v>2645012.66</c:v>
                </c:pt>
                <c:pt idx="867">
                  <c:v>449865.89999999997</c:v>
                </c:pt>
                <c:pt idx="868">
                  <c:v>617305.69999999995</c:v>
                </c:pt>
                <c:pt idx="869">
                  <c:v>785067.52000000002</c:v>
                </c:pt>
                <c:pt idx="870">
                  <c:v>393623.3</c:v>
                </c:pt>
                <c:pt idx="871">
                  <c:v>1367269.3800000001</c:v>
                </c:pt>
                <c:pt idx="872">
                  <c:v>505778.98</c:v>
                </c:pt>
                <c:pt idx="873">
                  <c:v>2962440.91</c:v>
                </c:pt>
                <c:pt idx="874">
                  <c:v>1274195.58</c:v>
                </c:pt>
                <c:pt idx="875">
                  <c:v>1271154.57</c:v>
                </c:pt>
                <c:pt idx="876">
                  <c:v>2228440.62</c:v>
                </c:pt>
                <c:pt idx="877">
                  <c:v>2892078</c:v>
                </c:pt>
                <c:pt idx="878">
                  <c:v>4337058.6000000006</c:v>
                </c:pt>
                <c:pt idx="879">
                  <c:v>6287432.5500000007</c:v>
                </c:pt>
                <c:pt idx="880">
                  <c:v>953905.12</c:v>
                </c:pt>
                <c:pt idx="881">
                  <c:v>739247.85000000009</c:v>
                </c:pt>
                <c:pt idx="882">
                  <c:v>26068.02</c:v>
                </c:pt>
                <c:pt idx="883">
                  <c:v>640836</c:v>
                </c:pt>
                <c:pt idx="884">
                  <c:v>1905677.13</c:v>
                </c:pt>
                <c:pt idx="885">
                  <c:v>1446688.0999999999</c:v>
                </c:pt>
                <c:pt idx="886">
                  <c:v>1379977.55</c:v>
                </c:pt>
                <c:pt idx="887">
                  <c:v>93002</c:v>
                </c:pt>
                <c:pt idx="888">
                  <c:v>666498.72</c:v>
                </c:pt>
                <c:pt idx="889">
                  <c:v>899153.94000000006</c:v>
                </c:pt>
                <c:pt idx="890">
                  <c:v>6539021.9500000002</c:v>
                </c:pt>
                <c:pt idx="891">
                  <c:v>391367.60000000003</c:v>
                </c:pt>
                <c:pt idx="892">
                  <c:v>416943.15</c:v>
                </c:pt>
                <c:pt idx="893">
                  <c:v>192740.9</c:v>
                </c:pt>
                <c:pt idx="894">
                  <c:v>847366.36</c:v>
                </c:pt>
                <c:pt idx="895">
                  <c:v>2138225.2799999998</c:v>
                </c:pt>
                <c:pt idx="896">
                  <c:v>1623590.0999999999</c:v>
                </c:pt>
                <c:pt idx="897">
                  <c:v>1908983.84</c:v>
                </c:pt>
                <c:pt idx="898">
                  <c:v>278458.5</c:v>
                </c:pt>
                <c:pt idx="899">
                  <c:v>4986314.9700000007</c:v>
                </c:pt>
                <c:pt idx="900">
                  <c:v>3683099.6999999997</c:v>
                </c:pt>
                <c:pt idx="901">
                  <c:v>39288.600000000006</c:v>
                </c:pt>
                <c:pt idx="902">
                  <c:v>4408691.7</c:v>
                </c:pt>
                <c:pt idx="903">
                  <c:v>216300.24</c:v>
                </c:pt>
                <c:pt idx="904">
                  <c:v>4304498.1000000006</c:v>
                </c:pt>
                <c:pt idx="905">
                  <c:v>1608008.72</c:v>
                </c:pt>
                <c:pt idx="906">
                  <c:v>596552.46</c:v>
                </c:pt>
                <c:pt idx="907">
                  <c:v>1013689.6</c:v>
                </c:pt>
                <c:pt idx="908">
                  <c:v>1408222.2</c:v>
                </c:pt>
                <c:pt idx="909">
                  <c:v>3883497.4499999997</c:v>
                </c:pt>
                <c:pt idx="910">
                  <c:v>697445.91</c:v>
                </c:pt>
                <c:pt idx="911">
                  <c:v>540590.94000000006</c:v>
                </c:pt>
                <c:pt idx="912">
                  <c:v>388299.23000000004</c:v>
                </c:pt>
                <c:pt idx="913">
                  <c:v>2049119.73</c:v>
                </c:pt>
                <c:pt idx="914">
                  <c:v>685072.92</c:v>
                </c:pt>
                <c:pt idx="915">
                  <c:v>279756.79999999999</c:v>
                </c:pt>
                <c:pt idx="916">
                  <c:v>868436.22</c:v>
                </c:pt>
                <c:pt idx="917">
                  <c:v>5579567.2800000003</c:v>
                </c:pt>
                <c:pt idx="918">
                  <c:v>545139.1</c:v>
                </c:pt>
                <c:pt idx="919">
                  <c:v>1500170.0999999999</c:v>
                </c:pt>
                <c:pt idx="920">
                  <c:v>741952.96</c:v>
                </c:pt>
                <c:pt idx="921">
                  <c:v>870593.06</c:v>
                </c:pt>
                <c:pt idx="922">
                  <c:v>30219.87</c:v>
                </c:pt>
                <c:pt idx="923">
                  <c:v>628207.79999999993</c:v>
                </c:pt>
                <c:pt idx="924">
                  <c:v>360667.45</c:v>
                </c:pt>
                <c:pt idx="925">
                  <c:v>597818.13</c:v>
                </c:pt>
                <c:pt idx="926">
                  <c:v>496019.37</c:v>
                </c:pt>
                <c:pt idx="927">
                  <c:v>1315968.3999999999</c:v>
                </c:pt>
                <c:pt idx="928">
                  <c:v>1433528.3</c:v>
                </c:pt>
                <c:pt idx="929">
                  <c:v>242931.69999999998</c:v>
                </c:pt>
                <c:pt idx="930">
                  <c:v>72322.920000000013</c:v>
                </c:pt>
                <c:pt idx="931">
                  <c:v>422732.05000000005</c:v>
                </c:pt>
                <c:pt idx="932">
                  <c:v>572627.19999999995</c:v>
                </c:pt>
                <c:pt idx="933">
                  <c:v>164756.13</c:v>
                </c:pt>
                <c:pt idx="934">
                  <c:v>16476.78</c:v>
                </c:pt>
                <c:pt idx="935">
                  <c:v>4209361.5999999996</c:v>
                </c:pt>
                <c:pt idx="936">
                  <c:v>467568.78</c:v>
                </c:pt>
                <c:pt idx="937">
                  <c:v>2637661.69</c:v>
                </c:pt>
                <c:pt idx="938">
                  <c:v>1342262.24</c:v>
                </c:pt>
                <c:pt idx="939">
                  <c:v>670110</c:v>
                </c:pt>
                <c:pt idx="940">
                  <c:v>443828.27999999997</c:v>
                </c:pt>
                <c:pt idx="941">
                  <c:v>1933746</c:v>
                </c:pt>
                <c:pt idx="942">
                  <c:v>58433.79</c:v>
                </c:pt>
                <c:pt idx="943">
                  <c:v>1355110.68</c:v>
                </c:pt>
                <c:pt idx="944">
                  <c:v>14498.82</c:v>
                </c:pt>
                <c:pt idx="945">
                  <c:v>704856</c:v>
                </c:pt>
                <c:pt idx="946">
                  <c:v>14019.460000000001</c:v>
                </c:pt>
                <c:pt idx="947">
                  <c:v>318009.90000000002</c:v>
                </c:pt>
                <c:pt idx="948">
                  <c:v>357678.10000000003</c:v>
                </c:pt>
                <c:pt idx="949">
                  <c:v>1502067.52</c:v>
                </c:pt>
                <c:pt idx="950">
                  <c:v>317055.48</c:v>
                </c:pt>
                <c:pt idx="951">
                  <c:v>687185.84000000008</c:v>
                </c:pt>
                <c:pt idx="952">
                  <c:v>2883585.05</c:v>
                </c:pt>
                <c:pt idx="953">
                  <c:v>244577.3</c:v>
                </c:pt>
                <c:pt idx="954">
                  <c:v>610768.29</c:v>
                </c:pt>
                <c:pt idx="955">
                  <c:v>2433171.0699999998</c:v>
                </c:pt>
                <c:pt idx="956">
                  <c:v>786597.44000000006</c:v>
                </c:pt>
                <c:pt idx="957">
                  <c:v>3356821.6</c:v>
                </c:pt>
                <c:pt idx="958">
                  <c:v>254353.06</c:v>
                </c:pt>
                <c:pt idx="959">
                  <c:v>1188572.8999999999</c:v>
                </c:pt>
                <c:pt idx="960">
                  <c:v>976163.79</c:v>
                </c:pt>
                <c:pt idx="961">
                  <c:v>280134.95999999996</c:v>
                </c:pt>
                <c:pt idx="962">
                  <c:v>6618546.0800000001</c:v>
                </c:pt>
                <c:pt idx="963">
                  <c:v>906477.78</c:v>
                </c:pt>
                <c:pt idx="964">
                  <c:v>276587.68</c:v>
                </c:pt>
                <c:pt idx="965">
                  <c:v>2387112</c:v>
                </c:pt>
                <c:pt idx="966">
                  <c:v>357962.80000000005</c:v>
                </c:pt>
                <c:pt idx="967">
                  <c:v>559699.98</c:v>
                </c:pt>
                <c:pt idx="968">
                  <c:v>2451380.4</c:v>
                </c:pt>
                <c:pt idx="969">
                  <c:v>602840.48</c:v>
                </c:pt>
                <c:pt idx="970">
                  <c:v>92217.72</c:v>
                </c:pt>
                <c:pt idx="971">
                  <c:v>2668231.6</c:v>
                </c:pt>
                <c:pt idx="972">
                  <c:v>4035682.53</c:v>
                </c:pt>
                <c:pt idx="973">
                  <c:v>81946.150000000009</c:v>
                </c:pt>
                <c:pt idx="974">
                  <c:v>341168.88</c:v>
                </c:pt>
                <c:pt idx="975">
                  <c:v>5641432.2300000004</c:v>
                </c:pt>
                <c:pt idx="976">
                  <c:v>6107319.5300000003</c:v>
                </c:pt>
                <c:pt idx="977">
                  <c:v>35677.919999999998</c:v>
                </c:pt>
                <c:pt idx="978">
                  <c:v>2530335.36</c:v>
                </c:pt>
                <c:pt idx="979">
                  <c:v>2795443.14</c:v>
                </c:pt>
                <c:pt idx="980">
                  <c:v>33893.199999999997</c:v>
                </c:pt>
                <c:pt idx="981">
                  <c:v>426148.45</c:v>
                </c:pt>
                <c:pt idx="982">
                  <c:v>390323.7</c:v>
                </c:pt>
                <c:pt idx="983">
                  <c:v>3454017.8400000003</c:v>
                </c:pt>
                <c:pt idx="984">
                  <c:v>700952.52</c:v>
                </c:pt>
                <c:pt idx="985">
                  <c:v>1096934.8</c:v>
                </c:pt>
                <c:pt idx="986">
                  <c:v>271997.92</c:v>
                </c:pt>
                <c:pt idx="987">
                  <c:v>4218.8999999999996</c:v>
                </c:pt>
                <c:pt idx="988">
                  <c:v>1167004.5</c:v>
                </c:pt>
                <c:pt idx="989">
                  <c:v>4250021.2</c:v>
                </c:pt>
                <c:pt idx="990">
                  <c:v>1222928.7000000002</c:v>
                </c:pt>
                <c:pt idx="991">
                  <c:v>287357.2</c:v>
                </c:pt>
                <c:pt idx="992">
                  <c:v>41742.42</c:v>
                </c:pt>
                <c:pt idx="993">
                  <c:v>2592596</c:v>
                </c:pt>
                <c:pt idx="994">
                  <c:v>1072.95</c:v>
                </c:pt>
                <c:pt idx="995">
                  <c:v>415424.75</c:v>
                </c:pt>
                <c:pt idx="996">
                  <c:v>49364.920000000006</c:v>
                </c:pt>
                <c:pt idx="997">
                  <c:v>60150.51</c:v>
                </c:pt>
                <c:pt idx="998">
                  <c:v>632108.18000000005</c:v>
                </c:pt>
                <c:pt idx="999">
                  <c:v>373737.6</c:v>
                </c:pt>
              </c:numCache>
            </c:numRef>
          </c:yVal>
          <c:smooth val="0"/>
          <c:extLst>
            <c:ext xmlns:c16="http://schemas.microsoft.com/office/drawing/2014/chart" uri="{C3380CC4-5D6E-409C-BE32-E72D297353CC}">
              <c16:uniqueId val="{00000000-8592-4BA2-BF4C-AE56D1FBE2C2}"/>
            </c:ext>
          </c:extLst>
        </c:ser>
        <c:dLbls>
          <c:showLegendKey val="0"/>
          <c:showVal val="0"/>
          <c:showCatName val="0"/>
          <c:showSerName val="0"/>
          <c:showPercent val="0"/>
          <c:showBubbleSize val="0"/>
        </c:dLbls>
        <c:axId val="1213136031"/>
        <c:axId val="1213140351"/>
      </c:scatterChart>
      <c:valAx>
        <c:axId val="121313603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213140351"/>
        <c:crosses val="autoZero"/>
        <c:crossBetween val="midCat"/>
      </c:valAx>
      <c:valAx>
        <c:axId val="121314035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_-* #,##0.00\ [$€-C0A]_-;\-* #,##0.00\ [$€-C0A]_-;_-* &quot;-&quot;??\ [$€-C0A]_-;_-@_-"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1213136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MX"/>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'Medias Moviles'!$C$2:$C$1001</c:f>
              <c:numCache>
                <c:formatCode>_-* #,##0.00\ [$€-C0A]_-;\-* #,##0.00\ [$€-C0A]_-;_-* "-"??\ [$€-C0A]_-;_-@_-</c:formatCode>
                <c:ptCount val="1000"/>
                <c:pt idx="0">
                  <c:v>843767.4</c:v>
                </c:pt>
                <c:pt idx="1">
                  <c:v>419358.66</c:v>
                </c:pt>
                <c:pt idx="2">
                  <c:v>1408016.5</c:v>
                </c:pt>
                <c:pt idx="3">
                  <c:v>91489.98</c:v>
                </c:pt>
                <c:pt idx="4">
                  <c:v>927432.24</c:v>
                </c:pt>
                <c:pt idx="5">
                  <c:v>195019.5</c:v>
                </c:pt>
                <c:pt idx="6">
                  <c:v>618864.4800000001</c:v>
                </c:pt>
                <c:pt idx="7">
                  <c:v>3637066.8</c:v>
                </c:pt>
                <c:pt idx="8">
                  <c:v>717507.67</c:v>
                </c:pt>
                <c:pt idx="9">
                  <c:v>6086859.8700000001</c:v>
                </c:pt>
                <c:pt idx="10">
                  <c:v>422335.2</c:v>
                </c:pt>
                <c:pt idx="11">
                  <c:v>1008401.2200000001</c:v>
                </c:pt>
                <c:pt idx="12">
                  <c:v>298033.45</c:v>
                </c:pt>
                <c:pt idx="13">
                  <c:v>310893.08</c:v>
                </c:pt>
                <c:pt idx="14">
                  <c:v>26945.040000000001</c:v>
                </c:pt>
                <c:pt idx="15">
                  <c:v>816400.97000000009</c:v>
                </c:pt>
                <c:pt idx="16">
                  <c:v>634377.19999999995</c:v>
                </c:pt>
                <c:pt idx="17">
                  <c:v>1134584.8800000001</c:v>
                </c:pt>
                <c:pt idx="18">
                  <c:v>3343963.35</c:v>
                </c:pt>
                <c:pt idx="19">
                  <c:v>2456364.12</c:v>
                </c:pt>
                <c:pt idx="20">
                  <c:v>784771.46000000008</c:v>
                </c:pt>
                <c:pt idx="21">
                  <c:v>398726.39999999997</c:v>
                </c:pt>
                <c:pt idx="22">
                  <c:v>460639.02</c:v>
                </c:pt>
                <c:pt idx="23">
                  <c:v>357345.6</c:v>
                </c:pt>
                <c:pt idx="24">
                  <c:v>931600.82000000007</c:v>
                </c:pt>
                <c:pt idx="25">
                  <c:v>634306.53</c:v>
                </c:pt>
                <c:pt idx="26">
                  <c:v>202386.56</c:v>
                </c:pt>
                <c:pt idx="27">
                  <c:v>414936.16000000003</c:v>
                </c:pt>
                <c:pt idx="28">
                  <c:v>4075110.46</c:v>
                </c:pt>
                <c:pt idx="29">
                  <c:v>1439699.5999999999</c:v>
                </c:pt>
                <c:pt idx="30">
                  <c:v>1070408.8800000001</c:v>
                </c:pt>
                <c:pt idx="31">
                  <c:v>54186.990000000005</c:v>
                </c:pt>
                <c:pt idx="32">
                  <c:v>553721.76</c:v>
                </c:pt>
                <c:pt idx="33">
                  <c:v>26329.26</c:v>
                </c:pt>
                <c:pt idx="34">
                  <c:v>395484.32</c:v>
                </c:pt>
                <c:pt idx="35">
                  <c:v>3874215.8699999996</c:v>
                </c:pt>
                <c:pt idx="36">
                  <c:v>392316.60000000003</c:v>
                </c:pt>
                <c:pt idx="37">
                  <c:v>341462</c:v>
                </c:pt>
                <c:pt idx="38">
                  <c:v>1105688.6200000001</c:v>
                </c:pt>
                <c:pt idx="39">
                  <c:v>3119484.36</c:v>
                </c:pt>
                <c:pt idx="40">
                  <c:v>9432.6299999999992</c:v>
                </c:pt>
                <c:pt idx="41">
                  <c:v>559513.59999999998</c:v>
                </c:pt>
                <c:pt idx="42">
                  <c:v>27383.55</c:v>
                </c:pt>
                <c:pt idx="43">
                  <c:v>1582440.3</c:v>
                </c:pt>
                <c:pt idx="44">
                  <c:v>1771282.7</c:v>
                </c:pt>
                <c:pt idx="45">
                  <c:v>695767.49</c:v>
                </c:pt>
                <c:pt idx="46">
                  <c:v>678082.4</c:v>
                </c:pt>
                <c:pt idx="47">
                  <c:v>369303.35000000003</c:v>
                </c:pt>
                <c:pt idx="48">
                  <c:v>2691236.31</c:v>
                </c:pt>
                <c:pt idx="49">
                  <c:v>781789.12</c:v>
                </c:pt>
                <c:pt idx="50">
                  <c:v>472904.3</c:v>
                </c:pt>
                <c:pt idx="51">
                  <c:v>930368.34</c:v>
                </c:pt>
                <c:pt idx="52">
                  <c:v>456848.60000000003</c:v>
                </c:pt>
                <c:pt idx="53">
                  <c:v>2680267.17</c:v>
                </c:pt>
                <c:pt idx="54">
                  <c:v>1006165.86</c:v>
                </c:pt>
                <c:pt idx="55">
                  <c:v>119099.5</c:v>
                </c:pt>
                <c:pt idx="56">
                  <c:v>565554.26</c:v>
                </c:pt>
                <c:pt idx="57">
                  <c:v>292916.8</c:v>
                </c:pt>
                <c:pt idx="58">
                  <c:v>460287.36</c:v>
                </c:pt>
                <c:pt idx="59">
                  <c:v>640497.52</c:v>
                </c:pt>
                <c:pt idx="60">
                  <c:v>1669666.8</c:v>
                </c:pt>
                <c:pt idx="61">
                  <c:v>627604.67000000004</c:v>
                </c:pt>
                <c:pt idx="62">
                  <c:v>438385.12</c:v>
                </c:pt>
                <c:pt idx="63">
                  <c:v>110172.04000000001</c:v>
                </c:pt>
                <c:pt idx="64">
                  <c:v>2272299.54</c:v>
                </c:pt>
                <c:pt idx="65">
                  <c:v>66399.86</c:v>
                </c:pt>
                <c:pt idx="66">
                  <c:v>10953.42</c:v>
                </c:pt>
                <c:pt idx="67">
                  <c:v>1107915.2</c:v>
                </c:pt>
                <c:pt idx="68">
                  <c:v>301093.32</c:v>
                </c:pt>
                <c:pt idx="69">
                  <c:v>407914.43</c:v>
                </c:pt>
                <c:pt idx="70">
                  <c:v>721731.6</c:v>
                </c:pt>
                <c:pt idx="71">
                  <c:v>2868008.2199999997</c:v>
                </c:pt>
                <c:pt idx="72">
                  <c:v>2689786.75</c:v>
                </c:pt>
                <c:pt idx="73">
                  <c:v>4346175.54</c:v>
                </c:pt>
                <c:pt idx="74">
                  <c:v>53041.05</c:v>
                </c:pt>
                <c:pt idx="75">
                  <c:v>621323.98</c:v>
                </c:pt>
                <c:pt idx="76">
                  <c:v>81756.350000000006</c:v>
                </c:pt>
                <c:pt idx="77">
                  <c:v>345388</c:v>
                </c:pt>
                <c:pt idx="78">
                  <c:v>62327.1</c:v>
                </c:pt>
                <c:pt idx="79">
                  <c:v>111071.07</c:v>
                </c:pt>
                <c:pt idx="80">
                  <c:v>1396016.03</c:v>
                </c:pt>
                <c:pt idx="81">
                  <c:v>677257.84</c:v>
                </c:pt>
                <c:pt idx="82">
                  <c:v>159546.45000000001</c:v>
                </c:pt>
                <c:pt idx="83">
                  <c:v>1724264.43</c:v>
                </c:pt>
                <c:pt idx="84">
                  <c:v>111046.8</c:v>
                </c:pt>
                <c:pt idx="85">
                  <c:v>3311790</c:v>
                </c:pt>
                <c:pt idx="86">
                  <c:v>67345.52</c:v>
                </c:pt>
                <c:pt idx="87">
                  <c:v>4904262.5100000007</c:v>
                </c:pt>
                <c:pt idx="88">
                  <c:v>907190</c:v>
                </c:pt>
                <c:pt idx="89">
                  <c:v>132592.02000000002</c:v>
                </c:pt>
                <c:pt idx="90">
                  <c:v>4913789.3099999996</c:v>
                </c:pt>
                <c:pt idx="91">
                  <c:v>2954495.67</c:v>
                </c:pt>
                <c:pt idx="92">
                  <c:v>1512109.62</c:v>
                </c:pt>
                <c:pt idx="93">
                  <c:v>73203.180000000008</c:v>
                </c:pt>
                <c:pt idx="94">
                  <c:v>244130.25000000003</c:v>
                </c:pt>
                <c:pt idx="95">
                  <c:v>370821.75</c:v>
                </c:pt>
                <c:pt idx="96">
                  <c:v>1655746.08</c:v>
                </c:pt>
                <c:pt idx="97">
                  <c:v>2553459.67</c:v>
                </c:pt>
                <c:pt idx="98">
                  <c:v>777334.03</c:v>
                </c:pt>
                <c:pt idx="99">
                  <c:v>805469.82000000007</c:v>
                </c:pt>
                <c:pt idx="100">
                  <c:v>2032727.4</c:v>
                </c:pt>
                <c:pt idx="101">
                  <c:v>632262.24</c:v>
                </c:pt>
                <c:pt idx="102">
                  <c:v>879471.12000000011</c:v>
                </c:pt>
                <c:pt idx="103">
                  <c:v>3146883.4299999997</c:v>
                </c:pt>
                <c:pt idx="104">
                  <c:v>371106.45</c:v>
                </c:pt>
                <c:pt idx="105">
                  <c:v>617626.54</c:v>
                </c:pt>
                <c:pt idx="106">
                  <c:v>2352915.7600000002</c:v>
                </c:pt>
                <c:pt idx="107">
                  <c:v>597818.13</c:v>
                </c:pt>
                <c:pt idx="108">
                  <c:v>3753004.32</c:v>
                </c:pt>
                <c:pt idx="109">
                  <c:v>2258717.44</c:v>
                </c:pt>
                <c:pt idx="110">
                  <c:v>2265570.4</c:v>
                </c:pt>
                <c:pt idx="111">
                  <c:v>302073.24</c:v>
                </c:pt>
                <c:pt idx="112">
                  <c:v>701161.67</c:v>
                </c:pt>
                <c:pt idx="113">
                  <c:v>1659715.26</c:v>
                </c:pt>
                <c:pt idx="114">
                  <c:v>5995718.4399999995</c:v>
                </c:pt>
                <c:pt idx="115">
                  <c:v>2021051.76</c:v>
                </c:pt>
                <c:pt idx="116">
                  <c:v>96038.8</c:v>
                </c:pt>
                <c:pt idx="117">
                  <c:v>941694.6</c:v>
                </c:pt>
                <c:pt idx="118">
                  <c:v>482125.27</c:v>
                </c:pt>
                <c:pt idx="119">
                  <c:v>77746.89</c:v>
                </c:pt>
                <c:pt idx="120">
                  <c:v>192403.38</c:v>
                </c:pt>
                <c:pt idx="121">
                  <c:v>289207.75</c:v>
                </c:pt>
                <c:pt idx="122">
                  <c:v>11905.08</c:v>
                </c:pt>
                <c:pt idx="123">
                  <c:v>67894.41</c:v>
                </c:pt>
                <c:pt idx="124">
                  <c:v>677133.45</c:v>
                </c:pt>
                <c:pt idx="125">
                  <c:v>35407.35</c:v>
                </c:pt>
                <c:pt idx="126">
                  <c:v>19691.75</c:v>
                </c:pt>
                <c:pt idx="127">
                  <c:v>26157.18</c:v>
                </c:pt>
                <c:pt idx="128">
                  <c:v>1289020.02</c:v>
                </c:pt>
                <c:pt idx="129">
                  <c:v>460947.52</c:v>
                </c:pt>
                <c:pt idx="130">
                  <c:v>5765833.5599999996</c:v>
                </c:pt>
                <c:pt idx="131">
                  <c:v>510304.72000000003</c:v>
                </c:pt>
                <c:pt idx="132">
                  <c:v>4467951.8100000005</c:v>
                </c:pt>
                <c:pt idx="133">
                  <c:v>1386231.8800000001</c:v>
                </c:pt>
                <c:pt idx="134">
                  <c:v>134305.12</c:v>
                </c:pt>
                <c:pt idx="135">
                  <c:v>1728291.4</c:v>
                </c:pt>
                <c:pt idx="136">
                  <c:v>113737.65000000001</c:v>
                </c:pt>
                <c:pt idx="137">
                  <c:v>582407.98</c:v>
                </c:pt>
                <c:pt idx="138">
                  <c:v>1489271.7</c:v>
                </c:pt>
                <c:pt idx="139">
                  <c:v>217463.35</c:v>
                </c:pt>
                <c:pt idx="140">
                  <c:v>126788</c:v>
                </c:pt>
                <c:pt idx="141">
                  <c:v>552715.9</c:v>
                </c:pt>
                <c:pt idx="142">
                  <c:v>173199.4</c:v>
                </c:pt>
                <c:pt idx="143">
                  <c:v>639725.12</c:v>
                </c:pt>
                <c:pt idx="144">
                  <c:v>54589.83</c:v>
                </c:pt>
                <c:pt idx="145">
                  <c:v>9292.68</c:v>
                </c:pt>
                <c:pt idx="146">
                  <c:v>693070.4</c:v>
                </c:pt>
                <c:pt idx="147">
                  <c:v>1148469.6600000001</c:v>
                </c:pt>
                <c:pt idx="148">
                  <c:v>359039.89</c:v>
                </c:pt>
                <c:pt idx="149">
                  <c:v>68696.789999999994</c:v>
                </c:pt>
                <c:pt idx="150">
                  <c:v>1142873.55</c:v>
                </c:pt>
                <c:pt idx="151">
                  <c:v>45875.61</c:v>
                </c:pt>
                <c:pt idx="152">
                  <c:v>11466.57</c:v>
                </c:pt>
                <c:pt idx="153">
                  <c:v>66261.66</c:v>
                </c:pt>
                <c:pt idx="154">
                  <c:v>3995586.33</c:v>
                </c:pt>
                <c:pt idx="155">
                  <c:v>2170482.9300000002</c:v>
                </c:pt>
                <c:pt idx="156">
                  <c:v>1087520.7</c:v>
                </c:pt>
                <c:pt idx="157">
                  <c:v>451558.25</c:v>
                </c:pt>
                <c:pt idx="158">
                  <c:v>4321033.82</c:v>
                </c:pt>
                <c:pt idx="159">
                  <c:v>5268940.1100000003</c:v>
                </c:pt>
                <c:pt idx="160">
                  <c:v>670746.30000000005</c:v>
                </c:pt>
                <c:pt idx="161">
                  <c:v>1224006.7</c:v>
                </c:pt>
                <c:pt idx="162">
                  <c:v>3597456.03</c:v>
                </c:pt>
                <c:pt idx="163">
                  <c:v>2931096.21</c:v>
                </c:pt>
                <c:pt idx="164">
                  <c:v>1949553.69</c:v>
                </c:pt>
                <c:pt idx="165">
                  <c:v>1057065.44</c:v>
                </c:pt>
                <c:pt idx="166">
                  <c:v>3154049.64</c:v>
                </c:pt>
                <c:pt idx="167">
                  <c:v>1201720.08</c:v>
                </c:pt>
                <c:pt idx="168">
                  <c:v>847466.4</c:v>
                </c:pt>
                <c:pt idx="169">
                  <c:v>1239136.8</c:v>
                </c:pt>
                <c:pt idx="170">
                  <c:v>1315849.9200000002</c:v>
                </c:pt>
                <c:pt idx="171">
                  <c:v>2358324.83</c:v>
                </c:pt>
                <c:pt idx="172">
                  <c:v>3741201.45</c:v>
                </c:pt>
                <c:pt idx="173">
                  <c:v>188632.84</c:v>
                </c:pt>
                <c:pt idx="174">
                  <c:v>795995.52</c:v>
                </c:pt>
                <c:pt idx="175">
                  <c:v>1043448.38</c:v>
                </c:pt>
                <c:pt idx="176">
                  <c:v>595672.32000000007</c:v>
                </c:pt>
                <c:pt idx="177">
                  <c:v>2499995.19</c:v>
                </c:pt>
                <c:pt idx="178">
                  <c:v>5710460.4900000002</c:v>
                </c:pt>
                <c:pt idx="179">
                  <c:v>138506.55000000002</c:v>
                </c:pt>
                <c:pt idx="180">
                  <c:v>1551800.7999999998</c:v>
                </c:pt>
                <c:pt idx="181">
                  <c:v>647921.12</c:v>
                </c:pt>
                <c:pt idx="182">
                  <c:v>1726234.4</c:v>
                </c:pt>
                <c:pt idx="183">
                  <c:v>4865673.87</c:v>
                </c:pt>
                <c:pt idx="184">
                  <c:v>1287442.1700000002</c:v>
                </c:pt>
                <c:pt idx="185">
                  <c:v>184580.5</c:v>
                </c:pt>
                <c:pt idx="186">
                  <c:v>69466.8</c:v>
                </c:pt>
                <c:pt idx="187">
                  <c:v>788991.18</c:v>
                </c:pt>
                <c:pt idx="188">
                  <c:v>517541.19999999995</c:v>
                </c:pt>
                <c:pt idx="189">
                  <c:v>1327339.2</c:v>
                </c:pt>
                <c:pt idx="190">
                  <c:v>30770.34</c:v>
                </c:pt>
                <c:pt idx="191">
                  <c:v>155368.73000000001</c:v>
                </c:pt>
                <c:pt idx="192">
                  <c:v>689264.44000000006</c:v>
                </c:pt>
                <c:pt idx="193">
                  <c:v>3661161.42</c:v>
                </c:pt>
                <c:pt idx="194">
                  <c:v>85901.31</c:v>
                </c:pt>
                <c:pt idx="195">
                  <c:v>1216727.5999999999</c:v>
                </c:pt>
                <c:pt idx="196">
                  <c:v>487137.72000000003</c:v>
                </c:pt>
                <c:pt idx="197">
                  <c:v>3991917.3000000003</c:v>
                </c:pt>
                <c:pt idx="198">
                  <c:v>926267.1</c:v>
                </c:pt>
                <c:pt idx="199">
                  <c:v>477727.98000000004</c:v>
                </c:pt>
                <c:pt idx="200">
                  <c:v>599909.64</c:v>
                </c:pt>
                <c:pt idx="201">
                  <c:v>33357.35</c:v>
                </c:pt>
                <c:pt idx="202">
                  <c:v>1148504.72</c:v>
                </c:pt>
                <c:pt idx="203">
                  <c:v>902324.96</c:v>
                </c:pt>
                <c:pt idx="204">
                  <c:v>836185.98</c:v>
                </c:pt>
                <c:pt idx="205">
                  <c:v>71934.3</c:v>
                </c:pt>
                <c:pt idx="206">
                  <c:v>42050.31</c:v>
                </c:pt>
                <c:pt idx="207">
                  <c:v>1518832.8</c:v>
                </c:pt>
                <c:pt idx="208">
                  <c:v>563412.29999999993</c:v>
                </c:pt>
                <c:pt idx="209">
                  <c:v>269156.64</c:v>
                </c:pt>
                <c:pt idx="210">
                  <c:v>2511955.2000000002</c:v>
                </c:pt>
                <c:pt idx="211">
                  <c:v>38187.69</c:v>
                </c:pt>
                <c:pt idx="212">
                  <c:v>227392.56</c:v>
                </c:pt>
                <c:pt idx="213">
                  <c:v>22557.48</c:v>
                </c:pt>
                <c:pt idx="214">
                  <c:v>2451180.9</c:v>
                </c:pt>
                <c:pt idx="215">
                  <c:v>836083.62</c:v>
                </c:pt>
                <c:pt idx="216">
                  <c:v>2283793.4700000002</c:v>
                </c:pt>
                <c:pt idx="217">
                  <c:v>306527</c:v>
                </c:pt>
                <c:pt idx="218">
                  <c:v>1973314.4</c:v>
                </c:pt>
                <c:pt idx="219">
                  <c:v>1176651.21</c:v>
                </c:pt>
                <c:pt idx="220">
                  <c:v>338689.12</c:v>
                </c:pt>
                <c:pt idx="221">
                  <c:v>1615667.12</c:v>
                </c:pt>
                <c:pt idx="222">
                  <c:v>609462.24</c:v>
                </c:pt>
                <c:pt idx="223">
                  <c:v>306904.39999999997</c:v>
                </c:pt>
                <c:pt idx="224">
                  <c:v>1789384.2999999998</c:v>
                </c:pt>
                <c:pt idx="225">
                  <c:v>1068200.0999999999</c:v>
                </c:pt>
                <c:pt idx="226">
                  <c:v>446404.36</c:v>
                </c:pt>
                <c:pt idx="227">
                  <c:v>2993508.4</c:v>
                </c:pt>
                <c:pt idx="228">
                  <c:v>511164.5</c:v>
                </c:pt>
                <c:pt idx="229">
                  <c:v>1289020.02</c:v>
                </c:pt>
                <c:pt idx="230">
                  <c:v>1505597.52</c:v>
                </c:pt>
                <c:pt idx="231">
                  <c:v>1822249.5999999999</c:v>
                </c:pt>
                <c:pt idx="232">
                  <c:v>89063.2</c:v>
                </c:pt>
                <c:pt idx="233">
                  <c:v>296890.64</c:v>
                </c:pt>
                <c:pt idx="234">
                  <c:v>54852.200000000004</c:v>
                </c:pt>
                <c:pt idx="235">
                  <c:v>1803371.9</c:v>
                </c:pt>
                <c:pt idx="236">
                  <c:v>5860890</c:v>
                </c:pt>
                <c:pt idx="237">
                  <c:v>1370055.58</c:v>
                </c:pt>
                <c:pt idx="238">
                  <c:v>1059787.68</c:v>
                </c:pt>
                <c:pt idx="239">
                  <c:v>917427.3</c:v>
                </c:pt>
                <c:pt idx="240">
                  <c:v>21962.82</c:v>
                </c:pt>
                <c:pt idx="241">
                  <c:v>2897962.4099999997</c:v>
                </c:pt>
                <c:pt idx="242">
                  <c:v>260669.52</c:v>
                </c:pt>
                <c:pt idx="243">
                  <c:v>49680.15</c:v>
                </c:pt>
                <c:pt idx="244">
                  <c:v>4030338.6900000004</c:v>
                </c:pt>
                <c:pt idx="245">
                  <c:v>269981.08</c:v>
                </c:pt>
                <c:pt idx="246">
                  <c:v>438212.8</c:v>
                </c:pt>
                <c:pt idx="247">
                  <c:v>87272.82</c:v>
                </c:pt>
                <c:pt idx="248">
                  <c:v>54281.94</c:v>
                </c:pt>
                <c:pt idx="249">
                  <c:v>2103369.1999999997</c:v>
                </c:pt>
                <c:pt idx="250">
                  <c:v>728874.66</c:v>
                </c:pt>
                <c:pt idx="251">
                  <c:v>2611077.21</c:v>
                </c:pt>
                <c:pt idx="252">
                  <c:v>310892.40000000002</c:v>
                </c:pt>
                <c:pt idx="253">
                  <c:v>2361754.4</c:v>
                </c:pt>
                <c:pt idx="254">
                  <c:v>1420062.06</c:v>
                </c:pt>
                <c:pt idx="255">
                  <c:v>1047309.1200000001</c:v>
                </c:pt>
                <c:pt idx="256">
                  <c:v>302809.65000000002</c:v>
                </c:pt>
                <c:pt idx="257">
                  <c:v>355400.5</c:v>
                </c:pt>
                <c:pt idx="258">
                  <c:v>743120.08</c:v>
                </c:pt>
                <c:pt idx="259">
                  <c:v>2823287.88</c:v>
                </c:pt>
                <c:pt idx="260">
                  <c:v>1092273.21</c:v>
                </c:pt>
                <c:pt idx="261">
                  <c:v>521927.78</c:v>
                </c:pt>
                <c:pt idx="262">
                  <c:v>380966.67</c:v>
                </c:pt>
                <c:pt idx="263">
                  <c:v>107750.08</c:v>
                </c:pt>
                <c:pt idx="264">
                  <c:v>404084.2</c:v>
                </c:pt>
                <c:pt idx="265">
                  <c:v>4822210.05</c:v>
                </c:pt>
                <c:pt idx="266">
                  <c:v>5743112.3799999999</c:v>
                </c:pt>
                <c:pt idx="267">
                  <c:v>552628.96</c:v>
                </c:pt>
                <c:pt idx="268">
                  <c:v>1398554.2999999998</c:v>
                </c:pt>
                <c:pt idx="269">
                  <c:v>3914057.3899999997</c:v>
                </c:pt>
                <c:pt idx="270">
                  <c:v>106003.81000000001</c:v>
                </c:pt>
                <c:pt idx="271">
                  <c:v>461052.32</c:v>
                </c:pt>
                <c:pt idx="272">
                  <c:v>1202737.2</c:v>
                </c:pt>
                <c:pt idx="273">
                  <c:v>4594937.7600000007</c:v>
                </c:pt>
                <c:pt idx="274">
                  <c:v>1824674.25</c:v>
                </c:pt>
                <c:pt idx="275">
                  <c:v>179503.35</c:v>
                </c:pt>
                <c:pt idx="276">
                  <c:v>259437.04</c:v>
                </c:pt>
                <c:pt idx="277">
                  <c:v>1298789.7999999998</c:v>
                </c:pt>
                <c:pt idx="278">
                  <c:v>326856.48</c:v>
                </c:pt>
                <c:pt idx="279">
                  <c:v>740718.99</c:v>
                </c:pt>
                <c:pt idx="280">
                  <c:v>1359487.8</c:v>
                </c:pt>
                <c:pt idx="281">
                  <c:v>977291.04</c:v>
                </c:pt>
                <c:pt idx="282">
                  <c:v>1697053.26</c:v>
                </c:pt>
                <c:pt idx="283">
                  <c:v>819354.60000000009</c:v>
                </c:pt>
                <c:pt idx="284">
                  <c:v>2486937.7600000002</c:v>
                </c:pt>
                <c:pt idx="285">
                  <c:v>171745.38999999998</c:v>
                </c:pt>
                <c:pt idx="286">
                  <c:v>927022.24</c:v>
                </c:pt>
                <c:pt idx="287">
                  <c:v>380454.10000000003</c:v>
                </c:pt>
                <c:pt idx="288">
                  <c:v>450442.85000000003</c:v>
                </c:pt>
                <c:pt idx="289">
                  <c:v>1145131.8999999999</c:v>
                </c:pt>
                <c:pt idx="290">
                  <c:v>1220829.5</c:v>
                </c:pt>
                <c:pt idx="291">
                  <c:v>1013866.7999999999</c:v>
                </c:pt>
                <c:pt idx="292">
                  <c:v>530062.92000000004</c:v>
                </c:pt>
                <c:pt idx="293">
                  <c:v>81756.399999999994</c:v>
                </c:pt>
                <c:pt idx="294">
                  <c:v>178431.54</c:v>
                </c:pt>
                <c:pt idx="295">
                  <c:v>2395747.9499999997</c:v>
                </c:pt>
                <c:pt idx="296">
                  <c:v>1786704.72</c:v>
                </c:pt>
                <c:pt idx="297">
                  <c:v>4121921.6</c:v>
                </c:pt>
                <c:pt idx="298">
                  <c:v>2978643.6</c:v>
                </c:pt>
                <c:pt idx="299">
                  <c:v>4764096.83</c:v>
                </c:pt>
                <c:pt idx="300">
                  <c:v>439707.4</c:v>
                </c:pt>
                <c:pt idx="301">
                  <c:v>80256.66</c:v>
                </c:pt>
                <c:pt idx="302">
                  <c:v>562645.44000000006</c:v>
                </c:pt>
                <c:pt idx="303">
                  <c:v>3486077.07</c:v>
                </c:pt>
                <c:pt idx="304">
                  <c:v>599486.82000000007</c:v>
                </c:pt>
                <c:pt idx="305">
                  <c:v>330462.72000000003</c:v>
                </c:pt>
                <c:pt idx="306">
                  <c:v>3265428.6</c:v>
                </c:pt>
                <c:pt idx="307">
                  <c:v>1005560</c:v>
                </c:pt>
                <c:pt idx="308">
                  <c:v>2032028.8</c:v>
                </c:pt>
                <c:pt idx="309">
                  <c:v>874786.4</c:v>
                </c:pt>
                <c:pt idx="310">
                  <c:v>225002.69</c:v>
                </c:pt>
                <c:pt idx="311">
                  <c:v>936346.39999999991</c:v>
                </c:pt>
                <c:pt idx="312">
                  <c:v>25965.39</c:v>
                </c:pt>
                <c:pt idx="313">
                  <c:v>723882.61</c:v>
                </c:pt>
                <c:pt idx="314">
                  <c:v>185384.7</c:v>
                </c:pt>
                <c:pt idx="315">
                  <c:v>216852.93000000002</c:v>
                </c:pt>
                <c:pt idx="316">
                  <c:v>566529.54</c:v>
                </c:pt>
                <c:pt idx="317">
                  <c:v>581530.53</c:v>
                </c:pt>
                <c:pt idx="318">
                  <c:v>689801.20000000007</c:v>
                </c:pt>
                <c:pt idx="319">
                  <c:v>763059.18</c:v>
                </c:pt>
                <c:pt idx="320">
                  <c:v>1547252.08</c:v>
                </c:pt>
                <c:pt idx="321">
                  <c:v>3976735.1399999997</c:v>
                </c:pt>
                <c:pt idx="322">
                  <c:v>462163</c:v>
                </c:pt>
                <c:pt idx="323">
                  <c:v>766438.2</c:v>
                </c:pt>
                <c:pt idx="324">
                  <c:v>243893.00000000003</c:v>
                </c:pt>
                <c:pt idx="325">
                  <c:v>2493575.04</c:v>
                </c:pt>
                <c:pt idx="326">
                  <c:v>186684.4</c:v>
                </c:pt>
                <c:pt idx="327">
                  <c:v>299819.7</c:v>
                </c:pt>
                <c:pt idx="328">
                  <c:v>684420.64</c:v>
                </c:pt>
                <c:pt idx="329">
                  <c:v>3161830.4</c:v>
                </c:pt>
                <c:pt idx="330">
                  <c:v>2452446.5699999998</c:v>
                </c:pt>
                <c:pt idx="331">
                  <c:v>236395.90000000002</c:v>
                </c:pt>
                <c:pt idx="332">
                  <c:v>723534.3600000001</c:v>
                </c:pt>
                <c:pt idx="333">
                  <c:v>3116798.8</c:v>
                </c:pt>
                <c:pt idx="334">
                  <c:v>249308.4</c:v>
                </c:pt>
                <c:pt idx="335">
                  <c:v>3412246.32</c:v>
                </c:pt>
                <c:pt idx="336">
                  <c:v>907259.34</c:v>
                </c:pt>
                <c:pt idx="337">
                  <c:v>735328.38</c:v>
                </c:pt>
                <c:pt idx="338">
                  <c:v>18053.55</c:v>
                </c:pt>
                <c:pt idx="339">
                  <c:v>721029.44000000006</c:v>
                </c:pt>
                <c:pt idx="340">
                  <c:v>2116622.13</c:v>
                </c:pt>
                <c:pt idx="341">
                  <c:v>598526.56000000006</c:v>
                </c:pt>
                <c:pt idx="342">
                  <c:v>1441011.2</c:v>
                </c:pt>
                <c:pt idx="343">
                  <c:v>1486495.44</c:v>
                </c:pt>
                <c:pt idx="344">
                  <c:v>3138017.82</c:v>
                </c:pt>
                <c:pt idx="345">
                  <c:v>497442.56</c:v>
                </c:pt>
                <c:pt idx="346">
                  <c:v>124654.2</c:v>
                </c:pt>
                <c:pt idx="347">
                  <c:v>165768.56</c:v>
                </c:pt>
                <c:pt idx="348">
                  <c:v>3571298.85</c:v>
                </c:pt>
                <c:pt idx="349">
                  <c:v>3084437.79</c:v>
                </c:pt>
                <c:pt idx="350">
                  <c:v>4013058.8</c:v>
                </c:pt>
                <c:pt idx="351">
                  <c:v>1957742.32</c:v>
                </c:pt>
                <c:pt idx="352">
                  <c:v>161851.95000000001</c:v>
                </c:pt>
                <c:pt idx="353">
                  <c:v>84585.78</c:v>
                </c:pt>
                <c:pt idx="354">
                  <c:v>353563.98000000004</c:v>
                </c:pt>
                <c:pt idx="355">
                  <c:v>8536.9500000000007</c:v>
                </c:pt>
                <c:pt idx="356">
                  <c:v>829216.64</c:v>
                </c:pt>
                <c:pt idx="357">
                  <c:v>1055446.7</c:v>
                </c:pt>
                <c:pt idx="358">
                  <c:v>909515.47</c:v>
                </c:pt>
                <c:pt idx="359">
                  <c:v>943925.62</c:v>
                </c:pt>
                <c:pt idx="360">
                  <c:v>971810.48</c:v>
                </c:pt>
                <c:pt idx="361">
                  <c:v>532038.57000000007</c:v>
                </c:pt>
                <c:pt idx="362">
                  <c:v>457279.35000000003</c:v>
                </c:pt>
                <c:pt idx="363">
                  <c:v>3635004.2399999998</c:v>
                </c:pt>
                <c:pt idx="364">
                  <c:v>231793.25</c:v>
                </c:pt>
                <c:pt idx="365">
                  <c:v>935788.77</c:v>
                </c:pt>
                <c:pt idx="366">
                  <c:v>191329.93000000002</c:v>
                </c:pt>
                <c:pt idx="367">
                  <c:v>563783.10000000009</c:v>
                </c:pt>
                <c:pt idx="368">
                  <c:v>5766501.8300000001</c:v>
                </c:pt>
                <c:pt idx="369">
                  <c:v>1007308.7999999999</c:v>
                </c:pt>
                <c:pt idx="370">
                  <c:v>1054632.9600000002</c:v>
                </c:pt>
                <c:pt idx="371">
                  <c:v>4462707.0599999996</c:v>
                </c:pt>
                <c:pt idx="372">
                  <c:v>311994.40000000002</c:v>
                </c:pt>
                <c:pt idx="373">
                  <c:v>1795761</c:v>
                </c:pt>
                <c:pt idx="374">
                  <c:v>377674.33</c:v>
                </c:pt>
                <c:pt idx="375">
                  <c:v>591387.5</c:v>
                </c:pt>
                <c:pt idx="376">
                  <c:v>1212511.8599999999</c:v>
                </c:pt>
                <c:pt idx="377">
                  <c:v>2635441.6</c:v>
                </c:pt>
                <c:pt idx="378">
                  <c:v>160240.29999999999</c:v>
                </c:pt>
                <c:pt idx="379">
                  <c:v>3206785.8899999997</c:v>
                </c:pt>
                <c:pt idx="380">
                  <c:v>1020864.72</c:v>
                </c:pt>
                <c:pt idx="381">
                  <c:v>1450883.2200000002</c:v>
                </c:pt>
                <c:pt idx="382">
                  <c:v>294901.11</c:v>
                </c:pt>
                <c:pt idx="383">
                  <c:v>1574311.76</c:v>
                </c:pt>
                <c:pt idx="384">
                  <c:v>126109.39</c:v>
                </c:pt>
                <c:pt idx="385">
                  <c:v>41863.71</c:v>
                </c:pt>
                <c:pt idx="386">
                  <c:v>1994055.7999999998</c:v>
                </c:pt>
                <c:pt idx="387">
                  <c:v>592773.30000000005</c:v>
                </c:pt>
                <c:pt idx="388">
                  <c:v>532038.57000000007</c:v>
                </c:pt>
                <c:pt idx="389">
                  <c:v>512855.75</c:v>
                </c:pt>
                <c:pt idx="390">
                  <c:v>785241.28</c:v>
                </c:pt>
                <c:pt idx="391">
                  <c:v>2653366.7999999998</c:v>
                </c:pt>
                <c:pt idx="392">
                  <c:v>779712.8</c:v>
                </c:pt>
                <c:pt idx="393">
                  <c:v>37848.799999999996</c:v>
                </c:pt>
                <c:pt idx="394">
                  <c:v>2597998.62</c:v>
                </c:pt>
                <c:pt idx="395">
                  <c:v>1237255.8600000001</c:v>
                </c:pt>
                <c:pt idx="396">
                  <c:v>634807.52</c:v>
                </c:pt>
                <c:pt idx="397">
                  <c:v>72456.150000000009</c:v>
                </c:pt>
                <c:pt idx="398">
                  <c:v>648770.16</c:v>
                </c:pt>
                <c:pt idx="399">
                  <c:v>3310100.43</c:v>
                </c:pt>
                <c:pt idx="400">
                  <c:v>235061.28</c:v>
                </c:pt>
                <c:pt idx="401">
                  <c:v>865200.96</c:v>
                </c:pt>
                <c:pt idx="402">
                  <c:v>24920.43</c:v>
                </c:pt>
                <c:pt idx="403">
                  <c:v>387248.04000000004</c:v>
                </c:pt>
                <c:pt idx="404">
                  <c:v>224902.92</c:v>
                </c:pt>
                <c:pt idx="405">
                  <c:v>5189116.55</c:v>
                </c:pt>
                <c:pt idx="406">
                  <c:v>1026405.66</c:v>
                </c:pt>
                <c:pt idx="407">
                  <c:v>466596.57</c:v>
                </c:pt>
                <c:pt idx="408">
                  <c:v>84819.03</c:v>
                </c:pt>
                <c:pt idx="409">
                  <c:v>155873.25</c:v>
                </c:pt>
                <c:pt idx="410">
                  <c:v>82183.400000000009</c:v>
                </c:pt>
                <c:pt idx="411">
                  <c:v>2529058.96</c:v>
                </c:pt>
                <c:pt idx="412">
                  <c:v>2929.62</c:v>
                </c:pt>
                <c:pt idx="413">
                  <c:v>3159534.21</c:v>
                </c:pt>
                <c:pt idx="414">
                  <c:v>2004810</c:v>
                </c:pt>
                <c:pt idx="415">
                  <c:v>4151.8500000000004</c:v>
                </c:pt>
                <c:pt idx="416">
                  <c:v>93593.5</c:v>
                </c:pt>
                <c:pt idx="417">
                  <c:v>465043.7</c:v>
                </c:pt>
                <c:pt idx="418">
                  <c:v>900172.58</c:v>
                </c:pt>
                <c:pt idx="419">
                  <c:v>215522.01</c:v>
                </c:pt>
                <c:pt idx="420">
                  <c:v>229041.15000000002</c:v>
                </c:pt>
                <c:pt idx="421">
                  <c:v>492992</c:v>
                </c:pt>
                <c:pt idx="422">
                  <c:v>1146160.3999999999</c:v>
                </c:pt>
                <c:pt idx="423">
                  <c:v>16728.689999999999</c:v>
                </c:pt>
                <c:pt idx="424">
                  <c:v>414855.35000000003</c:v>
                </c:pt>
                <c:pt idx="425">
                  <c:v>252955.95</c:v>
                </c:pt>
                <c:pt idx="426">
                  <c:v>69993.66</c:v>
                </c:pt>
                <c:pt idx="427">
                  <c:v>2102105.88</c:v>
                </c:pt>
                <c:pt idx="428">
                  <c:v>4893191.9400000004</c:v>
                </c:pt>
                <c:pt idx="429">
                  <c:v>808344.16</c:v>
                </c:pt>
                <c:pt idx="430">
                  <c:v>329492.80000000005</c:v>
                </c:pt>
                <c:pt idx="431">
                  <c:v>347097.18</c:v>
                </c:pt>
                <c:pt idx="432">
                  <c:v>527485.42000000004</c:v>
                </c:pt>
                <c:pt idx="433">
                  <c:v>718499.22000000009</c:v>
                </c:pt>
                <c:pt idx="434">
                  <c:v>1418892.6</c:v>
                </c:pt>
                <c:pt idx="435">
                  <c:v>38999.4</c:v>
                </c:pt>
                <c:pt idx="436">
                  <c:v>584736.25</c:v>
                </c:pt>
                <c:pt idx="437">
                  <c:v>1088476.2</c:v>
                </c:pt>
                <c:pt idx="438">
                  <c:v>1466904.12</c:v>
                </c:pt>
                <c:pt idx="439">
                  <c:v>666001.38</c:v>
                </c:pt>
                <c:pt idx="440">
                  <c:v>929212.20000000007</c:v>
                </c:pt>
                <c:pt idx="441">
                  <c:v>1614135.44</c:v>
                </c:pt>
                <c:pt idx="442">
                  <c:v>1462692.63</c:v>
                </c:pt>
                <c:pt idx="443">
                  <c:v>873584.32000000007</c:v>
                </c:pt>
                <c:pt idx="444">
                  <c:v>1141584.6000000001</c:v>
                </c:pt>
                <c:pt idx="445">
                  <c:v>527362.5</c:v>
                </c:pt>
                <c:pt idx="446">
                  <c:v>497163.59</c:v>
                </c:pt>
                <c:pt idx="447">
                  <c:v>77052.900000000009</c:v>
                </c:pt>
                <c:pt idx="448">
                  <c:v>22954.94</c:v>
                </c:pt>
                <c:pt idx="449">
                  <c:v>1169072.8</c:v>
                </c:pt>
                <c:pt idx="450">
                  <c:v>427208.38</c:v>
                </c:pt>
                <c:pt idx="451">
                  <c:v>783428.32000000007</c:v>
                </c:pt>
                <c:pt idx="452">
                  <c:v>4205426.8</c:v>
                </c:pt>
                <c:pt idx="453">
                  <c:v>909878.36</c:v>
                </c:pt>
                <c:pt idx="454">
                  <c:v>2259228</c:v>
                </c:pt>
                <c:pt idx="455">
                  <c:v>2204622.73</c:v>
                </c:pt>
                <c:pt idx="456">
                  <c:v>53713.4</c:v>
                </c:pt>
                <c:pt idx="457">
                  <c:v>2737309.1999999997</c:v>
                </c:pt>
                <c:pt idx="458">
                  <c:v>1052038.56</c:v>
                </c:pt>
                <c:pt idx="459">
                  <c:v>199574.7</c:v>
                </c:pt>
                <c:pt idx="460">
                  <c:v>47.45</c:v>
                </c:pt>
                <c:pt idx="461">
                  <c:v>1380696.4200000002</c:v>
                </c:pt>
                <c:pt idx="462">
                  <c:v>45569.760000000002</c:v>
                </c:pt>
                <c:pt idx="463">
                  <c:v>425241.19</c:v>
                </c:pt>
                <c:pt idx="464">
                  <c:v>237098.34</c:v>
                </c:pt>
                <c:pt idx="465">
                  <c:v>783300.32000000007</c:v>
                </c:pt>
                <c:pt idx="466">
                  <c:v>1006165.86</c:v>
                </c:pt>
                <c:pt idx="467">
                  <c:v>409469.12</c:v>
                </c:pt>
                <c:pt idx="468">
                  <c:v>162841.42000000001</c:v>
                </c:pt>
                <c:pt idx="469">
                  <c:v>2123762.06</c:v>
                </c:pt>
                <c:pt idx="470">
                  <c:v>2193262.14</c:v>
                </c:pt>
                <c:pt idx="471">
                  <c:v>1343249.1400000001</c:v>
                </c:pt>
                <c:pt idx="472">
                  <c:v>36097.769999999997</c:v>
                </c:pt>
                <c:pt idx="473">
                  <c:v>792330.58</c:v>
                </c:pt>
                <c:pt idx="474">
                  <c:v>283893.35000000003</c:v>
                </c:pt>
                <c:pt idx="475">
                  <c:v>284256.54000000004</c:v>
                </c:pt>
                <c:pt idx="476">
                  <c:v>2311476.4</c:v>
                </c:pt>
                <c:pt idx="477">
                  <c:v>86659.040000000008</c:v>
                </c:pt>
                <c:pt idx="478">
                  <c:v>1532280.76</c:v>
                </c:pt>
                <c:pt idx="479">
                  <c:v>4241509.6899999995</c:v>
                </c:pt>
                <c:pt idx="480">
                  <c:v>406355.04000000004</c:v>
                </c:pt>
                <c:pt idx="481">
                  <c:v>1118802.3</c:v>
                </c:pt>
                <c:pt idx="482">
                  <c:v>4515.72</c:v>
                </c:pt>
                <c:pt idx="483">
                  <c:v>1539253.0999999999</c:v>
                </c:pt>
                <c:pt idx="484">
                  <c:v>48432.03</c:v>
                </c:pt>
                <c:pt idx="485">
                  <c:v>2936378.38</c:v>
                </c:pt>
                <c:pt idx="486">
                  <c:v>317895.52</c:v>
                </c:pt>
                <c:pt idx="487">
                  <c:v>90125.1</c:v>
                </c:pt>
                <c:pt idx="488">
                  <c:v>470122.56</c:v>
                </c:pt>
                <c:pt idx="489">
                  <c:v>242819.83000000002</c:v>
                </c:pt>
                <c:pt idx="490">
                  <c:v>646879.52</c:v>
                </c:pt>
                <c:pt idx="491">
                  <c:v>78869.45</c:v>
                </c:pt>
                <c:pt idx="492">
                  <c:v>1429206.8</c:v>
                </c:pt>
                <c:pt idx="493">
                  <c:v>60477.06</c:v>
                </c:pt>
                <c:pt idx="494">
                  <c:v>3041801.91</c:v>
                </c:pt>
                <c:pt idx="495">
                  <c:v>809429.5</c:v>
                </c:pt>
                <c:pt idx="496">
                  <c:v>1129702.32</c:v>
                </c:pt>
                <c:pt idx="497">
                  <c:v>159716.53</c:v>
                </c:pt>
                <c:pt idx="498">
                  <c:v>953008.1</c:v>
                </c:pt>
                <c:pt idx="499">
                  <c:v>989005.6</c:v>
                </c:pt>
                <c:pt idx="500">
                  <c:v>308364.18000000005</c:v>
                </c:pt>
                <c:pt idx="501">
                  <c:v>4177883.1999999997</c:v>
                </c:pt>
                <c:pt idx="502">
                  <c:v>72139.56</c:v>
                </c:pt>
                <c:pt idx="503">
                  <c:v>5944929.9199999999</c:v>
                </c:pt>
                <c:pt idx="504">
                  <c:v>1582440.3</c:v>
                </c:pt>
                <c:pt idx="505">
                  <c:v>2487448.3199999998</c:v>
                </c:pt>
                <c:pt idx="506">
                  <c:v>1908896</c:v>
                </c:pt>
                <c:pt idx="507">
                  <c:v>14116.29</c:v>
                </c:pt>
                <c:pt idx="508">
                  <c:v>602080.68000000005</c:v>
                </c:pt>
                <c:pt idx="509">
                  <c:v>57062.28</c:v>
                </c:pt>
                <c:pt idx="510">
                  <c:v>217842.95</c:v>
                </c:pt>
                <c:pt idx="511">
                  <c:v>1215910.02</c:v>
                </c:pt>
                <c:pt idx="512">
                  <c:v>289632.8</c:v>
                </c:pt>
                <c:pt idx="513">
                  <c:v>613929.1</c:v>
                </c:pt>
                <c:pt idx="514">
                  <c:v>425958.65</c:v>
                </c:pt>
                <c:pt idx="515">
                  <c:v>545931.24</c:v>
                </c:pt>
                <c:pt idx="516">
                  <c:v>317806.5</c:v>
                </c:pt>
                <c:pt idx="517">
                  <c:v>80825.789999999994</c:v>
                </c:pt>
                <c:pt idx="518">
                  <c:v>72298.17</c:v>
                </c:pt>
                <c:pt idx="519">
                  <c:v>562781.18000000005</c:v>
                </c:pt>
                <c:pt idx="520">
                  <c:v>1271611.24</c:v>
                </c:pt>
                <c:pt idx="521">
                  <c:v>3557560.23</c:v>
                </c:pt>
                <c:pt idx="522">
                  <c:v>2720258.4</c:v>
                </c:pt>
                <c:pt idx="523">
                  <c:v>2342954.62</c:v>
                </c:pt>
                <c:pt idx="524">
                  <c:v>68276.94</c:v>
                </c:pt>
                <c:pt idx="525">
                  <c:v>460075.2</c:v>
                </c:pt>
                <c:pt idx="526">
                  <c:v>1481094.06</c:v>
                </c:pt>
                <c:pt idx="527">
                  <c:v>400857.60000000003</c:v>
                </c:pt>
                <c:pt idx="528">
                  <c:v>833290.7</c:v>
                </c:pt>
                <c:pt idx="529">
                  <c:v>1704249.28</c:v>
                </c:pt>
                <c:pt idx="530">
                  <c:v>2349637.3199999998</c:v>
                </c:pt>
                <c:pt idx="531">
                  <c:v>2470690.7400000002</c:v>
                </c:pt>
                <c:pt idx="532">
                  <c:v>774460.5</c:v>
                </c:pt>
                <c:pt idx="533">
                  <c:v>81376.75</c:v>
                </c:pt>
                <c:pt idx="534">
                  <c:v>1980084.01</c:v>
                </c:pt>
                <c:pt idx="535">
                  <c:v>747961.3</c:v>
                </c:pt>
                <c:pt idx="536">
                  <c:v>1153944.1200000001</c:v>
                </c:pt>
                <c:pt idx="537">
                  <c:v>5978.7000000000007</c:v>
                </c:pt>
                <c:pt idx="538">
                  <c:v>690946.29999999993</c:v>
                </c:pt>
                <c:pt idx="539">
                  <c:v>329492.80000000005</c:v>
                </c:pt>
                <c:pt idx="540">
                  <c:v>521647.16000000003</c:v>
                </c:pt>
                <c:pt idx="541">
                  <c:v>3157021.1999999997</c:v>
                </c:pt>
                <c:pt idx="542">
                  <c:v>158.61000000000001</c:v>
                </c:pt>
                <c:pt idx="543">
                  <c:v>827764.38</c:v>
                </c:pt>
                <c:pt idx="544">
                  <c:v>1000187.04</c:v>
                </c:pt>
                <c:pt idx="545">
                  <c:v>1268397.54</c:v>
                </c:pt>
                <c:pt idx="546">
                  <c:v>1271149.06</c:v>
                </c:pt>
                <c:pt idx="547">
                  <c:v>832323.9</c:v>
                </c:pt>
                <c:pt idx="548">
                  <c:v>948550.4</c:v>
                </c:pt>
                <c:pt idx="549">
                  <c:v>3809323.6</c:v>
                </c:pt>
                <c:pt idx="550">
                  <c:v>1422191.19</c:v>
                </c:pt>
                <c:pt idx="551">
                  <c:v>1672011.54</c:v>
                </c:pt>
                <c:pt idx="552">
                  <c:v>1995454.22</c:v>
                </c:pt>
                <c:pt idx="553">
                  <c:v>1575759.15</c:v>
                </c:pt>
                <c:pt idx="554">
                  <c:v>176398.48</c:v>
                </c:pt>
                <c:pt idx="555">
                  <c:v>86691.150000000009</c:v>
                </c:pt>
                <c:pt idx="556">
                  <c:v>442049.3</c:v>
                </c:pt>
                <c:pt idx="557">
                  <c:v>412435.4</c:v>
                </c:pt>
                <c:pt idx="558">
                  <c:v>1136081.0999999999</c:v>
                </c:pt>
                <c:pt idx="559">
                  <c:v>2231913.04</c:v>
                </c:pt>
                <c:pt idx="560">
                  <c:v>646618.79999999993</c:v>
                </c:pt>
                <c:pt idx="561">
                  <c:v>5943593.3799999999</c:v>
                </c:pt>
                <c:pt idx="562">
                  <c:v>811790.4</c:v>
                </c:pt>
                <c:pt idx="563">
                  <c:v>1760997.7</c:v>
                </c:pt>
                <c:pt idx="564">
                  <c:v>1294058.7</c:v>
                </c:pt>
                <c:pt idx="565">
                  <c:v>2464983.6800000002</c:v>
                </c:pt>
                <c:pt idx="566">
                  <c:v>1369405.5</c:v>
                </c:pt>
                <c:pt idx="567">
                  <c:v>61531.35</c:v>
                </c:pt>
                <c:pt idx="568">
                  <c:v>828931.2</c:v>
                </c:pt>
                <c:pt idx="569">
                  <c:v>2749988</c:v>
                </c:pt>
                <c:pt idx="570">
                  <c:v>389991.55000000005</c:v>
                </c:pt>
                <c:pt idx="571">
                  <c:v>1244442.4800000002</c:v>
                </c:pt>
                <c:pt idx="572">
                  <c:v>294800.11</c:v>
                </c:pt>
                <c:pt idx="573">
                  <c:v>38318.31</c:v>
                </c:pt>
                <c:pt idx="574">
                  <c:v>4053782.25</c:v>
                </c:pt>
                <c:pt idx="575">
                  <c:v>1760380.5999999999</c:v>
                </c:pt>
                <c:pt idx="576">
                  <c:v>2841851.04</c:v>
                </c:pt>
                <c:pt idx="577">
                  <c:v>5627501.6699999999</c:v>
                </c:pt>
                <c:pt idx="578">
                  <c:v>678849.38</c:v>
                </c:pt>
                <c:pt idx="579">
                  <c:v>640138.39999999991</c:v>
                </c:pt>
                <c:pt idx="580">
                  <c:v>2884208.4</c:v>
                </c:pt>
                <c:pt idx="581">
                  <c:v>2959749.45</c:v>
                </c:pt>
                <c:pt idx="582">
                  <c:v>798829.02</c:v>
                </c:pt>
                <c:pt idx="583">
                  <c:v>3118110.4</c:v>
                </c:pt>
                <c:pt idx="584">
                  <c:v>1297082.58</c:v>
                </c:pt>
                <c:pt idx="585">
                  <c:v>369588.05000000005</c:v>
                </c:pt>
                <c:pt idx="586">
                  <c:v>649232.48</c:v>
                </c:pt>
                <c:pt idx="587">
                  <c:v>484658.9</c:v>
                </c:pt>
                <c:pt idx="588">
                  <c:v>848012.80000000005</c:v>
                </c:pt>
                <c:pt idx="589">
                  <c:v>32356.44</c:v>
                </c:pt>
                <c:pt idx="590">
                  <c:v>927301.2</c:v>
                </c:pt>
                <c:pt idx="591">
                  <c:v>3137529.7800000003</c:v>
                </c:pt>
                <c:pt idx="592">
                  <c:v>2473407.92</c:v>
                </c:pt>
                <c:pt idx="593">
                  <c:v>4607053.38</c:v>
                </c:pt>
                <c:pt idx="594">
                  <c:v>745868.2</c:v>
                </c:pt>
                <c:pt idx="595">
                  <c:v>2325345.52</c:v>
                </c:pt>
                <c:pt idx="596">
                  <c:v>2450177.44</c:v>
                </c:pt>
                <c:pt idx="597">
                  <c:v>2199787.3800000004</c:v>
                </c:pt>
                <c:pt idx="598">
                  <c:v>880081.44000000006</c:v>
                </c:pt>
                <c:pt idx="599">
                  <c:v>1736077.3499999999</c:v>
                </c:pt>
                <c:pt idx="600">
                  <c:v>306093.28000000003</c:v>
                </c:pt>
                <c:pt idx="601">
                  <c:v>5502535.1799999997</c:v>
                </c:pt>
                <c:pt idx="602">
                  <c:v>1628495.4</c:v>
                </c:pt>
                <c:pt idx="603">
                  <c:v>1059355</c:v>
                </c:pt>
                <c:pt idx="604">
                  <c:v>376693.57</c:v>
                </c:pt>
                <c:pt idx="605">
                  <c:v>740372</c:v>
                </c:pt>
                <c:pt idx="606">
                  <c:v>494994.78</c:v>
                </c:pt>
                <c:pt idx="607">
                  <c:v>1547686.7999999998</c:v>
                </c:pt>
                <c:pt idx="608">
                  <c:v>36718.080000000002</c:v>
                </c:pt>
                <c:pt idx="609">
                  <c:v>471106.08</c:v>
                </c:pt>
                <c:pt idx="610">
                  <c:v>747175.66</c:v>
                </c:pt>
                <c:pt idx="611">
                  <c:v>4377836.7699999996</c:v>
                </c:pt>
                <c:pt idx="612">
                  <c:v>3447505.74</c:v>
                </c:pt>
                <c:pt idx="613">
                  <c:v>292149.65000000002</c:v>
                </c:pt>
                <c:pt idx="614">
                  <c:v>2935510.62</c:v>
                </c:pt>
                <c:pt idx="615">
                  <c:v>1551800.7999999998</c:v>
                </c:pt>
                <c:pt idx="616">
                  <c:v>731773.68</c:v>
                </c:pt>
                <c:pt idx="617">
                  <c:v>623191.25</c:v>
                </c:pt>
                <c:pt idx="618">
                  <c:v>18408.09</c:v>
                </c:pt>
                <c:pt idx="619">
                  <c:v>2452868.46</c:v>
                </c:pt>
                <c:pt idx="620">
                  <c:v>1815691.5999999999</c:v>
                </c:pt>
                <c:pt idx="621">
                  <c:v>614287.08000000007</c:v>
                </c:pt>
                <c:pt idx="622">
                  <c:v>2425415.2799999998</c:v>
                </c:pt>
                <c:pt idx="623">
                  <c:v>2918310</c:v>
                </c:pt>
                <c:pt idx="624">
                  <c:v>5799915.3300000001</c:v>
                </c:pt>
                <c:pt idx="625">
                  <c:v>31981.300000000003</c:v>
                </c:pt>
                <c:pt idx="626">
                  <c:v>998262.1</c:v>
                </c:pt>
                <c:pt idx="627">
                  <c:v>50745.87</c:v>
                </c:pt>
                <c:pt idx="628">
                  <c:v>301256.78000000003</c:v>
                </c:pt>
                <c:pt idx="629">
                  <c:v>592827.4</c:v>
                </c:pt>
                <c:pt idx="630">
                  <c:v>273223.39</c:v>
                </c:pt>
                <c:pt idx="631">
                  <c:v>1893667.04</c:v>
                </c:pt>
                <c:pt idx="632">
                  <c:v>922975.89999999991</c:v>
                </c:pt>
                <c:pt idx="633">
                  <c:v>2514464.4</c:v>
                </c:pt>
                <c:pt idx="634">
                  <c:v>13380.900000000001</c:v>
                </c:pt>
                <c:pt idx="635">
                  <c:v>5295371.4799999995</c:v>
                </c:pt>
                <c:pt idx="636">
                  <c:v>4163185.5300000003</c:v>
                </c:pt>
                <c:pt idx="637">
                  <c:v>3401269.83</c:v>
                </c:pt>
                <c:pt idx="638">
                  <c:v>202203.09999999998</c:v>
                </c:pt>
                <c:pt idx="639">
                  <c:v>958112.19</c:v>
                </c:pt>
                <c:pt idx="640">
                  <c:v>719872.44000000006</c:v>
                </c:pt>
                <c:pt idx="641">
                  <c:v>2615767.6</c:v>
                </c:pt>
                <c:pt idx="642">
                  <c:v>494919.60000000003</c:v>
                </c:pt>
                <c:pt idx="643">
                  <c:v>471663.83</c:v>
                </c:pt>
                <c:pt idx="644">
                  <c:v>2013680.97</c:v>
                </c:pt>
                <c:pt idx="645">
                  <c:v>388053.28</c:v>
                </c:pt>
                <c:pt idx="646">
                  <c:v>2152335.6</c:v>
                </c:pt>
                <c:pt idx="647">
                  <c:v>34866.21</c:v>
                </c:pt>
                <c:pt idx="648">
                  <c:v>152998.56</c:v>
                </c:pt>
                <c:pt idx="649">
                  <c:v>1367345.49</c:v>
                </c:pt>
                <c:pt idx="650">
                  <c:v>3706725.54</c:v>
                </c:pt>
                <c:pt idx="651">
                  <c:v>989039.6</c:v>
                </c:pt>
                <c:pt idx="652">
                  <c:v>864806.88</c:v>
                </c:pt>
                <c:pt idx="653">
                  <c:v>244586.82</c:v>
                </c:pt>
                <c:pt idx="654">
                  <c:v>5119616.47</c:v>
                </c:pt>
                <c:pt idx="655">
                  <c:v>1885643.5999999999</c:v>
                </c:pt>
                <c:pt idx="656">
                  <c:v>3694777.1999999997</c:v>
                </c:pt>
                <c:pt idx="657">
                  <c:v>153685.56</c:v>
                </c:pt>
                <c:pt idx="658">
                  <c:v>1046851.3800000001</c:v>
                </c:pt>
                <c:pt idx="659">
                  <c:v>824954.72</c:v>
                </c:pt>
                <c:pt idx="660">
                  <c:v>1759969.2</c:v>
                </c:pt>
                <c:pt idx="661">
                  <c:v>2084616.48</c:v>
                </c:pt>
                <c:pt idx="662">
                  <c:v>742365.6</c:v>
                </c:pt>
                <c:pt idx="663">
                  <c:v>991922.58000000007</c:v>
                </c:pt>
                <c:pt idx="664">
                  <c:v>64880.82</c:v>
                </c:pt>
                <c:pt idx="665">
                  <c:v>6327180.3599999994</c:v>
                </c:pt>
                <c:pt idx="666">
                  <c:v>1539664.5</c:v>
                </c:pt>
                <c:pt idx="667">
                  <c:v>529610.4</c:v>
                </c:pt>
                <c:pt idx="668">
                  <c:v>1842660.5999999999</c:v>
                </c:pt>
                <c:pt idx="669">
                  <c:v>3988126.17</c:v>
                </c:pt>
                <c:pt idx="670">
                  <c:v>6371954.4500000002</c:v>
                </c:pt>
                <c:pt idx="671">
                  <c:v>575960</c:v>
                </c:pt>
                <c:pt idx="672">
                  <c:v>6602507.5999999996</c:v>
                </c:pt>
                <c:pt idx="673">
                  <c:v>524112.30000000005</c:v>
                </c:pt>
                <c:pt idx="674">
                  <c:v>649600.6</c:v>
                </c:pt>
                <c:pt idx="675">
                  <c:v>84473.44</c:v>
                </c:pt>
                <c:pt idx="676">
                  <c:v>775383.98</c:v>
                </c:pt>
                <c:pt idx="677">
                  <c:v>1026405.66</c:v>
                </c:pt>
                <c:pt idx="678">
                  <c:v>2451882.63</c:v>
                </c:pt>
                <c:pt idx="679">
                  <c:v>624098.07999999996</c:v>
                </c:pt>
                <c:pt idx="680">
                  <c:v>4253956</c:v>
                </c:pt>
                <c:pt idx="681">
                  <c:v>707818.62000000011</c:v>
                </c:pt>
                <c:pt idx="682">
                  <c:v>521437.4</c:v>
                </c:pt>
                <c:pt idx="683">
                  <c:v>27299.58</c:v>
                </c:pt>
                <c:pt idx="684">
                  <c:v>3916404.8699999996</c:v>
                </c:pt>
                <c:pt idx="685">
                  <c:v>379313.88</c:v>
                </c:pt>
                <c:pt idx="686">
                  <c:v>1358237.0999999999</c:v>
                </c:pt>
                <c:pt idx="687">
                  <c:v>5035806.9300000006</c:v>
                </c:pt>
                <c:pt idx="688">
                  <c:v>5863494.8400000008</c:v>
                </c:pt>
                <c:pt idx="689">
                  <c:v>52061.4</c:v>
                </c:pt>
                <c:pt idx="690">
                  <c:v>1486833.06</c:v>
                </c:pt>
                <c:pt idx="691">
                  <c:v>444692.93</c:v>
                </c:pt>
                <c:pt idx="692">
                  <c:v>647976.36</c:v>
                </c:pt>
                <c:pt idx="693">
                  <c:v>86134.56</c:v>
                </c:pt>
                <c:pt idx="694">
                  <c:v>68326.28</c:v>
                </c:pt>
                <c:pt idx="695">
                  <c:v>64816.700000000004</c:v>
                </c:pt>
                <c:pt idx="696">
                  <c:v>1884.66</c:v>
                </c:pt>
                <c:pt idx="697">
                  <c:v>1801109.2</c:v>
                </c:pt>
                <c:pt idx="698">
                  <c:v>1125179</c:v>
                </c:pt>
                <c:pt idx="699">
                  <c:v>546644.86</c:v>
                </c:pt>
                <c:pt idx="700">
                  <c:v>972034.55999999994</c:v>
                </c:pt>
                <c:pt idx="701">
                  <c:v>1444017.12</c:v>
                </c:pt>
                <c:pt idx="702">
                  <c:v>2263567.7600000002</c:v>
                </c:pt>
                <c:pt idx="703">
                  <c:v>1873927</c:v>
                </c:pt>
                <c:pt idx="704">
                  <c:v>897245.44000000006</c:v>
                </c:pt>
                <c:pt idx="705">
                  <c:v>1017556.0200000001</c:v>
                </c:pt>
                <c:pt idx="706">
                  <c:v>2673938.8199999998</c:v>
                </c:pt>
                <c:pt idx="707">
                  <c:v>14508.15</c:v>
                </c:pt>
                <c:pt idx="708">
                  <c:v>1550826</c:v>
                </c:pt>
                <c:pt idx="709">
                  <c:v>53022.39</c:v>
                </c:pt>
                <c:pt idx="710">
                  <c:v>151697.65000000002</c:v>
                </c:pt>
                <c:pt idx="711">
                  <c:v>1462270.74</c:v>
                </c:pt>
                <c:pt idx="712">
                  <c:v>3530797.4099999997</c:v>
                </c:pt>
                <c:pt idx="713">
                  <c:v>280081.08</c:v>
                </c:pt>
                <c:pt idx="714">
                  <c:v>2006508.8399999999</c:v>
                </c:pt>
                <c:pt idx="715">
                  <c:v>39313.120000000003</c:v>
                </c:pt>
                <c:pt idx="716">
                  <c:v>1235561.2</c:v>
                </c:pt>
                <c:pt idx="717">
                  <c:v>59775.28</c:v>
                </c:pt>
                <c:pt idx="718">
                  <c:v>974583.56</c:v>
                </c:pt>
                <c:pt idx="719">
                  <c:v>1769856.24</c:v>
                </c:pt>
                <c:pt idx="720">
                  <c:v>143020.71</c:v>
                </c:pt>
                <c:pt idx="721">
                  <c:v>4365711.84</c:v>
                </c:pt>
                <c:pt idx="722">
                  <c:v>2152497.67</c:v>
                </c:pt>
                <c:pt idx="723">
                  <c:v>996087.2</c:v>
                </c:pt>
                <c:pt idx="724">
                  <c:v>98444.34</c:v>
                </c:pt>
                <c:pt idx="725">
                  <c:v>927533.82000000007</c:v>
                </c:pt>
                <c:pt idx="726">
                  <c:v>82397.119999999995</c:v>
                </c:pt>
                <c:pt idx="727">
                  <c:v>309968.72000000003</c:v>
                </c:pt>
                <c:pt idx="728">
                  <c:v>1080344.96</c:v>
                </c:pt>
                <c:pt idx="729">
                  <c:v>418105.28</c:v>
                </c:pt>
                <c:pt idx="730">
                  <c:v>646328.88</c:v>
                </c:pt>
                <c:pt idx="731">
                  <c:v>409219.2</c:v>
                </c:pt>
                <c:pt idx="732">
                  <c:v>702779.68</c:v>
                </c:pt>
                <c:pt idx="733">
                  <c:v>3423410.97</c:v>
                </c:pt>
                <c:pt idx="734">
                  <c:v>1847391.7</c:v>
                </c:pt>
                <c:pt idx="735">
                  <c:v>185026.06</c:v>
                </c:pt>
                <c:pt idx="736">
                  <c:v>388926.42000000004</c:v>
                </c:pt>
                <c:pt idx="737">
                  <c:v>1169198.8</c:v>
                </c:pt>
                <c:pt idx="738">
                  <c:v>32784</c:v>
                </c:pt>
                <c:pt idx="739">
                  <c:v>2072618.32</c:v>
                </c:pt>
                <c:pt idx="740">
                  <c:v>5143256.58</c:v>
                </c:pt>
                <c:pt idx="741">
                  <c:v>107472.88</c:v>
                </c:pt>
                <c:pt idx="742">
                  <c:v>895011.68</c:v>
                </c:pt>
                <c:pt idx="743">
                  <c:v>572273.46000000008</c:v>
                </c:pt>
                <c:pt idx="744">
                  <c:v>5205823.3</c:v>
                </c:pt>
                <c:pt idx="745">
                  <c:v>44588.07</c:v>
                </c:pt>
                <c:pt idx="746">
                  <c:v>1710326.4</c:v>
                </c:pt>
                <c:pt idx="747">
                  <c:v>650834.79999999993</c:v>
                </c:pt>
                <c:pt idx="748">
                  <c:v>357678.10000000003</c:v>
                </c:pt>
                <c:pt idx="749">
                  <c:v>1779841.2</c:v>
                </c:pt>
                <c:pt idx="750">
                  <c:v>1052229.8</c:v>
                </c:pt>
                <c:pt idx="751">
                  <c:v>90866.75</c:v>
                </c:pt>
                <c:pt idx="752">
                  <c:v>378063.24</c:v>
                </c:pt>
                <c:pt idx="753">
                  <c:v>550813.80000000005</c:v>
                </c:pt>
                <c:pt idx="754">
                  <c:v>1155488.3400000001</c:v>
                </c:pt>
                <c:pt idx="755">
                  <c:v>3746366.8</c:v>
                </c:pt>
                <c:pt idx="756">
                  <c:v>3432894.4</c:v>
                </c:pt>
                <c:pt idx="757">
                  <c:v>5818626.8899999997</c:v>
                </c:pt>
                <c:pt idx="758">
                  <c:v>158893.12</c:v>
                </c:pt>
                <c:pt idx="759">
                  <c:v>1735902.2999999998</c:v>
                </c:pt>
                <c:pt idx="760">
                  <c:v>739084.39</c:v>
                </c:pt>
                <c:pt idx="761">
                  <c:v>511102.56</c:v>
                </c:pt>
                <c:pt idx="762">
                  <c:v>2463527.4300000002</c:v>
                </c:pt>
                <c:pt idx="763">
                  <c:v>324368.2</c:v>
                </c:pt>
                <c:pt idx="764">
                  <c:v>204457.2</c:v>
                </c:pt>
                <c:pt idx="765">
                  <c:v>4447764.3</c:v>
                </c:pt>
                <c:pt idx="766">
                  <c:v>2521145.2799999998</c:v>
                </c:pt>
                <c:pt idx="767">
                  <c:v>1384510.9200000002</c:v>
                </c:pt>
                <c:pt idx="768">
                  <c:v>11313.5</c:v>
                </c:pt>
                <c:pt idx="769">
                  <c:v>320769.59999999998</c:v>
                </c:pt>
                <c:pt idx="770">
                  <c:v>550989.76</c:v>
                </c:pt>
                <c:pt idx="771">
                  <c:v>95444.799999999988</c:v>
                </c:pt>
                <c:pt idx="772">
                  <c:v>334803.27</c:v>
                </c:pt>
                <c:pt idx="773">
                  <c:v>239963.2</c:v>
                </c:pt>
                <c:pt idx="774">
                  <c:v>218080.2</c:v>
                </c:pt>
                <c:pt idx="775">
                  <c:v>299884</c:v>
                </c:pt>
                <c:pt idx="776">
                  <c:v>5340145.57</c:v>
                </c:pt>
                <c:pt idx="777">
                  <c:v>2292259.2000000002</c:v>
                </c:pt>
                <c:pt idx="778">
                  <c:v>2572839.5</c:v>
                </c:pt>
                <c:pt idx="779">
                  <c:v>824373.05999999994</c:v>
                </c:pt>
                <c:pt idx="780">
                  <c:v>5103532.7700000005</c:v>
                </c:pt>
                <c:pt idx="781">
                  <c:v>1545502</c:v>
                </c:pt>
                <c:pt idx="782">
                  <c:v>3548315.1999999997</c:v>
                </c:pt>
                <c:pt idx="783">
                  <c:v>550864.6</c:v>
                </c:pt>
                <c:pt idx="784">
                  <c:v>1366003.28</c:v>
                </c:pt>
                <c:pt idx="785">
                  <c:v>514653.81</c:v>
                </c:pt>
                <c:pt idx="786">
                  <c:v>295820.96000000002</c:v>
                </c:pt>
                <c:pt idx="787">
                  <c:v>180547.25</c:v>
                </c:pt>
                <c:pt idx="788">
                  <c:v>891982.68</c:v>
                </c:pt>
                <c:pt idx="789">
                  <c:v>1085911.8600000001</c:v>
                </c:pt>
                <c:pt idx="790">
                  <c:v>1237825.26</c:v>
                </c:pt>
                <c:pt idx="791">
                  <c:v>133087.9</c:v>
                </c:pt>
                <c:pt idx="792">
                  <c:v>219930.75</c:v>
                </c:pt>
                <c:pt idx="793">
                  <c:v>269261.3</c:v>
                </c:pt>
                <c:pt idx="794">
                  <c:v>627408.96000000008</c:v>
                </c:pt>
                <c:pt idx="795">
                  <c:v>404131.65</c:v>
                </c:pt>
                <c:pt idx="796">
                  <c:v>4697938.0999999996</c:v>
                </c:pt>
                <c:pt idx="797">
                  <c:v>342040.05</c:v>
                </c:pt>
                <c:pt idx="798">
                  <c:v>169602.56</c:v>
                </c:pt>
                <c:pt idx="799">
                  <c:v>1823040.56</c:v>
                </c:pt>
                <c:pt idx="800">
                  <c:v>3647559.6</c:v>
                </c:pt>
                <c:pt idx="801">
                  <c:v>86470.340000000011</c:v>
                </c:pt>
                <c:pt idx="802">
                  <c:v>46259.18</c:v>
                </c:pt>
                <c:pt idx="803">
                  <c:v>3624456.9899999998</c:v>
                </c:pt>
                <c:pt idx="804">
                  <c:v>2597565.4899999998</c:v>
                </c:pt>
                <c:pt idx="805">
                  <c:v>67549.2</c:v>
                </c:pt>
                <c:pt idx="806">
                  <c:v>528629.64</c:v>
                </c:pt>
                <c:pt idx="807">
                  <c:v>115974.87000000001</c:v>
                </c:pt>
                <c:pt idx="808">
                  <c:v>5843958.54</c:v>
                </c:pt>
                <c:pt idx="809">
                  <c:v>1227200.9400000002</c:v>
                </c:pt>
                <c:pt idx="810">
                  <c:v>216799.05000000002</c:v>
                </c:pt>
                <c:pt idx="811">
                  <c:v>60887.58</c:v>
                </c:pt>
                <c:pt idx="812">
                  <c:v>728786.41</c:v>
                </c:pt>
                <c:pt idx="813">
                  <c:v>717671.13</c:v>
                </c:pt>
                <c:pt idx="814">
                  <c:v>19998.240000000002</c:v>
                </c:pt>
                <c:pt idx="815">
                  <c:v>753714.06</c:v>
                </c:pt>
                <c:pt idx="816">
                  <c:v>3809244.81</c:v>
                </c:pt>
                <c:pt idx="817">
                  <c:v>3184306.55</c:v>
                </c:pt>
                <c:pt idx="818">
                  <c:v>5614081.4100000001</c:v>
                </c:pt>
                <c:pt idx="819">
                  <c:v>228803.90000000002</c:v>
                </c:pt>
                <c:pt idx="820">
                  <c:v>43123.26</c:v>
                </c:pt>
                <c:pt idx="821">
                  <c:v>12203.64</c:v>
                </c:pt>
                <c:pt idx="822">
                  <c:v>1069022.8999999999</c:v>
                </c:pt>
                <c:pt idx="823">
                  <c:v>5624500.7700000005</c:v>
                </c:pt>
                <c:pt idx="824">
                  <c:v>207345.59999999998</c:v>
                </c:pt>
                <c:pt idx="825">
                  <c:v>2487969.21</c:v>
                </c:pt>
                <c:pt idx="826">
                  <c:v>1333072.1599999999</c:v>
                </c:pt>
                <c:pt idx="827">
                  <c:v>921124.74</c:v>
                </c:pt>
                <c:pt idx="828">
                  <c:v>32664.33</c:v>
                </c:pt>
                <c:pt idx="829">
                  <c:v>1505929.7</c:v>
                </c:pt>
                <c:pt idx="830">
                  <c:v>37403.97</c:v>
                </c:pt>
                <c:pt idx="831">
                  <c:v>330030.54000000004</c:v>
                </c:pt>
                <c:pt idx="832">
                  <c:v>1891880.08</c:v>
                </c:pt>
                <c:pt idx="833">
                  <c:v>810529.76</c:v>
                </c:pt>
                <c:pt idx="834">
                  <c:v>64106.43</c:v>
                </c:pt>
                <c:pt idx="835">
                  <c:v>1092125.5999999999</c:v>
                </c:pt>
                <c:pt idx="836">
                  <c:v>3397480.17</c:v>
                </c:pt>
                <c:pt idx="837">
                  <c:v>1422198.1800000002</c:v>
                </c:pt>
                <c:pt idx="838">
                  <c:v>1876189.7</c:v>
                </c:pt>
                <c:pt idx="839">
                  <c:v>187979</c:v>
                </c:pt>
                <c:pt idx="840">
                  <c:v>188396.64</c:v>
                </c:pt>
                <c:pt idx="841">
                  <c:v>682200.31</c:v>
                </c:pt>
                <c:pt idx="842">
                  <c:v>1549549.6</c:v>
                </c:pt>
                <c:pt idx="843">
                  <c:v>64181.07</c:v>
                </c:pt>
                <c:pt idx="844">
                  <c:v>520582.32999999996</c:v>
                </c:pt>
                <c:pt idx="845">
                  <c:v>91499.31</c:v>
                </c:pt>
                <c:pt idx="846">
                  <c:v>1325153.2</c:v>
                </c:pt>
                <c:pt idx="847">
                  <c:v>238484.88</c:v>
                </c:pt>
                <c:pt idx="848">
                  <c:v>381277.92</c:v>
                </c:pt>
                <c:pt idx="849">
                  <c:v>2301093.92</c:v>
                </c:pt>
                <c:pt idx="850">
                  <c:v>1357323.76</c:v>
                </c:pt>
                <c:pt idx="851">
                  <c:v>15114.6</c:v>
                </c:pt>
                <c:pt idx="852">
                  <c:v>2721406.5900000003</c:v>
                </c:pt>
                <c:pt idx="853">
                  <c:v>326758.40000000002</c:v>
                </c:pt>
                <c:pt idx="854">
                  <c:v>3476373.6</c:v>
                </c:pt>
                <c:pt idx="855">
                  <c:v>614714.24</c:v>
                </c:pt>
                <c:pt idx="856">
                  <c:v>2083850.64</c:v>
                </c:pt>
                <c:pt idx="857">
                  <c:v>156676.41</c:v>
                </c:pt>
                <c:pt idx="858">
                  <c:v>337511.85000000003</c:v>
                </c:pt>
                <c:pt idx="859">
                  <c:v>437631.35000000003</c:v>
                </c:pt>
                <c:pt idx="860">
                  <c:v>503207.31</c:v>
                </c:pt>
                <c:pt idx="861">
                  <c:v>296040.55000000005</c:v>
                </c:pt>
                <c:pt idx="862">
                  <c:v>592379.04</c:v>
                </c:pt>
                <c:pt idx="863">
                  <c:v>68846.070000000007</c:v>
                </c:pt>
                <c:pt idx="864">
                  <c:v>4852308.47</c:v>
                </c:pt>
                <c:pt idx="865">
                  <c:v>89166.81</c:v>
                </c:pt>
                <c:pt idx="866">
                  <c:v>2645012.66</c:v>
                </c:pt>
                <c:pt idx="867">
                  <c:v>449865.89999999997</c:v>
                </c:pt>
                <c:pt idx="868">
                  <c:v>617305.69999999995</c:v>
                </c:pt>
                <c:pt idx="869">
                  <c:v>785067.52000000002</c:v>
                </c:pt>
                <c:pt idx="870">
                  <c:v>393623.3</c:v>
                </c:pt>
                <c:pt idx="871">
                  <c:v>1367269.3800000001</c:v>
                </c:pt>
                <c:pt idx="872">
                  <c:v>505778.98</c:v>
                </c:pt>
                <c:pt idx="873">
                  <c:v>2962440.91</c:v>
                </c:pt>
                <c:pt idx="874">
                  <c:v>1274195.58</c:v>
                </c:pt>
                <c:pt idx="875">
                  <c:v>1271154.57</c:v>
                </c:pt>
                <c:pt idx="876">
                  <c:v>2228440.62</c:v>
                </c:pt>
                <c:pt idx="877">
                  <c:v>2892078</c:v>
                </c:pt>
                <c:pt idx="878">
                  <c:v>4337058.6000000006</c:v>
                </c:pt>
                <c:pt idx="879">
                  <c:v>6287432.5500000007</c:v>
                </c:pt>
                <c:pt idx="880">
                  <c:v>953905.12</c:v>
                </c:pt>
                <c:pt idx="881">
                  <c:v>739247.85000000009</c:v>
                </c:pt>
                <c:pt idx="882">
                  <c:v>26068.02</c:v>
                </c:pt>
                <c:pt idx="883">
                  <c:v>640836</c:v>
                </c:pt>
                <c:pt idx="884">
                  <c:v>1905677.13</c:v>
                </c:pt>
                <c:pt idx="885">
                  <c:v>1446688.0999999999</c:v>
                </c:pt>
                <c:pt idx="886">
                  <c:v>1379977.55</c:v>
                </c:pt>
                <c:pt idx="887">
                  <c:v>93002</c:v>
                </c:pt>
                <c:pt idx="888">
                  <c:v>666498.72</c:v>
                </c:pt>
                <c:pt idx="889">
                  <c:v>899153.94000000006</c:v>
                </c:pt>
                <c:pt idx="890">
                  <c:v>6539021.9500000002</c:v>
                </c:pt>
                <c:pt idx="891">
                  <c:v>391367.60000000003</c:v>
                </c:pt>
                <c:pt idx="892">
                  <c:v>416943.15</c:v>
                </c:pt>
                <c:pt idx="893">
                  <c:v>192740.9</c:v>
                </c:pt>
                <c:pt idx="894">
                  <c:v>847366.36</c:v>
                </c:pt>
                <c:pt idx="895">
                  <c:v>2138225.2799999998</c:v>
                </c:pt>
                <c:pt idx="896">
                  <c:v>1623590.0999999999</c:v>
                </c:pt>
                <c:pt idx="897">
                  <c:v>1908983.84</c:v>
                </c:pt>
                <c:pt idx="898">
                  <c:v>278458.5</c:v>
                </c:pt>
                <c:pt idx="899">
                  <c:v>4986314.9700000007</c:v>
                </c:pt>
                <c:pt idx="900">
                  <c:v>3683099.6999999997</c:v>
                </c:pt>
                <c:pt idx="901">
                  <c:v>39288.600000000006</c:v>
                </c:pt>
                <c:pt idx="902">
                  <c:v>4408691.7</c:v>
                </c:pt>
                <c:pt idx="903">
                  <c:v>216300.24</c:v>
                </c:pt>
                <c:pt idx="904">
                  <c:v>4304498.1000000006</c:v>
                </c:pt>
                <c:pt idx="905">
                  <c:v>1608008.72</c:v>
                </c:pt>
                <c:pt idx="906">
                  <c:v>596552.46</c:v>
                </c:pt>
                <c:pt idx="907">
                  <c:v>1013689.6</c:v>
                </c:pt>
                <c:pt idx="908">
                  <c:v>1408222.2</c:v>
                </c:pt>
                <c:pt idx="909">
                  <c:v>3883497.4499999997</c:v>
                </c:pt>
                <c:pt idx="910">
                  <c:v>697445.91</c:v>
                </c:pt>
                <c:pt idx="911">
                  <c:v>540590.94000000006</c:v>
                </c:pt>
                <c:pt idx="912">
                  <c:v>388299.23000000004</c:v>
                </c:pt>
                <c:pt idx="913">
                  <c:v>2049119.73</c:v>
                </c:pt>
                <c:pt idx="914">
                  <c:v>685072.92</c:v>
                </c:pt>
                <c:pt idx="915">
                  <c:v>279756.79999999999</c:v>
                </c:pt>
                <c:pt idx="916">
                  <c:v>868436.22</c:v>
                </c:pt>
                <c:pt idx="917">
                  <c:v>5579567.2800000003</c:v>
                </c:pt>
                <c:pt idx="918">
                  <c:v>545139.1</c:v>
                </c:pt>
                <c:pt idx="919">
                  <c:v>1500170.0999999999</c:v>
                </c:pt>
                <c:pt idx="920">
                  <c:v>741952.96</c:v>
                </c:pt>
                <c:pt idx="921">
                  <c:v>870593.06</c:v>
                </c:pt>
                <c:pt idx="922">
                  <c:v>30219.87</c:v>
                </c:pt>
                <c:pt idx="923">
                  <c:v>628207.79999999993</c:v>
                </c:pt>
                <c:pt idx="924">
                  <c:v>360667.45</c:v>
                </c:pt>
                <c:pt idx="925">
                  <c:v>597818.13</c:v>
                </c:pt>
                <c:pt idx="926">
                  <c:v>496019.37</c:v>
                </c:pt>
                <c:pt idx="927">
                  <c:v>1315968.3999999999</c:v>
                </c:pt>
                <c:pt idx="928">
                  <c:v>1433528.3</c:v>
                </c:pt>
                <c:pt idx="929">
                  <c:v>242931.69999999998</c:v>
                </c:pt>
                <c:pt idx="930">
                  <c:v>72322.920000000013</c:v>
                </c:pt>
                <c:pt idx="931">
                  <c:v>422732.05000000005</c:v>
                </c:pt>
                <c:pt idx="932">
                  <c:v>572627.19999999995</c:v>
                </c:pt>
                <c:pt idx="933">
                  <c:v>164756.13</c:v>
                </c:pt>
                <c:pt idx="934">
                  <c:v>16476.78</c:v>
                </c:pt>
                <c:pt idx="935">
                  <c:v>4209361.5999999996</c:v>
                </c:pt>
                <c:pt idx="936">
                  <c:v>467568.78</c:v>
                </c:pt>
                <c:pt idx="937">
                  <c:v>2637661.69</c:v>
                </c:pt>
                <c:pt idx="938">
                  <c:v>1342262.24</c:v>
                </c:pt>
                <c:pt idx="939">
                  <c:v>670110</c:v>
                </c:pt>
                <c:pt idx="940">
                  <c:v>443828.27999999997</c:v>
                </c:pt>
                <c:pt idx="941">
                  <c:v>1933746</c:v>
                </c:pt>
                <c:pt idx="942">
                  <c:v>58433.79</c:v>
                </c:pt>
                <c:pt idx="943">
                  <c:v>1355110.68</c:v>
                </c:pt>
                <c:pt idx="944">
                  <c:v>14498.82</c:v>
                </c:pt>
                <c:pt idx="945">
                  <c:v>704856</c:v>
                </c:pt>
                <c:pt idx="946">
                  <c:v>14019.460000000001</c:v>
                </c:pt>
                <c:pt idx="947">
                  <c:v>318009.90000000002</c:v>
                </c:pt>
                <c:pt idx="948">
                  <c:v>357678.10000000003</c:v>
                </c:pt>
                <c:pt idx="949">
                  <c:v>1502067.52</c:v>
                </c:pt>
                <c:pt idx="950">
                  <c:v>317055.48</c:v>
                </c:pt>
                <c:pt idx="951">
                  <c:v>687185.84000000008</c:v>
                </c:pt>
                <c:pt idx="952">
                  <c:v>2883585.05</c:v>
                </c:pt>
                <c:pt idx="953">
                  <c:v>244577.3</c:v>
                </c:pt>
                <c:pt idx="954">
                  <c:v>610768.29</c:v>
                </c:pt>
                <c:pt idx="955">
                  <c:v>2433171.0699999998</c:v>
                </c:pt>
                <c:pt idx="956">
                  <c:v>786597.44000000006</c:v>
                </c:pt>
                <c:pt idx="957">
                  <c:v>3356821.6</c:v>
                </c:pt>
                <c:pt idx="958">
                  <c:v>254353.06</c:v>
                </c:pt>
                <c:pt idx="959">
                  <c:v>1188572.8999999999</c:v>
                </c:pt>
                <c:pt idx="960">
                  <c:v>976163.79</c:v>
                </c:pt>
                <c:pt idx="961">
                  <c:v>280134.95999999996</c:v>
                </c:pt>
                <c:pt idx="962">
                  <c:v>6618546.0800000001</c:v>
                </c:pt>
                <c:pt idx="963">
                  <c:v>906477.78</c:v>
                </c:pt>
                <c:pt idx="964">
                  <c:v>276587.68</c:v>
                </c:pt>
                <c:pt idx="965">
                  <c:v>2387112</c:v>
                </c:pt>
                <c:pt idx="966">
                  <c:v>357962.80000000005</c:v>
                </c:pt>
                <c:pt idx="967">
                  <c:v>559699.98</c:v>
                </c:pt>
                <c:pt idx="968">
                  <c:v>2451380.4</c:v>
                </c:pt>
                <c:pt idx="969">
                  <c:v>602840.48</c:v>
                </c:pt>
                <c:pt idx="970">
                  <c:v>92217.72</c:v>
                </c:pt>
                <c:pt idx="971">
                  <c:v>2668231.6</c:v>
                </c:pt>
                <c:pt idx="972">
                  <c:v>4035682.53</c:v>
                </c:pt>
                <c:pt idx="973">
                  <c:v>81946.150000000009</c:v>
                </c:pt>
                <c:pt idx="974">
                  <c:v>341168.88</c:v>
                </c:pt>
                <c:pt idx="975">
                  <c:v>5641432.2300000004</c:v>
                </c:pt>
                <c:pt idx="976">
                  <c:v>6107319.5300000003</c:v>
                </c:pt>
                <c:pt idx="977">
                  <c:v>35677.919999999998</c:v>
                </c:pt>
                <c:pt idx="978">
                  <c:v>2530335.36</c:v>
                </c:pt>
                <c:pt idx="979">
                  <c:v>2795443.14</c:v>
                </c:pt>
                <c:pt idx="980">
                  <c:v>33893.199999999997</c:v>
                </c:pt>
                <c:pt idx="981">
                  <c:v>426148.45</c:v>
                </c:pt>
                <c:pt idx="982">
                  <c:v>390323.7</c:v>
                </c:pt>
                <c:pt idx="983">
                  <c:v>3454017.8400000003</c:v>
                </c:pt>
                <c:pt idx="984">
                  <c:v>700952.52</c:v>
                </c:pt>
                <c:pt idx="985">
                  <c:v>1096934.8</c:v>
                </c:pt>
                <c:pt idx="986">
                  <c:v>271997.92</c:v>
                </c:pt>
                <c:pt idx="987">
                  <c:v>4218.8999999999996</c:v>
                </c:pt>
                <c:pt idx="988">
                  <c:v>1167004.5</c:v>
                </c:pt>
                <c:pt idx="989">
                  <c:v>4250021.2</c:v>
                </c:pt>
                <c:pt idx="990">
                  <c:v>1222928.7000000002</c:v>
                </c:pt>
                <c:pt idx="991">
                  <c:v>287357.2</c:v>
                </c:pt>
                <c:pt idx="992">
                  <c:v>41742.42</c:v>
                </c:pt>
                <c:pt idx="993">
                  <c:v>2592596</c:v>
                </c:pt>
                <c:pt idx="994">
                  <c:v>1072.95</c:v>
                </c:pt>
                <c:pt idx="995">
                  <c:v>415424.75</c:v>
                </c:pt>
                <c:pt idx="996">
                  <c:v>49364.920000000006</c:v>
                </c:pt>
                <c:pt idx="997">
                  <c:v>60150.51</c:v>
                </c:pt>
                <c:pt idx="998">
                  <c:v>632108.18000000005</c:v>
                </c:pt>
                <c:pt idx="999">
                  <c:v>373737.6</c:v>
                </c:pt>
              </c:numCache>
            </c:numRef>
          </c:val>
          <c:smooth val="0"/>
          <c:extLst>
            <c:ext xmlns:c16="http://schemas.microsoft.com/office/drawing/2014/chart" uri="{C3380CC4-5D6E-409C-BE32-E72D297353CC}">
              <c16:uniqueId val="{00000000-C15B-4A71-A86F-119068FB3A6B}"/>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val>
            <c:numRef>
              <c:f>'Medias Moviles'!$D$3:$D$1001</c:f>
              <c:numCache>
                <c:formatCode>_-* #,##0.00\ [$€-C0A]_-;\-* #,##0.00\ [$€-C0A]_-;_-* "-"??\ [$€-C0A]_-;_-@_-</c:formatCode>
                <c:ptCount val="999"/>
                <c:pt idx="0">
                  <c:v>631563.03</c:v>
                </c:pt>
                <c:pt idx="1">
                  <c:v>913687.58</c:v>
                </c:pt>
                <c:pt idx="2">
                  <c:v>749753.24</c:v>
                </c:pt>
                <c:pt idx="3">
                  <c:v>509461.11</c:v>
                </c:pt>
                <c:pt idx="4">
                  <c:v>561225.87</c:v>
                </c:pt>
                <c:pt idx="5">
                  <c:v>406941.99000000005</c:v>
                </c:pt>
                <c:pt idx="6">
                  <c:v>2127965.64</c:v>
                </c:pt>
                <c:pt idx="7">
                  <c:v>2177287.2349999999</c:v>
                </c:pt>
                <c:pt idx="8">
                  <c:v>3402183.77</c:v>
                </c:pt>
                <c:pt idx="9">
                  <c:v>3254597.5350000001</c:v>
                </c:pt>
                <c:pt idx="10">
                  <c:v>715368.21000000008</c:v>
                </c:pt>
                <c:pt idx="11">
                  <c:v>653217.33500000008</c:v>
                </c:pt>
                <c:pt idx="12">
                  <c:v>304463.26500000001</c:v>
                </c:pt>
                <c:pt idx="13">
                  <c:v>168919.06</c:v>
                </c:pt>
                <c:pt idx="14">
                  <c:v>421673.00500000006</c:v>
                </c:pt>
                <c:pt idx="15">
                  <c:v>725389.08499999996</c:v>
                </c:pt>
                <c:pt idx="16">
                  <c:v>884481.04</c:v>
                </c:pt>
                <c:pt idx="17">
                  <c:v>2239274.1150000002</c:v>
                </c:pt>
                <c:pt idx="18">
                  <c:v>2900163.7350000003</c:v>
                </c:pt>
                <c:pt idx="19">
                  <c:v>1620567.79</c:v>
                </c:pt>
                <c:pt idx="20">
                  <c:v>591748.93000000005</c:v>
                </c:pt>
                <c:pt idx="21">
                  <c:v>429682.70999999996</c:v>
                </c:pt>
                <c:pt idx="22">
                  <c:v>408992.31</c:v>
                </c:pt>
                <c:pt idx="23">
                  <c:v>644473.21</c:v>
                </c:pt>
                <c:pt idx="24">
                  <c:v>782953.67500000005</c:v>
                </c:pt>
                <c:pt idx="25">
                  <c:v>418346.54500000004</c:v>
                </c:pt>
                <c:pt idx="26">
                  <c:v>308661.36</c:v>
                </c:pt>
                <c:pt idx="27">
                  <c:v>2245023.31</c:v>
                </c:pt>
                <c:pt idx="28">
                  <c:v>2757405.03</c:v>
                </c:pt>
                <c:pt idx="29">
                  <c:v>1255054.24</c:v>
                </c:pt>
                <c:pt idx="30">
                  <c:v>562297.93500000006</c:v>
                </c:pt>
                <c:pt idx="31">
                  <c:v>303954.375</c:v>
                </c:pt>
                <c:pt idx="32">
                  <c:v>290025.51</c:v>
                </c:pt>
                <c:pt idx="33">
                  <c:v>210906.79</c:v>
                </c:pt>
                <c:pt idx="34">
                  <c:v>2134850.0949999997</c:v>
                </c:pt>
                <c:pt idx="35">
                  <c:v>2133266.2349999999</c:v>
                </c:pt>
                <c:pt idx="36">
                  <c:v>366889.30000000005</c:v>
                </c:pt>
                <c:pt idx="37">
                  <c:v>723575.31</c:v>
                </c:pt>
                <c:pt idx="38">
                  <c:v>2112586.4900000002</c:v>
                </c:pt>
                <c:pt idx="39">
                  <c:v>1564458.4949999999</c:v>
                </c:pt>
                <c:pt idx="40">
                  <c:v>284473.11499999999</c:v>
                </c:pt>
                <c:pt idx="41">
                  <c:v>293448.57500000001</c:v>
                </c:pt>
                <c:pt idx="42">
                  <c:v>804911.92500000005</c:v>
                </c:pt>
                <c:pt idx="43">
                  <c:v>1676861.5</c:v>
                </c:pt>
                <c:pt idx="44">
                  <c:v>1233525.095</c:v>
                </c:pt>
                <c:pt idx="45">
                  <c:v>686924.94500000007</c:v>
                </c:pt>
                <c:pt idx="46">
                  <c:v>523692.875</c:v>
                </c:pt>
                <c:pt idx="47">
                  <c:v>1530269.83</c:v>
                </c:pt>
                <c:pt idx="48">
                  <c:v>1736512.7150000001</c:v>
                </c:pt>
                <c:pt idx="49">
                  <c:v>627346.71</c:v>
                </c:pt>
                <c:pt idx="50">
                  <c:v>701636.32</c:v>
                </c:pt>
                <c:pt idx="51">
                  <c:v>693608.47</c:v>
                </c:pt>
                <c:pt idx="52">
                  <c:v>1568557.885</c:v>
                </c:pt>
                <c:pt idx="53">
                  <c:v>1843216.5149999999</c:v>
                </c:pt>
                <c:pt idx="54">
                  <c:v>562632.67999999993</c:v>
                </c:pt>
                <c:pt idx="55">
                  <c:v>342326.88</c:v>
                </c:pt>
                <c:pt idx="56">
                  <c:v>429235.53</c:v>
                </c:pt>
                <c:pt idx="57">
                  <c:v>376602.07999999996</c:v>
                </c:pt>
                <c:pt idx="58">
                  <c:v>550392.43999999994</c:v>
                </c:pt>
                <c:pt idx="59">
                  <c:v>1155082.1600000001</c:v>
                </c:pt>
                <c:pt idx="60">
                  <c:v>1148635.7350000001</c:v>
                </c:pt>
                <c:pt idx="61">
                  <c:v>532994.89500000002</c:v>
                </c:pt>
                <c:pt idx="62">
                  <c:v>274278.58</c:v>
                </c:pt>
                <c:pt idx="63">
                  <c:v>1191235.79</c:v>
                </c:pt>
                <c:pt idx="64">
                  <c:v>1169349.7</c:v>
                </c:pt>
                <c:pt idx="65">
                  <c:v>38676.639999999999</c:v>
                </c:pt>
                <c:pt idx="66">
                  <c:v>559434.30999999994</c:v>
                </c:pt>
                <c:pt idx="67">
                  <c:v>704504.26</c:v>
                </c:pt>
                <c:pt idx="68">
                  <c:v>354503.875</c:v>
                </c:pt>
                <c:pt idx="69">
                  <c:v>564823.01500000001</c:v>
                </c:pt>
                <c:pt idx="70">
                  <c:v>1794869.91</c:v>
                </c:pt>
                <c:pt idx="71">
                  <c:v>2778897.4849999999</c:v>
                </c:pt>
                <c:pt idx="72">
                  <c:v>3517981.145</c:v>
                </c:pt>
                <c:pt idx="73">
                  <c:v>2199608.2949999999</c:v>
                </c:pt>
                <c:pt idx="74">
                  <c:v>337182.51500000001</c:v>
                </c:pt>
                <c:pt idx="75">
                  <c:v>351540.16499999998</c:v>
                </c:pt>
                <c:pt idx="76">
                  <c:v>213572.17499999999</c:v>
                </c:pt>
                <c:pt idx="77">
                  <c:v>203857.55</c:v>
                </c:pt>
                <c:pt idx="78">
                  <c:v>86699.085000000006</c:v>
                </c:pt>
                <c:pt idx="79">
                  <c:v>753543.55</c:v>
                </c:pt>
                <c:pt idx="80">
                  <c:v>1036636.9350000001</c:v>
                </c:pt>
                <c:pt idx="81">
                  <c:v>418402.14500000002</c:v>
                </c:pt>
                <c:pt idx="82">
                  <c:v>941905.44</c:v>
                </c:pt>
                <c:pt idx="83">
                  <c:v>917655.61499999999</c:v>
                </c:pt>
                <c:pt idx="84">
                  <c:v>1711418.4</c:v>
                </c:pt>
                <c:pt idx="85">
                  <c:v>1689567.76</c:v>
                </c:pt>
                <c:pt idx="86">
                  <c:v>2485804.0150000001</c:v>
                </c:pt>
                <c:pt idx="87">
                  <c:v>2905726.2550000004</c:v>
                </c:pt>
                <c:pt idx="88">
                  <c:v>519891.01</c:v>
                </c:pt>
                <c:pt idx="89">
                  <c:v>2523190.665</c:v>
                </c:pt>
                <c:pt idx="90">
                  <c:v>3934142.4899999998</c:v>
                </c:pt>
                <c:pt idx="91">
                  <c:v>2233302.645</c:v>
                </c:pt>
                <c:pt idx="92">
                  <c:v>792656.4</c:v>
                </c:pt>
                <c:pt idx="93">
                  <c:v>158666.71500000003</c:v>
                </c:pt>
                <c:pt idx="94">
                  <c:v>307476</c:v>
                </c:pt>
                <c:pt idx="95">
                  <c:v>1013283.915</c:v>
                </c:pt>
                <c:pt idx="96">
                  <c:v>2104602.875</c:v>
                </c:pt>
                <c:pt idx="97">
                  <c:v>1665396.85</c:v>
                </c:pt>
                <c:pt idx="98">
                  <c:v>791401.92500000005</c:v>
                </c:pt>
                <c:pt idx="99">
                  <c:v>1419098.6099999999</c:v>
                </c:pt>
                <c:pt idx="100">
                  <c:v>1332494.8199999998</c:v>
                </c:pt>
                <c:pt idx="101">
                  <c:v>755866.68</c:v>
                </c:pt>
                <c:pt idx="102">
                  <c:v>2013177.2749999999</c:v>
                </c:pt>
                <c:pt idx="103">
                  <c:v>1758994.94</c:v>
                </c:pt>
                <c:pt idx="104">
                  <c:v>494366.495</c:v>
                </c:pt>
                <c:pt idx="105">
                  <c:v>1485271.1500000001</c:v>
                </c:pt>
                <c:pt idx="106">
                  <c:v>1475366.9450000001</c:v>
                </c:pt>
                <c:pt idx="107">
                  <c:v>2175411.2250000001</c:v>
                </c:pt>
                <c:pt idx="108">
                  <c:v>3005860.88</c:v>
                </c:pt>
                <c:pt idx="109">
                  <c:v>2262143.92</c:v>
                </c:pt>
                <c:pt idx="110">
                  <c:v>1283821.8199999998</c:v>
                </c:pt>
                <c:pt idx="111">
                  <c:v>501617.45500000002</c:v>
                </c:pt>
                <c:pt idx="112">
                  <c:v>1180438.4650000001</c:v>
                </c:pt>
                <c:pt idx="113">
                  <c:v>3827716.8499999996</c:v>
                </c:pt>
                <c:pt idx="114">
                  <c:v>4008385.0999999996</c:v>
                </c:pt>
                <c:pt idx="115">
                  <c:v>1058545.28</c:v>
                </c:pt>
                <c:pt idx="116">
                  <c:v>518866.7</c:v>
                </c:pt>
                <c:pt idx="117">
                  <c:v>711909.93500000006</c:v>
                </c:pt>
                <c:pt idx="118">
                  <c:v>279936.08</c:v>
                </c:pt>
                <c:pt idx="119">
                  <c:v>135075.13500000001</c:v>
                </c:pt>
                <c:pt idx="120">
                  <c:v>240805.565</c:v>
                </c:pt>
                <c:pt idx="121">
                  <c:v>150556.41500000001</c:v>
                </c:pt>
                <c:pt idx="122">
                  <c:v>39899.745000000003</c:v>
                </c:pt>
                <c:pt idx="123">
                  <c:v>372513.93</c:v>
                </c:pt>
                <c:pt idx="124">
                  <c:v>356270.39999999997</c:v>
                </c:pt>
                <c:pt idx="125">
                  <c:v>27549.55</c:v>
                </c:pt>
                <c:pt idx="126">
                  <c:v>22924.465</c:v>
                </c:pt>
                <c:pt idx="127">
                  <c:v>657588.6</c:v>
                </c:pt>
                <c:pt idx="128">
                  <c:v>874983.77</c:v>
                </c:pt>
                <c:pt idx="129">
                  <c:v>3113390.54</c:v>
                </c:pt>
                <c:pt idx="130">
                  <c:v>3138069.1399999997</c:v>
                </c:pt>
                <c:pt idx="131">
                  <c:v>2489128.2650000001</c:v>
                </c:pt>
                <c:pt idx="132">
                  <c:v>2927091.8450000002</c:v>
                </c:pt>
                <c:pt idx="133">
                  <c:v>760268.5</c:v>
                </c:pt>
                <c:pt idx="134">
                  <c:v>931298.26</c:v>
                </c:pt>
                <c:pt idx="135">
                  <c:v>921014.52499999991</c:v>
                </c:pt>
                <c:pt idx="136">
                  <c:v>348072.815</c:v>
                </c:pt>
                <c:pt idx="137">
                  <c:v>1035839.84</c:v>
                </c:pt>
                <c:pt idx="138">
                  <c:v>853367.52500000002</c:v>
                </c:pt>
                <c:pt idx="139">
                  <c:v>172125.67499999999</c:v>
                </c:pt>
                <c:pt idx="140">
                  <c:v>339751.95</c:v>
                </c:pt>
                <c:pt idx="141">
                  <c:v>362957.65</c:v>
                </c:pt>
                <c:pt idx="142">
                  <c:v>406462.26</c:v>
                </c:pt>
                <c:pt idx="143">
                  <c:v>347157.47499999998</c:v>
                </c:pt>
                <c:pt idx="144">
                  <c:v>31941.255000000001</c:v>
                </c:pt>
                <c:pt idx="145">
                  <c:v>351181.54000000004</c:v>
                </c:pt>
                <c:pt idx="146">
                  <c:v>920770.03</c:v>
                </c:pt>
                <c:pt idx="147">
                  <c:v>753754.77500000014</c:v>
                </c:pt>
                <c:pt idx="148">
                  <c:v>213868.34</c:v>
                </c:pt>
                <c:pt idx="149">
                  <c:v>605785.17000000004</c:v>
                </c:pt>
                <c:pt idx="150">
                  <c:v>594374.58000000007</c:v>
                </c:pt>
                <c:pt idx="151">
                  <c:v>28671.09</c:v>
                </c:pt>
                <c:pt idx="152">
                  <c:v>38864.115000000005</c:v>
                </c:pt>
                <c:pt idx="153">
                  <c:v>2030923.9950000001</c:v>
                </c:pt>
                <c:pt idx="154">
                  <c:v>3083034.63</c:v>
                </c:pt>
                <c:pt idx="155">
                  <c:v>1629001.8149999999</c:v>
                </c:pt>
                <c:pt idx="156">
                  <c:v>769539.47499999998</c:v>
                </c:pt>
                <c:pt idx="157">
                  <c:v>2386296.0350000001</c:v>
                </c:pt>
                <c:pt idx="158">
                  <c:v>4794986.9649999999</c:v>
                </c:pt>
                <c:pt idx="159">
                  <c:v>2969843.2050000001</c:v>
                </c:pt>
                <c:pt idx="160">
                  <c:v>947376.5</c:v>
                </c:pt>
                <c:pt idx="161">
                  <c:v>2410731.3649999998</c:v>
                </c:pt>
                <c:pt idx="162">
                  <c:v>3264276.12</c:v>
                </c:pt>
                <c:pt idx="163">
                  <c:v>2440324.9500000002</c:v>
                </c:pt>
                <c:pt idx="164">
                  <c:v>1503309.5649999999</c:v>
                </c:pt>
                <c:pt idx="165">
                  <c:v>2105557.54</c:v>
                </c:pt>
                <c:pt idx="166">
                  <c:v>2177884.8600000003</c:v>
                </c:pt>
                <c:pt idx="167">
                  <c:v>1024593.24</c:v>
                </c:pt>
                <c:pt idx="168">
                  <c:v>1043301.6000000001</c:v>
                </c:pt>
                <c:pt idx="169">
                  <c:v>1277493.3600000001</c:v>
                </c:pt>
                <c:pt idx="170">
                  <c:v>1837087.375</c:v>
                </c:pt>
                <c:pt idx="171">
                  <c:v>3049763.14</c:v>
                </c:pt>
                <c:pt idx="172">
                  <c:v>1964917.145</c:v>
                </c:pt>
                <c:pt idx="173">
                  <c:v>492314.18</c:v>
                </c:pt>
                <c:pt idx="174">
                  <c:v>919721.95</c:v>
                </c:pt>
                <c:pt idx="175">
                  <c:v>819560.35000000009</c:v>
                </c:pt>
                <c:pt idx="176">
                  <c:v>1547833.7549999999</c:v>
                </c:pt>
                <c:pt idx="177">
                  <c:v>4105227.84</c:v>
                </c:pt>
                <c:pt idx="178">
                  <c:v>2924483.52</c:v>
                </c:pt>
                <c:pt idx="179">
                  <c:v>845153.67499999993</c:v>
                </c:pt>
                <c:pt idx="180">
                  <c:v>1099860.96</c:v>
                </c:pt>
                <c:pt idx="181">
                  <c:v>1187077.76</c:v>
                </c:pt>
                <c:pt idx="182">
                  <c:v>3295954.1349999998</c:v>
                </c:pt>
                <c:pt idx="183">
                  <c:v>3076558.02</c:v>
                </c:pt>
                <c:pt idx="184">
                  <c:v>736011.33500000008</c:v>
                </c:pt>
                <c:pt idx="185">
                  <c:v>127023.65</c:v>
                </c:pt>
                <c:pt idx="186">
                  <c:v>429228.99000000005</c:v>
                </c:pt>
                <c:pt idx="187">
                  <c:v>653266.18999999994</c:v>
                </c:pt>
                <c:pt idx="188">
                  <c:v>922440.2</c:v>
                </c:pt>
                <c:pt idx="189">
                  <c:v>679054.77</c:v>
                </c:pt>
                <c:pt idx="190">
                  <c:v>93069.535000000003</c:v>
                </c:pt>
                <c:pt idx="191">
                  <c:v>422316.58500000002</c:v>
                </c:pt>
                <c:pt idx="192">
                  <c:v>2175212.9300000002</c:v>
                </c:pt>
                <c:pt idx="193">
                  <c:v>1873531.365</c:v>
                </c:pt>
                <c:pt idx="194">
                  <c:v>651314.45499999996</c:v>
                </c:pt>
                <c:pt idx="195">
                  <c:v>851932.65999999992</c:v>
                </c:pt>
                <c:pt idx="196">
                  <c:v>2239527.5100000002</c:v>
                </c:pt>
                <c:pt idx="197">
                  <c:v>2459092.2000000002</c:v>
                </c:pt>
                <c:pt idx="198">
                  <c:v>701997.54</c:v>
                </c:pt>
                <c:pt idx="199">
                  <c:v>538818.81000000006</c:v>
                </c:pt>
                <c:pt idx="200">
                  <c:v>316633.495</c:v>
                </c:pt>
                <c:pt idx="201">
                  <c:v>590931.03500000003</c:v>
                </c:pt>
                <c:pt idx="202">
                  <c:v>1025414.84</c:v>
                </c:pt>
                <c:pt idx="203">
                  <c:v>869255.47</c:v>
                </c:pt>
                <c:pt idx="204">
                  <c:v>454060.14</c:v>
                </c:pt>
                <c:pt idx="205">
                  <c:v>56992.305</c:v>
                </c:pt>
                <c:pt idx="206">
                  <c:v>780441.55500000005</c:v>
                </c:pt>
                <c:pt idx="207">
                  <c:v>1041122.55</c:v>
                </c:pt>
                <c:pt idx="208">
                  <c:v>416284.47</c:v>
                </c:pt>
                <c:pt idx="209">
                  <c:v>1390555.9200000002</c:v>
                </c:pt>
                <c:pt idx="210">
                  <c:v>1275071.4450000001</c:v>
                </c:pt>
                <c:pt idx="211">
                  <c:v>132790.125</c:v>
                </c:pt>
                <c:pt idx="212">
                  <c:v>124975.02</c:v>
                </c:pt>
                <c:pt idx="213">
                  <c:v>1236869.19</c:v>
                </c:pt>
                <c:pt idx="214">
                  <c:v>1643632.26</c:v>
                </c:pt>
                <c:pt idx="215">
                  <c:v>1559938.5450000002</c:v>
                </c:pt>
                <c:pt idx="216">
                  <c:v>1295160.2350000001</c:v>
                </c:pt>
                <c:pt idx="217">
                  <c:v>1139920.7</c:v>
                </c:pt>
                <c:pt idx="218">
                  <c:v>1574982.8049999999</c:v>
                </c:pt>
                <c:pt idx="219">
                  <c:v>757670.16500000004</c:v>
                </c:pt>
                <c:pt idx="220">
                  <c:v>977178.12000000011</c:v>
                </c:pt>
                <c:pt idx="221">
                  <c:v>1112564.6800000002</c:v>
                </c:pt>
                <c:pt idx="222">
                  <c:v>458183.31999999995</c:v>
                </c:pt>
                <c:pt idx="223">
                  <c:v>1048144.3499999999</c:v>
                </c:pt>
                <c:pt idx="224">
                  <c:v>1428792.1999999997</c:v>
                </c:pt>
                <c:pt idx="225">
                  <c:v>757302.23</c:v>
                </c:pt>
                <c:pt idx="226">
                  <c:v>1719956.38</c:v>
                </c:pt>
                <c:pt idx="227">
                  <c:v>1752336.45</c:v>
                </c:pt>
                <c:pt idx="228">
                  <c:v>900092.26</c:v>
                </c:pt>
                <c:pt idx="229">
                  <c:v>1397308.77</c:v>
                </c:pt>
                <c:pt idx="230">
                  <c:v>1663923.56</c:v>
                </c:pt>
                <c:pt idx="231">
                  <c:v>955656.39999999991</c:v>
                </c:pt>
                <c:pt idx="232">
                  <c:v>192976.92</c:v>
                </c:pt>
                <c:pt idx="233">
                  <c:v>175871.42</c:v>
                </c:pt>
                <c:pt idx="234">
                  <c:v>929112.04999999993</c:v>
                </c:pt>
                <c:pt idx="235">
                  <c:v>3832130.95</c:v>
                </c:pt>
                <c:pt idx="236">
                  <c:v>3615472.79</c:v>
                </c:pt>
                <c:pt idx="237">
                  <c:v>1214921.6299999999</c:v>
                </c:pt>
                <c:pt idx="238">
                  <c:v>988607.49</c:v>
                </c:pt>
                <c:pt idx="239">
                  <c:v>469695.06</c:v>
                </c:pt>
                <c:pt idx="240">
                  <c:v>1459962.6149999998</c:v>
                </c:pt>
                <c:pt idx="241">
                  <c:v>1579315.9649999999</c:v>
                </c:pt>
                <c:pt idx="242">
                  <c:v>155174.83499999999</c:v>
                </c:pt>
                <c:pt idx="243">
                  <c:v>2040009.4200000002</c:v>
                </c:pt>
                <c:pt idx="244">
                  <c:v>2150159.8850000002</c:v>
                </c:pt>
                <c:pt idx="245">
                  <c:v>354096.94</c:v>
                </c:pt>
                <c:pt idx="246">
                  <c:v>262742.81</c:v>
                </c:pt>
                <c:pt idx="247">
                  <c:v>70777.38</c:v>
                </c:pt>
                <c:pt idx="248">
                  <c:v>1078825.5699999998</c:v>
                </c:pt>
                <c:pt idx="249">
                  <c:v>1416121.93</c:v>
                </c:pt>
                <c:pt idx="250">
                  <c:v>1669975.9350000001</c:v>
                </c:pt>
                <c:pt idx="251">
                  <c:v>1460984.8049999999</c:v>
                </c:pt>
                <c:pt idx="252">
                  <c:v>1336323.3999999999</c:v>
                </c:pt>
                <c:pt idx="253">
                  <c:v>1890908.23</c:v>
                </c:pt>
                <c:pt idx="254">
                  <c:v>1233685.5900000001</c:v>
                </c:pt>
                <c:pt idx="255">
                  <c:v>675059.38500000001</c:v>
                </c:pt>
                <c:pt idx="256">
                  <c:v>329105.07500000001</c:v>
                </c:pt>
                <c:pt idx="257">
                  <c:v>549260.29</c:v>
                </c:pt>
                <c:pt idx="258">
                  <c:v>1783203.98</c:v>
                </c:pt>
                <c:pt idx="259">
                  <c:v>1957780.5449999999</c:v>
                </c:pt>
                <c:pt idx="260">
                  <c:v>807100.495</c:v>
                </c:pt>
                <c:pt idx="261">
                  <c:v>451447.22499999998</c:v>
                </c:pt>
                <c:pt idx="262">
                  <c:v>244358.375</c:v>
                </c:pt>
                <c:pt idx="263">
                  <c:v>255917.14</c:v>
                </c:pt>
                <c:pt idx="264">
                  <c:v>2613147.125</c:v>
                </c:pt>
                <c:pt idx="265">
                  <c:v>5282661.2149999999</c:v>
                </c:pt>
                <c:pt idx="266">
                  <c:v>3147870.67</c:v>
                </c:pt>
                <c:pt idx="267">
                  <c:v>975591.62999999989</c:v>
                </c:pt>
                <c:pt idx="268">
                  <c:v>2656305.8449999997</c:v>
                </c:pt>
                <c:pt idx="269">
                  <c:v>2010030.5999999999</c:v>
                </c:pt>
                <c:pt idx="270">
                  <c:v>283528.065</c:v>
                </c:pt>
                <c:pt idx="271">
                  <c:v>831894.76</c:v>
                </c:pt>
                <c:pt idx="272">
                  <c:v>2898837.4800000004</c:v>
                </c:pt>
                <c:pt idx="273">
                  <c:v>3209806.0050000004</c:v>
                </c:pt>
                <c:pt idx="274">
                  <c:v>1002088.8</c:v>
                </c:pt>
                <c:pt idx="275">
                  <c:v>219470.19500000001</c:v>
                </c:pt>
                <c:pt idx="276">
                  <c:v>779113.41999999993</c:v>
                </c:pt>
                <c:pt idx="277">
                  <c:v>812823.1399999999</c:v>
                </c:pt>
                <c:pt idx="278">
                  <c:v>533787.73499999999</c:v>
                </c:pt>
                <c:pt idx="279">
                  <c:v>1050103.395</c:v>
                </c:pt>
                <c:pt idx="280">
                  <c:v>1168389.42</c:v>
                </c:pt>
                <c:pt idx="281">
                  <c:v>1337172.1499999999</c:v>
                </c:pt>
                <c:pt idx="282">
                  <c:v>1258203.9300000002</c:v>
                </c:pt>
                <c:pt idx="283">
                  <c:v>1653146.1800000002</c:v>
                </c:pt>
                <c:pt idx="284">
                  <c:v>1329341.5750000002</c:v>
                </c:pt>
                <c:pt idx="285">
                  <c:v>549383.81499999994</c:v>
                </c:pt>
                <c:pt idx="286">
                  <c:v>653738.17000000004</c:v>
                </c:pt>
                <c:pt idx="287">
                  <c:v>415448.47500000003</c:v>
                </c:pt>
                <c:pt idx="288">
                  <c:v>797787.375</c:v>
                </c:pt>
                <c:pt idx="289">
                  <c:v>1182980.7</c:v>
                </c:pt>
                <c:pt idx="290">
                  <c:v>1117348.1499999999</c:v>
                </c:pt>
                <c:pt idx="291">
                  <c:v>771964.86</c:v>
                </c:pt>
                <c:pt idx="292">
                  <c:v>305909.66000000003</c:v>
                </c:pt>
                <c:pt idx="293">
                  <c:v>130093.97</c:v>
                </c:pt>
                <c:pt idx="294">
                  <c:v>1287089.7449999999</c:v>
                </c:pt>
                <c:pt idx="295">
                  <c:v>2091226.335</c:v>
                </c:pt>
                <c:pt idx="296">
                  <c:v>2954313.16</c:v>
                </c:pt>
                <c:pt idx="297">
                  <c:v>3550282.6</c:v>
                </c:pt>
                <c:pt idx="298">
                  <c:v>3871370.2149999999</c:v>
                </c:pt>
                <c:pt idx="299">
                  <c:v>2601902.1150000002</c:v>
                </c:pt>
                <c:pt idx="300">
                  <c:v>259982.03000000003</c:v>
                </c:pt>
                <c:pt idx="301">
                  <c:v>321451.05000000005</c:v>
                </c:pt>
                <c:pt idx="302">
                  <c:v>2024361.2549999999</c:v>
                </c:pt>
                <c:pt idx="303">
                  <c:v>2042781.9449999998</c:v>
                </c:pt>
                <c:pt idx="304">
                  <c:v>464974.77</c:v>
                </c:pt>
                <c:pt idx="305">
                  <c:v>1797945.6600000001</c:v>
                </c:pt>
                <c:pt idx="306">
                  <c:v>2135494.2999999998</c:v>
                </c:pt>
                <c:pt idx="307">
                  <c:v>1518794.4</c:v>
                </c:pt>
                <c:pt idx="308">
                  <c:v>1453407.6</c:v>
                </c:pt>
                <c:pt idx="309">
                  <c:v>549894.54500000004</c:v>
                </c:pt>
                <c:pt idx="310">
                  <c:v>580674.54499999993</c:v>
                </c:pt>
                <c:pt idx="311">
                  <c:v>481155.89499999996</c:v>
                </c:pt>
                <c:pt idx="312">
                  <c:v>374924</c:v>
                </c:pt>
                <c:pt idx="313">
                  <c:v>454633.65500000003</c:v>
                </c:pt>
                <c:pt idx="314">
                  <c:v>201118.815</c:v>
                </c:pt>
                <c:pt idx="315">
                  <c:v>391691.23500000004</c:v>
                </c:pt>
                <c:pt idx="316">
                  <c:v>574030.03500000003</c:v>
                </c:pt>
                <c:pt idx="317">
                  <c:v>635665.86499999999</c:v>
                </c:pt>
                <c:pt idx="318">
                  <c:v>726430.19000000006</c:v>
                </c:pt>
                <c:pt idx="319">
                  <c:v>1155155.6300000001</c:v>
                </c:pt>
                <c:pt idx="320">
                  <c:v>2761993.61</c:v>
                </c:pt>
                <c:pt idx="321">
                  <c:v>2219449.0699999998</c:v>
                </c:pt>
                <c:pt idx="322">
                  <c:v>614300.6</c:v>
                </c:pt>
                <c:pt idx="323">
                  <c:v>505165.6</c:v>
                </c:pt>
                <c:pt idx="324">
                  <c:v>1368734.02</c:v>
                </c:pt>
                <c:pt idx="325">
                  <c:v>1340129.72</c:v>
                </c:pt>
                <c:pt idx="326">
                  <c:v>243252.05</c:v>
                </c:pt>
                <c:pt idx="327">
                  <c:v>492120.17000000004</c:v>
                </c:pt>
                <c:pt idx="328">
                  <c:v>1923125.52</c:v>
                </c:pt>
                <c:pt idx="329">
                  <c:v>2807138.4849999999</c:v>
                </c:pt>
                <c:pt idx="330">
                  <c:v>1344421.2349999999</c:v>
                </c:pt>
                <c:pt idx="331">
                  <c:v>479965.13000000006</c:v>
                </c:pt>
                <c:pt idx="332">
                  <c:v>1920166.58</c:v>
                </c:pt>
                <c:pt idx="333">
                  <c:v>1683053.5999999999</c:v>
                </c:pt>
                <c:pt idx="334">
                  <c:v>1830777.3599999999</c:v>
                </c:pt>
                <c:pt idx="335">
                  <c:v>2159752.83</c:v>
                </c:pt>
                <c:pt idx="336">
                  <c:v>821293.86</c:v>
                </c:pt>
                <c:pt idx="337">
                  <c:v>376690.96500000003</c:v>
                </c:pt>
                <c:pt idx="338">
                  <c:v>369541.49500000005</c:v>
                </c:pt>
                <c:pt idx="339">
                  <c:v>1418825.7849999999</c:v>
                </c:pt>
                <c:pt idx="340">
                  <c:v>1357574.345</c:v>
                </c:pt>
                <c:pt idx="341">
                  <c:v>1019768.88</c:v>
                </c:pt>
                <c:pt idx="342">
                  <c:v>1463753.3199999998</c:v>
                </c:pt>
                <c:pt idx="343">
                  <c:v>2312256.63</c:v>
                </c:pt>
                <c:pt idx="344">
                  <c:v>1817730.19</c:v>
                </c:pt>
                <c:pt idx="345">
                  <c:v>311048.38</c:v>
                </c:pt>
                <c:pt idx="346">
                  <c:v>145211.38</c:v>
                </c:pt>
                <c:pt idx="347">
                  <c:v>1868533.7050000001</c:v>
                </c:pt>
                <c:pt idx="348">
                  <c:v>3327868.3200000003</c:v>
                </c:pt>
                <c:pt idx="349">
                  <c:v>3548748.2949999999</c:v>
                </c:pt>
                <c:pt idx="350">
                  <c:v>2985400.56</c:v>
                </c:pt>
                <c:pt idx="351">
                  <c:v>1059797.135</c:v>
                </c:pt>
                <c:pt idx="352">
                  <c:v>123218.86500000001</c:v>
                </c:pt>
                <c:pt idx="353">
                  <c:v>219074.88</c:v>
                </c:pt>
                <c:pt idx="354">
                  <c:v>181050.46500000003</c:v>
                </c:pt>
                <c:pt idx="355">
                  <c:v>418876.79499999998</c:v>
                </c:pt>
                <c:pt idx="356">
                  <c:v>942331.66999999993</c:v>
                </c:pt>
                <c:pt idx="357">
                  <c:v>982481.08499999996</c:v>
                </c:pt>
                <c:pt idx="358">
                  <c:v>926720.54499999993</c:v>
                </c:pt>
                <c:pt idx="359">
                  <c:v>957868.05</c:v>
                </c:pt>
                <c:pt idx="360">
                  <c:v>751924.52500000002</c:v>
                </c:pt>
                <c:pt idx="361">
                  <c:v>494658.96000000008</c:v>
                </c:pt>
                <c:pt idx="362">
                  <c:v>2046141.7949999999</c:v>
                </c:pt>
                <c:pt idx="363">
                  <c:v>1933398.7449999999</c:v>
                </c:pt>
                <c:pt idx="364">
                  <c:v>583791.01</c:v>
                </c:pt>
                <c:pt idx="365">
                  <c:v>563559.35</c:v>
                </c:pt>
                <c:pt idx="366">
                  <c:v>377556.51500000007</c:v>
                </c:pt>
                <c:pt idx="367">
                  <c:v>3165142.4649999999</c:v>
                </c:pt>
                <c:pt idx="368">
                  <c:v>3386905.3149999999</c:v>
                </c:pt>
                <c:pt idx="369">
                  <c:v>1030970.8800000001</c:v>
                </c:pt>
                <c:pt idx="370">
                  <c:v>2758670.01</c:v>
                </c:pt>
                <c:pt idx="371">
                  <c:v>2387350.73</c:v>
                </c:pt>
                <c:pt idx="372">
                  <c:v>1053877.7</c:v>
                </c:pt>
                <c:pt idx="373">
                  <c:v>1086717.665</c:v>
                </c:pt>
                <c:pt idx="374">
                  <c:v>484530.91500000004</c:v>
                </c:pt>
                <c:pt idx="375">
                  <c:v>901949.67999999993</c:v>
                </c:pt>
                <c:pt idx="376">
                  <c:v>1923976.73</c:v>
                </c:pt>
                <c:pt idx="377">
                  <c:v>1397840.95</c:v>
                </c:pt>
                <c:pt idx="378">
                  <c:v>1683513.0949999997</c:v>
                </c:pt>
                <c:pt idx="379">
                  <c:v>2113825.3049999997</c:v>
                </c:pt>
                <c:pt idx="380">
                  <c:v>1235873.9700000002</c:v>
                </c:pt>
                <c:pt idx="381">
                  <c:v>872892.16500000004</c:v>
                </c:pt>
                <c:pt idx="382">
                  <c:v>934606.43500000006</c:v>
                </c:pt>
                <c:pt idx="383">
                  <c:v>850210.57499999995</c:v>
                </c:pt>
                <c:pt idx="384">
                  <c:v>83986.55</c:v>
                </c:pt>
                <c:pt idx="385">
                  <c:v>1017959.7549999999</c:v>
                </c:pt>
                <c:pt idx="386">
                  <c:v>1293414.5499999998</c:v>
                </c:pt>
                <c:pt idx="387">
                  <c:v>562405.93500000006</c:v>
                </c:pt>
                <c:pt idx="388">
                  <c:v>522447.16000000003</c:v>
                </c:pt>
                <c:pt idx="389">
                  <c:v>649048.51500000001</c:v>
                </c:pt>
                <c:pt idx="390">
                  <c:v>1719304.04</c:v>
                </c:pt>
                <c:pt idx="391">
                  <c:v>1716539.7999999998</c:v>
                </c:pt>
                <c:pt idx="392">
                  <c:v>408780.80000000005</c:v>
                </c:pt>
                <c:pt idx="393">
                  <c:v>1317923.71</c:v>
                </c:pt>
                <c:pt idx="394">
                  <c:v>1917627.2400000002</c:v>
                </c:pt>
                <c:pt idx="395">
                  <c:v>936031.69000000006</c:v>
                </c:pt>
                <c:pt idx="396">
                  <c:v>353631.83500000002</c:v>
                </c:pt>
                <c:pt idx="397">
                  <c:v>360613.15500000003</c:v>
                </c:pt>
                <c:pt idx="398">
                  <c:v>1979435.2950000002</c:v>
                </c:pt>
                <c:pt idx="399">
                  <c:v>1772580.855</c:v>
                </c:pt>
                <c:pt idx="400">
                  <c:v>550131.12</c:v>
                </c:pt>
                <c:pt idx="401">
                  <c:v>445060.69500000001</c:v>
                </c:pt>
                <c:pt idx="402">
                  <c:v>206084.23500000002</c:v>
                </c:pt>
                <c:pt idx="403">
                  <c:v>306075.48000000004</c:v>
                </c:pt>
                <c:pt idx="404">
                  <c:v>2707009.7349999999</c:v>
                </c:pt>
                <c:pt idx="405">
                  <c:v>3107761.105</c:v>
                </c:pt>
                <c:pt idx="406">
                  <c:v>746501.11499999999</c:v>
                </c:pt>
                <c:pt idx="407">
                  <c:v>275707.8</c:v>
                </c:pt>
                <c:pt idx="408">
                  <c:v>120346.14</c:v>
                </c:pt>
                <c:pt idx="409">
                  <c:v>119028.32500000001</c:v>
                </c:pt>
                <c:pt idx="410">
                  <c:v>1305621.18</c:v>
                </c:pt>
                <c:pt idx="411">
                  <c:v>1265994.29</c:v>
                </c:pt>
                <c:pt idx="412">
                  <c:v>1581231.915</c:v>
                </c:pt>
                <c:pt idx="413">
                  <c:v>2582172.105</c:v>
                </c:pt>
                <c:pt idx="414">
                  <c:v>1004480.925</c:v>
                </c:pt>
                <c:pt idx="415">
                  <c:v>48872.675000000003</c:v>
                </c:pt>
                <c:pt idx="416">
                  <c:v>279318.59999999998</c:v>
                </c:pt>
                <c:pt idx="417">
                  <c:v>682608.14</c:v>
                </c:pt>
                <c:pt idx="418">
                  <c:v>557847.29499999993</c:v>
                </c:pt>
                <c:pt idx="419">
                  <c:v>222281.58000000002</c:v>
                </c:pt>
                <c:pt idx="420">
                  <c:v>361016.57500000001</c:v>
                </c:pt>
                <c:pt idx="421">
                  <c:v>819576.2</c:v>
                </c:pt>
                <c:pt idx="422">
                  <c:v>581444.54499999993</c:v>
                </c:pt>
                <c:pt idx="423">
                  <c:v>215792.02000000002</c:v>
                </c:pt>
                <c:pt idx="424">
                  <c:v>333905.65000000002</c:v>
                </c:pt>
                <c:pt idx="425">
                  <c:v>161474.80499999999</c:v>
                </c:pt>
                <c:pt idx="426">
                  <c:v>1086049.77</c:v>
                </c:pt>
                <c:pt idx="427">
                  <c:v>3497648.91</c:v>
                </c:pt>
                <c:pt idx="428">
                  <c:v>2850768.0500000003</c:v>
                </c:pt>
                <c:pt idx="429">
                  <c:v>568918.48</c:v>
                </c:pt>
                <c:pt idx="430">
                  <c:v>338294.99</c:v>
                </c:pt>
                <c:pt idx="431">
                  <c:v>437291.30000000005</c:v>
                </c:pt>
                <c:pt idx="432">
                  <c:v>622992.32000000007</c:v>
                </c:pt>
                <c:pt idx="433">
                  <c:v>1068695.9100000001</c:v>
                </c:pt>
                <c:pt idx="434">
                  <c:v>728946</c:v>
                </c:pt>
                <c:pt idx="435">
                  <c:v>311867.82500000001</c:v>
                </c:pt>
                <c:pt idx="436">
                  <c:v>836606.22499999998</c:v>
                </c:pt>
                <c:pt idx="437">
                  <c:v>1277690.1600000001</c:v>
                </c:pt>
                <c:pt idx="438">
                  <c:v>1066452.75</c:v>
                </c:pt>
                <c:pt idx="439">
                  <c:v>797606.79</c:v>
                </c:pt>
                <c:pt idx="440">
                  <c:v>1271673.82</c:v>
                </c:pt>
                <c:pt idx="441">
                  <c:v>1538414.0349999999</c:v>
                </c:pt>
                <c:pt idx="442">
                  <c:v>1168138.4750000001</c:v>
                </c:pt>
                <c:pt idx="443">
                  <c:v>1007584.4600000001</c:v>
                </c:pt>
                <c:pt idx="444">
                  <c:v>834473.55</c:v>
                </c:pt>
                <c:pt idx="445">
                  <c:v>512263.04500000004</c:v>
                </c:pt>
                <c:pt idx="446">
                  <c:v>287108.245</c:v>
                </c:pt>
                <c:pt idx="447">
                  <c:v>50003.920000000006</c:v>
                </c:pt>
                <c:pt idx="448">
                  <c:v>596013.87</c:v>
                </c:pt>
                <c:pt idx="449">
                  <c:v>798140.59000000008</c:v>
                </c:pt>
                <c:pt idx="450">
                  <c:v>605318.35000000009</c:v>
                </c:pt>
                <c:pt idx="451">
                  <c:v>2494427.56</c:v>
                </c:pt>
                <c:pt idx="452">
                  <c:v>2557652.58</c:v>
                </c:pt>
                <c:pt idx="453">
                  <c:v>1584553.18</c:v>
                </c:pt>
                <c:pt idx="454">
                  <c:v>2231925.3650000002</c:v>
                </c:pt>
                <c:pt idx="455">
                  <c:v>1129168.0649999999</c:v>
                </c:pt>
                <c:pt idx="456">
                  <c:v>1395511.2999999998</c:v>
                </c:pt>
                <c:pt idx="457">
                  <c:v>1894673.88</c:v>
                </c:pt>
                <c:pt idx="458">
                  <c:v>625806.63</c:v>
                </c:pt>
                <c:pt idx="459">
                  <c:v>99811.075000000012</c:v>
                </c:pt>
                <c:pt idx="460">
                  <c:v>690371.93500000006</c:v>
                </c:pt>
                <c:pt idx="461">
                  <c:v>713133.09000000008</c:v>
                </c:pt>
                <c:pt idx="462">
                  <c:v>235405.47500000001</c:v>
                </c:pt>
                <c:pt idx="463">
                  <c:v>331169.76500000001</c:v>
                </c:pt>
                <c:pt idx="464">
                  <c:v>510199.33</c:v>
                </c:pt>
                <c:pt idx="465">
                  <c:v>894733.09000000008</c:v>
                </c:pt>
                <c:pt idx="466">
                  <c:v>707817.49</c:v>
                </c:pt>
                <c:pt idx="467">
                  <c:v>286155.27</c:v>
                </c:pt>
                <c:pt idx="468">
                  <c:v>1143301.74</c:v>
                </c:pt>
                <c:pt idx="469">
                  <c:v>2158512.1</c:v>
                </c:pt>
                <c:pt idx="470">
                  <c:v>1768255.6400000001</c:v>
                </c:pt>
                <c:pt idx="471">
                  <c:v>689673.45500000007</c:v>
                </c:pt>
                <c:pt idx="472">
                  <c:v>414214.17499999999</c:v>
                </c:pt>
                <c:pt idx="473">
                  <c:v>538111.96499999997</c:v>
                </c:pt>
                <c:pt idx="474">
                  <c:v>284074.94500000007</c:v>
                </c:pt>
                <c:pt idx="475">
                  <c:v>1297866.47</c:v>
                </c:pt>
                <c:pt idx="476">
                  <c:v>1199067.72</c:v>
                </c:pt>
                <c:pt idx="477">
                  <c:v>809469.9</c:v>
                </c:pt>
                <c:pt idx="478">
                  <c:v>2886895.2249999996</c:v>
                </c:pt>
                <c:pt idx="479">
                  <c:v>2323932.3649999998</c:v>
                </c:pt>
                <c:pt idx="480">
                  <c:v>762578.67</c:v>
                </c:pt>
                <c:pt idx="481">
                  <c:v>561659.01</c:v>
                </c:pt>
                <c:pt idx="482">
                  <c:v>771884.40999999992</c:v>
                </c:pt>
                <c:pt idx="483">
                  <c:v>793842.56499999994</c:v>
                </c:pt>
                <c:pt idx="484">
                  <c:v>1492405.2049999998</c:v>
                </c:pt>
                <c:pt idx="485">
                  <c:v>1627136.95</c:v>
                </c:pt>
                <c:pt idx="486">
                  <c:v>204010.31</c:v>
                </c:pt>
                <c:pt idx="487">
                  <c:v>280123.83</c:v>
                </c:pt>
                <c:pt idx="488">
                  <c:v>356471.19500000001</c:v>
                </c:pt>
                <c:pt idx="489">
                  <c:v>444849.67500000005</c:v>
                </c:pt>
                <c:pt idx="490">
                  <c:v>362874.48499999999</c:v>
                </c:pt>
                <c:pt idx="491">
                  <c:v>754038.125</c:v>
                </c:pt>
                <c:pt idx="492">
                  <c:v>744841.93</c:v>
                </c:pt>
                <c:pt idx="493">
                  <c:v>1551139.4850000001</c:v>
                </c:pt>
                <c:pt idx="494">
                  <c:v>1925615.7050000001</c:v>
                </c:pt>
                <c:pt idx="495">
                  <c:v>969565.91</c:v>
                </c:pt>
                <c:pt idx="496">
                  <c:v>644709.42500000005</c:v>
                </c:pt>
                <c:pt idx="497">
                  <c:v>556362.31499999994</c:v>
                </c:pt>
                <c:pt idx="498">
                  <c:v>971006.85</c:v>
                </c:pt>
                <c:pt idx="499">
                  <c:v>648684.89</c:v>
                </c:pt>
                <c:pt idx="500">
                  <c:v>2243123.69</c:v>
                </c:pt>
                <c:pt idx="501">
                  <c:v>2125011.38</c:v>
                </c:pt>
                <c:pt idx="502">
                  <c:v>3008534.7399999998</c:v>
                </c:pt>
                <c:pt idx="503">
                  <c:v>3763685.11</c:v>
                </c:pt>
                <c:pt idx="504">
                  <c:v>2034944.31</c:v>
                </c:pt>
                <c:pt idx="505">
                  <c:v>2198172.16</c:v>
                </c:pt>
                <c:pt idx="506">
                  <c:v>961506.14500000002</c:v>
                </c:pt>
                <c:pt idx="507">
                  <c:v>308098.48500000004</c:v>
                </c:pt>
                <c:pt idx="508">
                  <c:v>329571.48000000004</c:v>
                </c:pt>
                <c:pt idx="509">
                  <c:v>137452.61499999999</c:v>
                </c:pt>
                <c:pt idx="510">
                  <c:v>716876.48499999999</c:v>
                </c:pt>
                <c:pt idx="511">
                  <c:v>752771.41</c:v>
                </c:pt>
                <c:pt idx="512">
                  <c:v>451780.94999999995</c:v>
                </c:pt>
                <c:pt idx="513">
                  <c:v>519943.875</c:v>
                </c:pt>
                <c:pt idx="514">
                  <c:v>485944.94500000001</c:v>
                </c:pt>
                <c:pt idx="515">
                  <c:v>431868.87</c:v>
                </c:pt>
                <c:pt idx="516">
                  <c:v>199316.14499999999</c:v>
                </c:pt>
                <c:pt idx="517">
                  <c:v>76561.98</c:v>
                </c:pt>
                <c:pt idx="518">
                  <c:v>317539.67500000005</c:v>
                </c:pt>
                <c:pt idx="519">
                  <c:v>917196.21</c:v>
                </c:pt>
                <c:pt idx="520">
                  <c:v>2414585.7349999999</c:v>
                </c:pt>
                <c:pt idx="521">
                  <c:v>3138909.3149999999</c:v>
                </c:pt>
                <c:pt idx="522">
                  <c:v>2531606.5099999998</c:v>
                </c:pt>
                <c:pt idx="523">
                  <c:v>1205615.78</c:v>
                </c:pt>
                <c:pt idx="524">
                  <c:v>264176.07</c:v>
                </c:pt>
                <c:pt idx="525">
                  <c:v>970584.63</c:v>
                </c:pt>
                <c:pt idx="526">
                  <c:v>940975.83000000007</c:v>
                </c:pt>
                <c:pt idx="527">
                  <c:v>617074.15</c:v>
                </c:pt>
                <c:pt idx="528">
                  <c:v>1268769.99</c:v>
                </c:pt>
                <c:pt idx="529">
                  <c:v>2026943.2999999998</c:v>
                </c:pt>
                <c:pt idx="530">
                  <c:v>2410164.0300000003</c:v>
                </c:pt>
                <c:pt idx="531">
                  <c:v>1622575.62</c:v>
                </c:pt>
                <c:pt idx="532">
                  <c:v>427918.625</c:v>
                </c:pt>
                <c:pt idx="533">
                  <c:v>1030730.38</c:v>
                </c:pt>
                <c:pt idx="534">
                  <c:v>1364022.655</c:v>
                </c:pt>
                <c:pt idx="535">
                  <c:v>950952.71000000008</c:v>
                </c:pt>
                <c:pt idx="536">
                  <c:v>579961.41</c:v>
                </c:pt>
                <c:pt idx="537">
                  <c:v>348462.49999999994</c:v>
                </c:pt>
                <c:pt idx="538">
                  <c:v>510219.55</c:v>
                </c:pt>
                <c:pt idx="539">
                  <c:v>425569.98000000004</c:v>
                </c:pt>
                <c:pt idx="540">
                  <c:v>1839334.18</c:v>
                </c:pt>
                <c:pt idx="541">
                  <c:v>1578589.9049999998</c:v>
                </c:pt>
                <c:pt idx="542">
                  <c:v>413961.495</c:v>
                </c:pt>
                <c:pt idx="543">
                  <c:v>913975.71</c:v>
                </c:pt>
                <c:pt idx="544">
                  <c:v>1134292.29</c:v>
                </c:pt>
                <c:pt idx="545">
                  <c:v>1269773.3</c:v>
                </c:pt>
                <c:pt idx="546">
                  <c:v>1051736.48</c:v>
                </c:pt>
                <c:pt idx="547">
                  <c:v>890437.15</c:v>
                </c:pt>
                <c:pt idx="548">
                  <c:v>2378937</c:v>
                </c:pt>
                <c:pt idx="549">
                  <c:v>2615757.395</c:v>
                </c:pt>
                <c:pt idx="550">
                  <c:v>1547101.365</c:v>
                </c:pt>
                <c:pt idx="551">
                  <c:v>1833732.88</c:v>
                </c:pt>
                <c:pt idx="552">
                  <c:v>1785606.6850000001</c:v>
                </c:pt>
                <c:pt idx="553">
                  <c:v>876078.81499999994</c:v>
                </c:pt>
                <c:pt idx="554">
                  <c:v>131544.815</c:v>
                </c:pt>
                <c:pt idx="555">
                  <c:v>264370.22499999998</c:v>
                </c:pt>
                <c:pt idx="556">
                  <c:v>427242.35</c:v>
                </c:pt>
                <c:pt idx="557">
                  <c:v>774258.25</c:v>
                </c:pt>
                <c:pt idx="558">
                  <c:v>1683997.0699999998</c:v>
                </c:pt>
                <c:pt idx="559">
                  <c:v>1439265.92</c:v>
                </c:pt>
                <c:pt idx="560">
                  <c:v>3295106.09</c:v>
                </c:pt>
                <c:pt idx="561">
                  <c:v>3377691.89</c:v>
                </c:pt>
                <c:pt idx="562">
                  <c:v>1286394.05</c:v>
                </c:pt>
                <c:pt idx="563">
                  <c:v>1527528.2</c:v>
                </c:pt>
                <c:pt idx="564">
                  <c:v>1879521.19</c:v>
                </c:pt>
                <c:pt idx="565">
                  <c:v>1917194.59</c:v>
                </c:pt>
                <c:pt idx="566">
                  <c:v>715468.42500000005</c:v>
                </c:pt>
                <c:pt idx="567">
                  <c:v>445231.27499999997</c:v>
                </c:pt>
                <c:pt idx="568">
                  <c:v>1789459.6</c:v>
                </c:pt>
                <c:pt idx="569">
                  <c:v>1569989.7749999999</c:v>
                </c:pt>
                <c:pt idx="570">
                  <c:v>817217.01500000013</c:v>
                </c:pt>
                <c:pt idx="571">
                  <c:v>769621.29500000016</c:v>
                </c:pt>
                <c:pt idx="572">
                  <c:v>166559.21</c:v>
                </c:pt>
                <c:pt idx="573">
                  <c:v>2046050.28</c:v>
                </c:pt>
                <c:pt idx="574">
                  <c:v>2907081.4249999998</c:v>
                </c:pt>
                <c:pt idx="575">
                  <c:v>2301115.8199999998</c:v>
                </c:pt>
                <c:pt idx="576">
                  <c:v>4234676.3550000004</c:v>
                </c:pt>
                <c:pt idx="577">
                  <c:v>3153175.5249999999</c:v>
                </c:pt>
                <c:pt idx="578">
                  <c:v>659493.8899999999</c:v>
                </c:pt>
                <c:pt idx="579">
                  <c:v>1762173.4</c:v>
                </c:pt>
                <c:pt idx="580">
                  <c:v>2921978.9249999998</c:v>
                </c:pt>
                <c:pt idx="581">
                  <c:v>1879289.2350000001</c:v>
                </c:pt>
                <c:pt idx="582">
                  <c:v>1958469.71</c:v>
                </c:pt>
                <c:pt idx="583">
                  <c:v>2207596.4900000002</c:v>
                </c:pt>
                <c:pt idx="584">
                  <c:v>833335.31500000006</c:v>
                </c:pt>
                <c:pt idx="585">
                  <c:v>509410.26500000001</c:v>
                </c:pt>
                <c:pt idx="586">
                  <c:v>566945.68999999994</c:v>
                </c:pt>
                <c:pt idx="587">
                  <c:v>666335.85000000009</c:v>
                </c:pt>
                <c:pt idx="588">
                  <c:v>440184.62</c:v>
                </c:pt>
                <c:pt idx="589">
                  <c:v>479828.81999999995</c:v>
                </c:pt>
                <c:pt idx="590">
                  <c:v>2032415.4900000002</c:v>
                </c:pt>
                <c:pt idx="591">
                  <c:v>2805468.85</c:v>
                </c:pt>
                <c:pt idx="592">
                  <c:v>3540230.65</c:v>
                </c:pt>
                <c:pt idx="593">
                  <c:v>2676460.79</c:v>
                </c:pt>
                <c:pt idx="594">
                  <c:v>1535606.8599999999</c:v>
                </c:pt>
                <c:pt idx="595">
                  <c:v>2387761.48</c:v>
                </c:pt>
                <c:pt idx="596">
                  <c:v>2324982.41</c:v>
                </c:pt>
                <c:pt idx="597">
                  <c:v>1539934.4100000001</c:v>
                </c:pt>
                <c:pt idx="598">
                  <c:v>1308079.395</c:v>
                </c:pt>
                <c:pt idx="599">
                  <c:v>1021085.3149999999</c:v>
                </c:pt>
                <c:pt idx="600">
                  <c:v>2904314.23</c:v>
                </c:pt>
                <c:pt idx="601">
                  <c:v>3565515.29</c:v>
                </c:pt>
                <c:pt idx="602">
                  <c:v>1343925.2</c:v>
                </c:pt>
                <c:pt idx="603">
                  <c:v>718024.28500000003</c:v>
                </c:pt>
                <c:pt idx="604">
                  <c:v>558532.78500000003</c:v>
                </c:pt>
                <c:pt idx="605">
                  <c:v>617683.39</c:v>
                </c:pt>
                <c:pt idx="606">
                  <c:v>1021340.7899999999</c:v>
                </c:pt>
                <c:pt idx="607">
                  <c:v>792202.44</c:v>
                </c:pt>
                <c:pt idx="608">
                  <c:v>253912.08000000002</c:v>
                </c:pt>
                <c:pt idx="609">
                  <c:v>609140.87</c:v>
                </c:pt>
                <c:pt idx="610">
                  <c:v>2562506.2149999999</c:v>
                </c:pt>
                <c:pt idx="611">
                  <c:v>3912671.2549999999</c:v>
                </c:pt>
                <c:pt idx="612">
                  <c:v>1869827.6950000001</c:v>
                </c:pt>
                <c:pt idx="613">
                  <c:v>1613830.135</c:v>
                </c:pt>
                <c:pt idx="614">
                  <c:v>2243655.71</c:v>
                </c:pt>
                <c:pt idx="615">
                  <c:v>1141787.24</c:v>
                </c:pt>
                <c:pt idx="616">
                  <c:v>677482.46500000008</c:v>
                </c:pt>
                <c:pt idx="617">
                  <c:v>320799.67</c:v>
                </c:pt>
                <c:pt idx="618">
                  <c:v>1235638.2749999999</c:v>
                </c:pt>
                <c:pt idx="619">
                  <c:v>2134280.0299999998</c:v>
                </c:pt>
                <c:pt idx="620">
                  <c:v>1214989.3399999999</c:v>
                </c:pt>
                <c:pt idx="621">
                  <c:v>1519851.18</c:v>
                </c:pt>
                <c:pt idx="622">
                  <c:v>2671862.6399999997</c:v>
                </c:pt>
                <c:pt idx="623">
                  <c:v>4359112.665</c:v>
                </c:pt>
                <c:pt idx="624">
                  <c:v>2915948.3149999999</c:v>
                </c:pt>
                <c:pt idx="625">
                  <c:v>515121.7</c:v>
                </c:pt>
                <c:pt idx="626">
                  <c:v>524503.98499999999</c:v>
                </c:pt>
                <c:pt idx="627">
                  <c:v>176001.32500000001</c:v>
                </c:pt>
                <c:pt idx="628">
                  <c:v>447042.09</c:v>
                </c:pt>
                <c:pt idx="629">
                  <c:v>433025.39500000002</c:v>
                </c:pt>
                <c:pt idx="630">
                  <c:v>1083445.2150000001</c:v>
                </c:pt>
                <c:pt idx="631">
                  <c:v>1408321.47</c:v>
                </c:pt>
                <c:pt idx="632">
                  <c:v>1718720.15</c:v>
                </c:pt>
                <c:pt idx="633">
                  <c:v>1263922.6499999999</c:v>
                </c:pt>
                <c:pt idx="634">
                  <c:v>2654376.19</c:v>
                </c:pt>
                <c:pt idx="635">
                  <c:v>4729278.5049999999</c:v>
                </c:pt>
                <c:pt idx="636">
                  <c:v>3782227.68</c:v>
                </c:pt>
                <c:pt idx="637">
                  <c:v>1801736.4650000001</c:v>
                </c:pt>
                <c:pt idx="638">
                  <c:v>580157.64500000002</c:v>
                </c:pt>
                <c:pt idx="639">
                  <c:v>838992.31499999994</c:v>
                </c:pt>
                <c:pt idx="640">
                  <c:v>1667820.02</c:v>
                </c:pt>
                <c:pt idx="641">
                  <c:v>1555343.6</c:v>
                </c:pt>
                <c:pt idx="642">
                  <c:v>483291.71500000003</c:v>
                </c:pt>
                <c:pt idx="643">
                  <c:v>1242672.3999999999</c:v>
                </c:pt>
                <c:pt idx="644">
                  <c:v>1200867.125</c:v>
                </c:pt>
                <c:pt idx="645">
                  <c:v>1270194.44</c:v>
                </c:pt>
                <c:pt idx="646">
                  <c:v>1093600.905</c:v>
                </c:pt>
                <c:pt idx="647">
                  <c:v>93932.384999999995</c:v>
                </c:pt>
                <c:pt idx="648">
                  <c:v>760172.02500000002</c:v>
                </c:pt>
                <c:pt idx="649">
                  <c:v>2537035.5150000001</c:v>
                </c:pt>
                <c:pt idx="650">
                  <c:v>2347882.5699999998</c:v>
                </c:pt>
                <c:pt idx="651">
                  <c:v>926923.24</c:v>
                </c:pt>
                <c:pt idx="652">
                  <c:v>554696.85</c:v>
                </c:pt>
                <c:pt idx="653">
                  <c:v>2682101.645</c:v>
                </c:pt>
                <c:pt idx="654">
                  <c:v>3502630.0349999997</c:v>
                </c:pt>
                <c:pt idx="655">
                  <c:v>2790210.4</c:v>
                </c:pt>
                <c:pt idx="656">
                  <c:v>1924231.38</c:v>
                </c:pt>
                <c:pt idx="657">
                  <c:v>600268.47000000009</c:v>
                </c:pt>
                <c:pt idx="658">
                  <c:v>935903.05</c:v>
                </c:pt>
                <c:pt idx="659">
                  <c:v>1292461.96</c:v>
                </c:pt>
                <c:pt idx="660">
                  <c:v>1922292.8399999999</c:v>
                </c:pt>
                <c:pt idx="661">
                  <c:v>1413491.04</c:v>
                </c:pt>
                <c:pt idx="662">
                  <c:v>867144.09000000008</c:v>
                </c:pt>
                <c:pt idx="663">
                  <c:v>528401.70000000007</c:v>
                </c:pt>
                <c:pt idx="664">
                  <c:v>3196030.59</c:v>
                </c:pt>
                <c:pt idx="665">
                  <c:v>3933422.4299999997</c:v>
                </c:pt>
                <c:pt idx="666">
                  <c:v>1034637.45</c:v>
                </c:pt>
                <c:pt idx="667">
                  <c:v>1186135.5</c:v>
                </c:pt>
                <c:pt idx="668">
                  <c:v>2915393.3849999998</c:v>
                </c:pt>
                <c:pt idx="669">
                  <c:v>5180040.3100000005</c:v>
                </c:pt>
                <c:pt idx="670">
                  <c:v>3473957.2250000001</c:v>
                </c:pt>
                <c:pt idx="671">
                  <c:v>3589233.8</c:v>
                </c:pt>
                <c:pt idx="672">
                  <c:v>3563309.9499999997</c:v>
                </c:pt>
                <c:pt idx="673">
                  <c:v>586856.44999999995</c:v>
                </c:pt>
                <c:pt idx="674">
                  <c:v>367037.02</c:v>
                </c:pt>
                <c:pt idx="675">
                  <c:v>429928.70999999996</c:v>
                </c:pt>
                <c:pt idx="676">
                  <c:v>900894.82000000007</c:v>
                </c:pt>
                <c:pt idx="677">
                  <c:v>1739144.145</c:v>
                </c:pt>
                <c:pt idx="678">
                  <c:v>1537990.355</c:v>
                </c:pt>
                <c:pt idx="679">
                  <c:v>2439027.04</c:v>
                </c:pt>
                <c:pt idx="680">
                  <c:v>2480887.31</c:v>
                </c:pt>
                <c:pt idx="681">
                  <c:v>614628.01</c:v>
                </c:pt>
                <c:pt idx="682">
                  <c:v>274368.49</c:v>
                </c:pt>
                <c:pt idx="683">
                  <c:v>1971852.2249999999</c:v>
                </c:pt>
                <c:pt idx="684">
                  <c:v>2147859.375</c:v>
                </c:pt>
                <c:pt idx="685">
                  <c:v>868775.49</c:v>
                </c:pt>
                <c:pt idx="686">
                  <c:v>3197022.0150000001</c:v>
                </c:pt>
                <c:pt idx="687">
                  <c:v>5449650.8850000007</c:v>
                </c:pt>
                <c:pt idx="688">
                  <c:v>2957778.1200000006</c:v>
                </c:pt>
                <c:pt idx="689">
                  <c:v>769447.23</c:v>
                </c:pt>
                <c:pt idx="690">
                  <c:v>965762.995</c:v>
                </c:pt>
                <c:pt idx="691">
                  <c:v>546334.64500000002</c:v>
                </c:pt>
                <c:pt idx="692">
                  <c:v>367055.45999999996</c:v>
                </c:pt>
                <c:pt idx="693">
                  <c:v>77230.42</c:v>
                </c:pt>
                <c:pt idx="694">
                  <c:v>66571.490000000005</c:v>
                </c:pt>
                <c:pt idx="695">
                  <c:v>33350.68</c:v>
                </c:pt>
                <c:pt idx="696">
                  <c:v>901496.92999999993</c:v>
                </c:pt>
                <c:pt idx="697">
                  <c:v>1463144.1</c:v>
                </c:pt>
                <c:pt idx="698">
                  <c:v>835911.92999999993</c:v>
                </c:pt>
                <c:pt idx="699">
                  <c:v>759339.71</c:v>
                </c:pt>
                <c:pt idx="700">
                  <c:v>1208025.8400000001</c:v>
                </c:pt>
                <c:pt idx="701">
                  <c:v>1853792.4400000002</c:v>
                </c:pt>
                <c:pt idx="702">
                  <c:v>2068747.3800000001</c:v>
                </c:pt>
                <c:pt idx="703">
                  <c:v>1385586.22</c:v>
                </c:pt>
                <c:pt idx="704">
                  <c:v>957400.7300000001</c:v>
                </c:pt>
                <c:pt idx="705">
                  <c:v>1845747.42</c:v>
                </c:pt>
                <c:pt idx="706">
                  <c:v>1344223.4849999999</c:v>
                </c:pt>
                <c:pt idx="707">
                  <c:v>782667.07499999995</c:v>
                </c:pt>
                <c:pt idx="708">
                  <c:v>801924.19499999995</c:v>
                </c:pt>
                <c:pt idx="709">
                  <c:v>102360.02000000002</c:v>
                </c:pt>
                <c:pt idx="710">
                  <c:v>806984.19500000007</c:v>
                </c:pt>
                <c:pt idx="711">
                  <c:v>2496534.0749999997</c:v>
                </c:pt>
                <c:pt idx="712">
                  <c:v>1905439.2449999999</c:v>
                </c:pt>
                <c:pt idx="713">
                  <c:v>1143294.96</c:v>
                </c:pt>
                <c:pt idx="714">
                  <c:v>1022910.98</c:v>
                </c:pt>
                <c:pt idx="715">
                  <c:v>637437.16</c:v>
                </c:pt>
                <c:pt idx="716">
                  <c:v>647668.24</c:v>
                </c:pt>
                <c:pt idx="717">
                  <c:v>517179.42000000004</c:v>
                </c:pt>
                <c:pt idx="718">
                  <c:v>1372219.9</c:v>
                </c:pt>
                <c:pt idx="719">
                  <c:v>956438.47499999998</c:v>
                </c:pt>
                <c:pt idx="720">
                  <c:v>2254366.2749999999</c:v>
                </c:pt>
                <c:pt idx="721">
                  <c:v>3259104.7549999999</c:v>
                </c:pt>
                <c:pt idx="722">
                  <c:v>1574292.4350000001</c:v>
                </c:pt>
                <c:pt idx="723">
                  <c:v>547265.77</c:v>
                </c:pt>
                <c:pt idx="724">
                  <c:v>512989.08</c:v>
                </c:pt>
                <c:pt idx="725">
                  <c:v>504965.47000000003</c:v>
                </c:pt>
                <c:pt idx="726">
                  <c:v>196182.92</c:v>
                </c:pt>
                <c:pt idx="727">
                  <c:v>695156.84</c:v>
                </c:pt>
                <c:pt idx="728">
                  <c:v>749225.12</c:v>
                </c:pt>
                <c:pt idx="729">
                  <c:v>532217.08000000007</c:v>
                </c:pt>
                <c:pt idx="730">
                  <c:v>527774.04</c:v>
                </c:pt>
                <c:pt idx="731">
                  <c:v>555999.44000000006</c:v>
                </c:pt>
                <c:pt idx="732">
                  <c:v>2063095.3250000002</c:v>
                </c:pt>
                <c:pt idx="733">
                  <c:v>2635401.335</c:v>
                </c:pt>
                <c:pt idx="734">
                  <c:v>1016208.88</c:v>
                </c:pt>
                <c:pt idx="735">
                  <c:v>286976.24</c:v>
                </c:pt>
                <c:pt idx="736">
                  <c:v>779062.6100000001</c:v>
                </c:pt>
                <c:pt idx="737">
                  <c:v>600991.4</c:v>
                </c:pt>
                <c:pt idx="738">
                  <c:v>1052701.1600000001</c:v>
                </c:pt>
                <c:pt idx="739">
                  <c:v>3607937.45</c:v>
                </c:pt>
                <c:pt idx="740">
                  <c:v>2625364.73</c:v>
                </c:pt>
                <c:pt idx="741">
                  <c:v>501242.28</c:v>
                </c:pt>
                <c:pt idx="742">
                  <c:v>733642.57000000007</c:v>
                </c:pt>
                <c:pt idx="743">
                  <c:v>2889048.38</c:v>
                </c:pt>
                <c:pt idx="744">
                  <c:v>2625205.6850000001</c:v>
                </c:pt>
                <c:pt idx="745">
                  <c:v>877457.23499999999</c:v>
                </c:pt>
                <c:pt idx="746">
                  <c:v>1180580.5999999999</c:v>
                </c:pt>
                <c:pt idx="747">
                  <c:v>504256.44999999995</c:v>
                </c:pt>
                <c:pt idx="748">
                  <c:v>1068759.6499999999</c:v>
                </c:pt>
                <c:pt idx="749">
                  <c:v>1416035.5</c:v>
                </c:pt>
                <c:pt idx="750">
                  <c:v>571548.27500000002</c:v>
                </c:pt>
                <c:pt idx="751">
                  <c:v>234464.995</c:v>
                </c:pt>
                <c:pt idx="752">
                  <c:v>464438.52</c:v>
                </c:pt>
                <c:pt idx="753">
                  <c:v>853151.07000000007</c:v>
                </c:pt>
                <c:pt idx="754">
                  <c:v>2450927.5699999998</c:v>
                </c:pt>
                <c:pt idx="755">
                  <c:v>3589630.5999999996</c:v>
                </c:pt>
                <c:pt idx="756">
                  <c:v>4625760.6449999996</c:v>
                </c:pt>
                <c:pt idx="757">
                  <c:v>2988760.0049999999</c:v>
                </c:pt>
                <c:pt idx="758">
                  <c:v>947397.71</c:v>
                </c:pt>
                <c:pt idx="759">
                  <c:v>1237493.345</c:v>
                </c:pt>
                <c:pt idx="760">
                  <c:v>625093.47499999998</c:v>
                </c:pt>
                <c:pt idx="761">
                  <c:v>1487314.9950000001</c:v>
                </c:pt>
                <c:pt idx="762">
                  <c:v>1393947.8150000002</c:v>
                </c:pt>
                <c:pt idx="763">
                  <c:v>264412.7</c:v>
                </c:pt>
                <c:pt idx="764">
                  <c:v>2326110.75</c:v>
                </c:pt>
                <c:pt idx="765">
                  <c:v>3484454.79</c:v>
                </c:pt>
                <c:pt idx="766">
                  <c:v>1952828.1</c:v>
                </c:pt>
                <c:pt idx="767">
                  <c:v>697912.21000000008</c:v>
                </c:pt>
                <c:pt idx="768">
                  <c:v>166041.54999999999</c:v>
                </c:pt>
                <c:pt idx="769">
                  <c:v>435879.67999999999</c:v>
                </c:pt>
                <c:pt idx="770">
                  <c:v>323217.28000000003</c:v>
                </c:pt>
                <c:pt idx="771">
                  <c:v>215124.035</c:v>
                </c:pt>
                <c:pt idx="772">
                  <c:v>287383.23499999999</c:v>
                </c:pt>
                <c:pt idx="773">
                  <c:v>229021.7</c:v>
                </c:pt>
                <c:pt idx="774">
                  <c:v>258982.1</c:v>
                </c:pt>
                <c:pt idx="775">
                  <c:v>2820014.7850000001</c:v>
                </c:pt>
                <c:pt idx="776">
                  <c:v>3816202.3850000002</c:v>
                </c:pt>
                <c:pt idx="777">
                  <c:v>2432549.35</c:v>
                </c:pt>
                <c:pt idx="778">
                  <c:v>1698606.28</c:v>
                </c:pt>
                <c:pt idx="779">
                  <c:v>2963952.915</c:v>
                </c:pt>
                <c:pt idx="780">
                  <c:v>3324517.3850000002</c:v>
                </c:pt>
                <c:pt idx="781">
                  <c:v>2546908.5999999996</c:v>
                </c:pt>
                <c:pt idx="782">
                  <c:v>2049589.9</c:v>
                </c:pt>
                <c:pt idx="783">
                  <c:v>958433.94</c:v>
                </c:pt>
                <c:pt idx="784">
                  <c:v>940328.54500000004</c:v>
                </c:pt>
                <c:pt idx="785">
                  <c:v>405237.38500000001</c:v>
                </c:pt>
                <c:pt idx="786">
                  <c:v>238184.10500000001</c:v>
                </c:pt>
                <c:pt idx="787">
                  <c:v>536264.96500000008</c:v>
                </c:pt>
                <c:pt idx="788">
                  <c:v>988947.27</c:v>
                </c:pt>
                <c:pt idx="789">
                  <c:v>1161868.56</c:v>
                </c:pt>
                <c:pt idx="790">
                  <c:v>685456.58</c:v>
                </c:pt>
                <c:pt idx="791">
                  <c:v>176509.32500000001</c:v>
                </c:pt>
                <c:pt idx="792">
                  <c:v>244596.02499999999</c:v>
                </c:pt>
                <c:pt idx="793">
                  <c:v>448335.13</c:v>
                </c:pt>
                <c:pt idx="794">
                  <c:v>515770.30500000005</c:v>
                </c:pt>
                <c:pt idx="795">
                  <c:v>2551034.875</c:v>
                </c:pt>
                <c:pt idx="796">
                  <c:v>2519989.0749999997</c:v>
                </c:pt>
                <c:pt idx="797">
                  <c:v>255821.30499999999</c:v>
                </c:pt>
                <c:pt idx="798">
                  <c:v>996321.56</c:v>
                </c:pt>
                <c:pt idx="799">
                  <c:v>2735300.08</c:v>
                </c:pt>
                <c:pt idx="800">
                  <c:v>1867014.97</c:v>
                </c:pt>
                <c:pt idx="801">
                  <c:v>66364.760000000009</c:v>
                </c:pt>
                <c:pt idx="802">
                  <c:v>1835358.085</c:v>
                </c:pt>
                <c:pt idx="803">
                  <c:v>3111011.2399999998</c:v>
                </c:pt>
                <c:pt idx="804">
                  <c:v>1332557.345</c:v>
                </c:pt>
                <c:pt idx="805">
                  <c:v>298089.42</c:v>
                </c:pt>
                <c:pt idx="806">
                  <c:v>322302.255</c:v>
                </c:pt>
                <c:pt idx="807">
                  <c:v>2979966.7050000001</c:v>
                </c:pt>
                <c:pt idx="808">
                  <c:v>3535579.74</c:v>
                </c:pt>
                <c:pt idx="809">
                  <c:v>721999.99500000011</c:v>
                </c:pt>
                <c:pt idx="810">
                  <c:v>138843.315</c:v>
                </c:pt>
                <c:pt idx="811">
                  <c:v>394836.995</c:v>
                </c:pt>
                <c:pt idx="812">
                  <c:v>723228.77</c:v>
                </c:pt>
                <c:pt idx="813">
                  <c:v>368834.685</c:v>
                </c:pt>
                <c:pt idx="814">
                  <c:v>386856.15</c:v>
                </c:pt>
                <c:pt idx="815">
                  <c:v>2281479.4350000001</c:v>
                </c:pt>
                <c:pt idx="816">
                  <c:v>3496775.6799999997</c:v>
                </c:pt>
                <c:pt idx="817">
                  <c:v>4399193.9800000004</c:v>
                </c:pt>
                <c:pt idx="818">
                  <c:v>2921442.6550000003</c:v>
                </c:pt>
                <c:pt idx="819">
                  <c:v>135963.58000000002</c:v>
                </c:pt>
                <c:pt idx="820">
                  <c:v>27663.45</c:v>
                </c:pt>
                <c:pt idx="821">
                  <c:v>540613.2699999999</c:v>
                </c:pt>
                <c:pt idx="822">
                  <c:v>3346761.835</c:v>
                </c:pt>
                <c:pt idx="823">
                  <c:v>2915923.1850000001</c:v>
                </c:pt>
                <c:pt idx="824">
                  <c:v>1347657.405</c:v>
                </c:pt>
                <c:pt idx="825">
                  <c:v>1910520.6850000001</c:v>
                </c:pt>
                <c:pt idx="826">
                  <c:v>1127098.45</c:v>
                </c:pt>
                <c:pt idx="827">
                  <c:v>476894.53499999997</c:v>
                </c:pt>
                <c:pt idx="828">
                  <c:v>769297.01500000001</c:v>
                </c:pt>
                <c:pt idx="829">
                  <c:v>771666.83499999996</c:v>
                </c:pt>
                <c:pt idx="830">
                  <c:v>183717.255</c:v>
                </c:pt>
                <c:pt idx="831">
                  <c:v>1110955.31</c:v>
                </c:pt>
                <c:pt idx="832">
                  <c:v>1351204.92</c:v>
                </c:pt>
                <c:pt idx="833">
                  <c:v>437318.09500000003</c:v>
                </c:pt>
                <c:pt idx="834">
                  <c:v>578116.0149999999</c:v>
                </c:pt>
                <c:pt idx="835">
                  <c:v>2244802.8849999998</c:v>
                </c:pt>
                <c:pt idx="836">
                  <c:v>2409839.1749999998</c:v>
                </c:pt>
                <c:pt idx="837">
                  <c:v>1649193.94</c:v>
                </c:pt>
                <c:pt idx="838">
                  <c:v>1032084.35</c:v>
                </c:pt>
                <c:pt idx="839">
                  <c:v>188187.82</c:v>
                </c:pt>
                <c:pt idx="840">
                  <c:v>435298.47500000003</c:v>
                </c:pt>
                <c:pt idx="841">
                  <c:v>1115874.9550000001</c:v>
                </c:pt>
                <c:pt idx="842">
                  <c:v>806865.33500000008</c:v>
                </c:pt>
                <c:pt idx="843">
                  <c:v>292381.69999999995</c:v>
                </c:pt>
                <c:pt idx="844">
                  <c:v>306040.81999999995</c:v>
                </c:pt>
                <c:pt idx="845">
                  <c:v>708326.255</c:v>
                </c:pt>
                <c:pt idx="846">
                  <c:v>781819.04</c:v>
                </c:pt>
                <c:pt idx="847">
                  <c:v>309881.40000000002</c:v>
                </c:pt>
                <c:pt idx="848">
                  <c:v>1341185.92</c:v>
                </c:pt>
                <c:pt idx="849">
                  <c:v>1829208.8399999999</c:v>
                </c:pt>
                <c:pt idx="850">
                  <c:v>686219.18</c:v>
                </c:pt>
                <c:pt idx="851">
                  <c:v>1368260.5950000002</c:v>
                </c:pt>
                <c:pt idx="852">
                  <c:v>1524082.4950000001</c:v>
                </c:pt>
                <c:pt idx="853">
                  <c:v>1901566</c:v>
                </c:pt>
                <c:pt idx="854">
                  <c:v>2045543.92</c:v>
                </c:pt>
                <c:pt idx="855">
                  <c:v>1349282.44</c:v>
                </c:pt>
                <c:pt idx="856">
                  <c:v>1120263.5249999999</c:v>
                </c:pt>
                <c:pt idx="857">
                  <c:v>247094.13</c:v>
                </c:pt>
                <c:pt idx="858">
                  <c:v>387571.60000000003</c:v>
                </c:pt>
                <c:pt idx="859">
                  <c:v>470419.33</c:v>
                </c:pt>
                <c:pt idx="860">
                  <c:v>399623.93000000005</c:v>
                </c:pt>
                <c:pt idx="861">
                  <c:v>444209.79500000004</c:v>
                </c:pt>
                <c:pt idx="862">
                  <c:v>330612.55500000005</c:v>
                </c:pt>
                <c:pt idx="863">
                  <c:v>2460577.27</c:v>
                </c:pt>
                <c:pt idx="864">
                  <c:v>2470737.6399999997</c:v>
                </c:pt>
                <c:pt idx="865">
                  <c:v>1367089.7350000001</c:v>
                </c:pt>
                <c:pt idx="866">
                  <c:v>1547439.28</c:v>
                </c:pt>
                <c:pt idx="867">
                  <c:v>533585.79999999993</c:v>
                </c:pt>
                <c:pt idx="868">
                  <c:v>701186.61</c:v>
                </c:pt>
                <c:pt idx="869">
                  <c:v>589345.41</c:v>
                </c:pt>
                <c:pt idx="870">
                  <c:v>880446.34000000008</c:v>
                </c:pt>
                <c:pt idx="871">
                  <c:v>936524.18</c:v>
                </c:pt>
                <c:pt idx="872">
                  <c:v>1734109.9450000001</c:v>
                </c:pt>
                <c:pt idx="873">
                  <c:v>2118318.2450000001</c:v>
                </c:pt>
                <c:pt idx="874">
                  <c:v>1272675.0750000002</c:v>
                </c:pt>
                <c:pt idx="875">
                  <c:v>1749797.5950000002</c:v>
                </c:pt>
                <c:pt idx="876">
                  <c:v>2560259.31</c:v>
                </c:pt>
                <c:pt idx="877">
                  <c:v>3614568.3000000003</c:v>
                </c:pt>
                <c:pt idx="878">
                  <c:v>5312245.5750000011</c:v>
                </c:pt>
                <c:pt idx="879">
                  <c:v>3620668.8350000004</c:v>
                </c:pt>
                <c:pt idx="880">
                  <c:v>846576.4850000001</c:v>
                </c:pt>
                <c:pt idx="881">
                  <c:v>382657.93500000006</c:v>
                </c:pt>
                <c:pt idx="882">
                  <c:v>333452.01</c:v>
                </c:pt>
                <c:pt idx="883">
                  <c:v>1273256.5649999999</c:v>
                </c:pt>
                <c:pt idx="884">
                  <c:v>1676182.6149999998</c:v>
                </c:pt>
                <c:pt idx="885">
                  <c:v>1413332.825</c:v>
                </c:pt>
                <c:pt idx="886">
                  <c:v>736489.77500000002</c:v>
                </c:pt>
                <c:pt idx="887">
                  <c:v>379750.36</c:v>
                </c:pt>
                <c:pt idx="888">
                  <c:v>782826.33000000007</c:v>
                </c:pt>
                <c:pt idx="889">
                  <c:v>3719087.9450000003</c:v>
                </c:pt>
                <c:pt idx="890">
                  <c:v>3465194.7749999999</c:v>
                </c:pt>
                <c:pt idx="891">
                  <c:v>404155.375</c:v>
                </c:pt>
                <c:pt idx="892">
                  <c:v>304842.02500000002</c:v>
                </c:pt>
                <c:pt idx="893">
                  <c:v>520053.63</c:v>
                </c:pt>
                <c:pt idx="894">
                  <c:v>1492795.8199999998</c:v>
                </c:pt>
                <c:pt idx="895">
                  <c:v>1880907.69</c:v>
                </c:pt>
                <c:pt idx="896">
                  <c:v>1766286.97</c:v>
                </c:pt>
                <c:pt idx="897">
                  <c:v>1093721.17</c:v>
                </c:pt>
                <c:pt idx="898">
                  <c:v>2632386.7350000003</c:v>
                </c:pt>
                <c:pt idx="899">
                  <c:v>4334707.335</c:v>
                </c:pt>
                <c:pt idx="900">
                  <c:v>1861194.15</c:v>
                </c:pt>
                <c:pt idx="901">
                  <c:v>2223990.15</c:v>
                </c:pt>
                <c:pt idx="902">
                  <c:v>2312495.9700000002</c:v>
                </c:pt>
                <c:pt idx="903">
                  <c:v>2260399.1700000004</c:v>
                </c:pt>
                <c:pt idx="904">
                  <c:v>2956253.41</c:v>
                </c:pt>
                <c:pt idx="905">
                  <c:v>1102280.5899999999</c:v>
                </c:pt>
                <c:pt idx="906">
                  <c:v>805121.03</c:v>
                </c:pt>
                <c:pt idx="907">
                  <c:v>1210955.8999999999</c:v>
                </c:pt>
                <c:pt idx="908">
                  <c:v>2645859.8249999997</c:v>
                </c:pt>
                <c:pt idx="909">
                  <c:v>2290471.6799999997</c:v>
                </c:pt>
                <c:pt idx="910">
                  <c:v>619018.42500000005</c:v>
                </c:pt>
                <c:pt idx="911">
                  <c:v>464445.08500000008</c:v>
                </c:pt>
                <c:pt idx="912">
                  <c:v>1218709.48</c:v>
                </c:pt>
                <c:pt idx="913">
                  <c:v>1367096.325</c:v>
                </c:pt>
                <c:pt idx="914">
                  <c:v>482414.86</c:v>
                </c:pt>
                <c:pt idx="915">
                  <c:v>574096.51</c:v>
                </c:pt>
                <c:pt idx="916">
                  <c:v>3224001.75</c:v>
                </c:pt>
                <c:pt idx="917">
                  <c:v>3062353.19</c:v>
                </c:pt>
                <c:pt idx="918">
                  <c:v>1022654.5999999999</c:v>
                </c:pt>
                <c:pt idx="919">
                  <c:v>1121061.5299999998</c:v>
                </c:pt>
                <c:pt idx="920">
                  <c:v>806273.01</c:v>
                </c:pt>
                <c:pt idx="921">
                  <c:v>450406.46500000003</c:v>
                </c:pt>
                <c:pt idx="922">
                  <c:v>329213.83499999996</c:v>
                </c:pt>
                <c:pt idx="923">
                  <c:v>494437.625</c:v>
                </c:pt>
                <c:pt idx="924">
                  <c:v>479242.79000000004</c:v>
                </c:pt>
                <c:pt idx="925">
                  <c:v>546918.75</c:v>
                </c:pt>
                <c:pt idx="926">
                  <c:v>905993.88500000001</c:v>
                </c:pt>
                <c:pt idx="927">
                  <c:v>1374748.35</c:v>
                </c:pt>
                <c:pt idx="928">
                  <c:v>838230</c:v>
                </c:pt>
                <c:pt idx="929">
                  <c:v>157627.31</c:v>
                </c:pt>
                <c:pt idx="930">
                  <c:v>247527.48500000004</c:v>
                </c:pt>
                <c:pt idx="931">
                  <c:v>497679.625</c:v>
                </c:pt>
                <c:pt idx="932">
                  <c:v>368691.66499999998</c:v>
                </c:pt>
                <c:pt idx="933">
                  <c:v>90616.455000000002</c:v>
                </c:pt>
                <c:pt idx="934">
                  <c:v>2112919.19</c:v>
                </c:pt>
                <c:pt idx="935">
                  <c:v>2338465.19</c:v>
                </c:pt>
                <c:pt idx="936">
                  <c:v>1552615.2349999999</c:v>
                </c:pt>
                <c:pt idx="937">
                  <c:v>1989961.9649999999</c:v>
                </c:pt>
                <c:pt idx="938">
                  <c:v>1006186.12</c:v>
                </c:pt>
                <c:pt idx="939">
                  <c:v>556969.14</c:v>
                </c:pt>
                <c:pt idx="940">
                  <c:v>1188787.1399999999</c:v>
                </c:pt>
                <c:pt idx="941">
                  <c:v>996089.89500000002</c:v>
                </c:pt>
                <c:pt idx="942">
                  <c:v>706772.23499999999</c:v>
                </c:pt>
                <c:pt idx="943">
                  <c:v>684804.75</c:v>
                </c:pt>
                <c:pt idx="944">
                  <c:v>359677.41</c:v>
                </c:pt>
                <c:pt idx="945">
                  <c:v>359437.73</c:v>
                </c:pt>
                <c:pt idx="946">
                  <c:v>166014.68000000002</c:v>
                </c:pt>
                <c:pt idx="947">
                  <c:v>337844</c:v>
                </c:pt>
                <c:pt idx="948">
                  <c:v>929872.81</c:v>
                </c:pt>
                <c:pt idx="949">
                  <c:v>909561.5</c:v>
                </c:pt>
                <c:pt idx="950">
                  <c:v>502120.66000000003</c:v>
                </c:pt>
                <c:pt idx="951">
                  <c:v>1785385.4449999998</c:v>
                </c:pt>
                <c:pt idx="952">
                  <c:v>1564081.1749999998</c:v>
                </c:pt>
                <c:pt idx="953">
                  <c:v>427672.79500000004</c:v>
                </c:pt>
                <c:pt idx="954">
                  <c:v>1521969.68</c:v>
                </c:pt>
                <c:pt idx="955">
                  <c:v>1609884.2549999999</c:v>
                </c:pt>
                <c:pt idx="956">
                  <c:v>2071709.52</c:v>
                </c:pt>
                <c:pt idx="957">
                  <c:v>1805587.33</c:v>
                </c:pt>
                <c:pt idx="958">
                  <c:v>721462.98</c:v>
                </c:pt>
                <c:pt idx="959">
                  <c:v>1082368.345</c:v>
                </c:pt>
                <c:pt idx="960">
                  <c:v>628149.375</c:v>
                </c:pt>
                <c:pt idx="961">
                  <c:v>3449340.52</c:v>
                </c:pt>
                <c:pt idx="962">
                  <c:v>3762511.93</c:v>
                </c:pt>
                <c:pt idx="963">
                  <c:v>591532.73</c:v>
                </c:pt>
                <c:pt idx="964">
                  <c:v>1331849.8400000001</c:v>
                </c:pt>
                <c:pt idx="965">
                  <c:v>1372537.4</c:v>
                </c:pt>
                <c:pt idx="966">
                  <c:v>458831.39</c:v>
                </c:pt>
                <c:pt idx="967">
                  <c:v>1505540.19</c:v>
                </c:pt>
                <c:pt idx="968">
                  <c:v>1527110.44</c:v>
                </c:pt>
                <c:pt idx="969">
                  <c:v>347529.1</c:v>
                </c:pt>
                <c:pt idx="970">
                  <c:v>1380224.6600000001</c:v>
                </c:pt>
                <c:pt idx="971">
                  <c:v>3351957.0649999999</c:v>
                </c:pt>
                <c:pt idx="972">
                  <c:v>2058814.3399999999</c:v>
                </c:pt>
                <c:pt idx="973">
                  <c:v>211557.51500000001</c:v>
                </c:pt>
                <c:pt idx="974">
                  <c:v>2991300.5550000002</c:v>
                </c:pt>
                <c:pt idx="975">
                  <c:v>5874375.8800000008</c:v>
                </c:pt>
                <c:pt idx="976">
                  <c:v>3071498.7250000001</c:v>
                </c:pt>
                <c:pt idx="977">
                  <c:v>1283006.6399999999</c:v>
                </c:pt>
                <c:pt idx="978">
                  <c:v>2662889.25</c:v>
                </c:pt>
                <c:pt idx="979">
                  <c:v>1414668.1700000002</c:v>
                </c:pt>
                <c:pt idx="980">
                  <c:v>230020.82500000001</c:v>
                </c:pt>
                <c:pt idx="981">
                  <c:v>408236.07500000001</c:v>
                </c:pt>
                <c:pt idx="982">
                  <c:v>1922170.7700000003</c:v>
                </c:pt>
                <c:pt idx="983">
                  <c:v>2077485.1800000002</c:v>
                </c:pt>
                <c:pt idx="984">
                  <c:v>898943.66</c:v>
                </c:pt>
                <c:pt idx="985">
                  <c:v>684466.36</c:v>
                </c:pt>
                <c:pt idx="986">
                  <c:v>138108.41</c:v>
                </c:pt>
                <c:pt idx="987">
                  <c:v>585611.69999999995</c:v>
                </c:pt>
                <c:pt idx="988">
                  <c:v>2708512.85</c:v>
                </c:pt>
                <c:pt idx="989">
                  <c:v>2736474.95</c:v>
                </c:pt>
                <c:pt idx="990">
                  <c:v>755142.95000000007</c:v>
                </c:pt>
                <c:pt idx="991">
                  <c:v>164549.81</c:v>
                </c:pt>
                <c:pt idx="992">
                  <c:v>1317169.21</c:v>
                </c:pt>
                <c:pt idx="993">
                  <c:v>1296834.4750000001</c:v>
                </c:pt>
                <c:pt idx="994">
                  <c:v>208248.85</c:v>
                </c:pt>
                <c:pt idx="995">
                  <c:v>232394.83499999999</c:v>
                </c:pt>
                <c:pt idx="996">
                  <c:v>54757.715000000004</c:v>
                </c:pt>
                <c:pt idx="997">
                  <c:v>346129.34500000003</c:v>
                </c:pt>
                <c:pt idx="998">
                  <c:v>502922.89</c:v>
                </c:pt>
              </c:numCache>
            </c:numRef>
          </c:val>
          <c:smooth val="0"/>
          <c:extLst>
            <c:ext xmlns:c16="http://schemas.microsoft.com/office/drawing/2014/chart" uri="{C3380CC4-5D6E-409C-BE32-E72D297353CC}">
              <c16:uniqueId val="{00000001-C15B-4A71-A86F-119068FB3A6B}"/>
            </c:ext>
          </c:extLst>
        </c:ser>
        <c:ser>
          <c:idx val="2"/>
          <c:order val="2"/>
          <c:spPr>
            <a:ln w="34925" cap="rnd">
              <a:solidFill>
                <a:schemeClr val="accent3"/>
              </a:solidFill>
              <a:round/>
            </a:ln>
            <a:effectLst>
              <a:outerShdw blurRad="57150" dist="19050" dir="5400000" algn="ctr" rotWithShape="0">
                <a:srgbClr val="000000">
                  <a:alpha val="63000"/>
                </a:srgbClr>
              </a:outerShdw>
            </a:effectLst>
          </c:spPr>
          <c:marker>
            <c:symbol val="none"/>
          </c:marker>
          <c:val>
            <c:numRef>
              <c:f>'Medias Moviles'!$G$4:$G$1001</c:f>
              <c:numCache>
                <c:formatCode>_-* #,##0.00\ [$€-C0A]_-;\-* #,##0.00\ [$€-C0A]_-;_-* "-"??\ [$€-C0A]_-;_-@_-</c:formatCode>
                <c:ptCount val="998"/>
                <c:pt idx="0">
                  <c:v>890380.85333333339</c:v>
                </c:pt>
                <c:pt idx="1">
                  <c:v>639621.71333333326</c:v>
                </c:pt>
                <c:pt idx="2">
                  <c:v>808979.57333333325</c:v>
                </c:pt>
                <c:pt idx="3">
                  <c:v>404647.24</c:v>
                </c:pt>
                <c:pt idx="4">
                  <c:v>580438.74000000011</c:v>
                </c:pt>
                <c:pt idx="5">
                  <c:v>1483650.26</c:v>
                </c:pt>
                <c:pt idx="6">
                  <c:v>1657812.9833333334</c:v>
                </c:pt>
                <c:pt idx="7">
                  <c:v>3480478.1133333333</c:v>
                </c:pt>
                <c:pt idx="8">
                  <c:v>2408900.9133333336</c:v>
                </c:pt>
                <c:pt idx="9">
                  <c:v>2505865.4300000002</c:v>
                </c:pt>
                <c:pt idx="10">
                  <c:v>576256.62333333341</c:v>
                </c:pt>
                <c:pt idx="11">
                  <c:v>539109.25000000012</c:v>
                </c:pt>
                <c:pt idx="12">
                  <c:v>211957.19000000003</c:v>
                </c:pt>
                <c:pt idx="13">
                  <c:v>384746.36333333334</c:v>
                </c:pt>
                <c:pt idx="14">
                  <c:v>492574.40333333332</c:v>
                </c:pt>
                <c:pt idx="15">
                  <c:v>861787.68333333323</c:v>
                </c:pt>
                <c:pt idx="16">
                  <c:v>1704308.4766666666</c:v>
                </c:pt>
                <c:pt idx="17">
                  <c:v>2311637.4500000002</c:v>
                </c:pt>
                <c:pt idx="18">
                  <c:v>2195032.976666667</c:v>
                </c:pt>
                <c:pt idx="19">
                  <c:v>1213287.3266666667</c:v>
                </c:pt>
                <c:pt idx="20">
                  <c:v>548045.62666666671</c:v>
                </c:pt>
                <c:pt idx="21">
                  <c:v>405570.34</c:v>
                </c:pt>
                <c:pt idx="22">
                  <c:v>583195.14666666661</c:v>
                </c:pt>
                <c:pt idx="23">
                  <c:v>641084.31666666665</c:v>
                </c:pt>
                <c:pt idx="24">
                  <c:v>589431.30333333334</c:v>
                </c:pt>
                <c:pt idx="25">
                  <c:v>417209.75</c:v>
                </c:pt>
                <c:pt idx="26">
                  <c:v>1564144.3933333333</c:v>
                </c:pt>
                <c:pt idx="27">
                  <c:v>1976582.0733333332</c:v>
                </c:pt>
                <c:pt idx="28">
                  <c:v>2195072.98</c:v>
                </c:pt>
                <c:pt idx="29">
                  <c:v>854765.15666666673</c:v>
                </c:pt>
                <c:pt idx="30">
                  <c:v>559439.21000000008</c:v>
                </c:pt>
                <c:pt idx="31">
                  <c:v>211412.67</c:v>
                </c:pt>
                <c:pt idx="32">
                  <c:v>325178.44666666671</c:v>
                </c:pt>
                <c:pt idx="33">
                  <c:v>1432009.8166666664</c:v>
                </c:pt>
                <c:pt idx="34">
                  <c:v>1554005.5966666664</c:v>
                </c:pt>
                <c:pt idx="35">
                  <c:v>1535998.1566666665</c:v>
                </c:pt>
                <c:pt idx="36">
                  <c:v>613155.74000000011</c:v>
                </c:pt>
                <c:pt idx="37">
                  <c:v>1522211.6600000001</c:v>
                </c:pt>
                <c:pt idx="38">
                  <c:v>1411535.2033333334</c:v>
                </c:pt>
                <c:pt idx="39">
                  <c:v>1229476.8633333333</c:v>
                </c:pt>
                <c:pt idx="40">
                  <c:v>198776.59333333335</c:v>
                </c:pt>
                <c:pt idx="41">
                  <c:v>723112.4833333334</c:v>
                </c:pt>
                <c:pt idx="42">
                  <c:v>1127035.5166666666</c:v>
                </c:pt>
                <c:pt idx="43">
                  <c:v>1349830.1633333333</c:v>
                </c:pt>
                <c:pt idx="44">
                  <c:v>1048377.5299999999</c:v>
                </c:pt>
                <c:pt idx="45">
                  <c:v>581051.08000000007</c:v>
                </c:pt>
                <c:pt idx="46">
                  <c:v>1246207.3533333333</c:v>
                </c:pt>
                <c:pt idx="47">
                  <c:v>1280776.26</c:v>
                </c:pt>
                <c:pt idx="48">
                  <c:v>1315309.9099999999</c:v>
                </c:pt>
                <c:pt idx="49">
                  <c:v>728353.91999999993</c:v>
                </c:pt>
                <c:pt idx="50">
                  <c:v>620040.41333333333</c:v>
                </c:pt>
                <c:pt idx="51">
                  <c:v>1355828.0366666666</c:v>
                </c:pt>
                <c:pt idx="52">
                  <c:v>1381093.8766666667</c:v>
                </c:pt>
                <c:pt idx="53">
                  <c:v>1268510.8433333333</c:v>
                </c:pt>
                <c:pt idx="54">
                  <c:v>563606.53999999992</c:v>
                </c:pt>
                <c:pt idx="55">
                  <c:v>325856.85333333333</c:v>
                </c:pt>
                <c:pt idx="56">
                  <c:v>439586.13999999996</c:v>
                </c:pt>
                <c:pt idx="57">
                  <c:v>464567.22666666663</c:v>
                </c:pt>
                <c:pt idx="58">
                  <c:v>923483.8933333332</c:v>
                </c:pt>
                <c:pt idx="59">
                  <c:v>979256.33000000007</c:v>
                </c:pt>
                <c:pt idx="60">
                  <c:v>911885.53000000014</c:v>
                </c:pt>
                <c:pt idx="61">
                  <c:v>392053.94333333336</c:v>
                </c:pt>
                <c:pt idx="62">
                  <c:v>940285.56666666677</c:v>
                </c:pt>
                <c:pt idx="63">
                  <c:v>816290.48</c:v>
                </c:pt>
                <c:pt idx="64">
                  <c:v>783217.60666666657</c:v>
                </c:pt>
                <c:pt idx="65">
                  <c:v>395089.49333333335</c:v>
                </c:pt>
                <c:pt idx="66">
                  <c:v>473320.64666666667</c:v>
                </c:pt>
                <c:pt idx="67">
                  <c:v>605640.98333333328</c:v>
                </c:pt>
                <c:pt idx="68">
                  <c:v>476913.1166666667</c:v>
                </c:pt>
                <c:pt idx="69">
                  <c:v>1332551.4166666667</c:v>
                </c:pt>
                <c:pt idx="70">
                  <c:v>2093175.5233333334</c:v>
                </c:pt>
                <c:pt idx="71">
                  <c:v>3301323.5033333334</c:v>
                </c:pt>
                <c:pt idx="72">
                  <c:v>2363001.1133333333</c:v>
                </c:pt>
                <c:pt idx="73">
                  <c:v>1673513.5233333334</c:v>
                </c:pt>
                <c:pt idx="74">
                  <c:v>252040.46</c:v>
                </c:pt>
                <c:pt idx="75">
                  <c:v>349489.4433333333</c:v>
                </c:pt>
                <c:pt idx="76">
                  <c:v>163157.15</c:v>
                </c:pt>
                <c:pt idx="77">
                  <c:v>172928.72333333333</c:v>
                </c:pt>
                <c:pt idx="78">
                  <c:v>523138.06666666665</c:v>
                </c:pt>
                <c:pt idx="79">
                  <c:v>728114.98</c:v>
                </c:pt>
                <c:pt idx="80">
                  <c:v>744273.44000000006</c:v>
                </c:pt>
                <c:pt idx="81">
                  <c:v>853689.57333333325</c:v>
                </c:pt>
                <c:pt idx="82">
                  <c:v>664952.55999999994</c:v>
                </c:pt>
                <c:pt idx="83">
                  <c:v>1715700.4100000001</c:v>
                </c:pt>
                <c:pt idx="84">
                  <c:v>1163394.1066666667</c:v>
                </c:pt>
                <c:pt idx="85">
                  <c:v>2761132.6766666672</c:v>
                </c:pt>
                <c:pt idx="86">
                  <c:v>1959599.3433333335</c:v>
                </c:pt>
                <c:pt idx="87">
                  <c:v>1981348.176666667</c:v>
                </c:pt>
                <c:pt idx="88">
                  <c:v>1984523.7766666666</c:v>
                </c:pt>
                <c:pt idx="89">
                  <c:v>2666959</c:v>
                </c:pt>
                <c:pt idx="90">
                  <c:v>3126798.1999999997</c:v>
                </c:pt>
                <c:pt idx="91">
                  <c:v>1513269.49</c:v>
                </c:pt>
                <c:pt idx="92">
                  <c:v>609814.35</c:v>
                </c:pt>
                <c:pt idx="93">
                  <c:v>229385.06000000003</c:v>
                </c:pt>
                <c:pt idx="94">
                  <c:v>756899.36</c:v>
                </c:pt>
                <c:pt idx="95">
                  <c:v>1526675.8333333333</c:v>
                </c:pt>
                <c:pt idx="96">
                  <c:v>1662179.9266666668</c:v>
                </c:pt>
                <c:pt idx="97">
                  <c:v>1378754.5066666668</c:v>
                </c:pt>
                <c:pt idx="98">
                  <c:v>1205177.0833333333</c:v>
                </c:pt>
                <c:pt idx="99">
                  <c:v>1156819.82</c:v>
                </c:pt>
                <c:pt idx="100">
                  <c:v>1181486.92</c:v>
                </c:pt>
                <c:pt idx="101">
                  <c:v>1552872.2633333334</c:v>
                </c:pt>
                <c:pt idx="102">
                  <c:v>1465820.3333333333</c:v>
                </c:pt>
                <c:pt idx="103">
                  <c:v>1378538.8066666666</c:v>
                </c:pt>
                <c:pt idx="104">
                  <c:v>1113882.9166666667</c:v>
                </c:pt>
                <c:pt idx="105">
                  <c:v>1189453.4766666668</c:v>
                </c:pt>
                <c:pt idx="106">
                  <c:v>2234579.4033333333</c:v>
                </c:pt>
                <c:pt idx="107">
                  <c:v>2203179.9633333334</c:v>
                </c:pt>
                <c:pt idx="108">
                  <c:v>2759097.3866666667</c:v>
                </c:pt>
                <c:pt idx="109">
                  <c:v>1608787.0266666666</c:v>
                </c:pt>
                <c:pt idx="110">
                  <c:v>1089601.7699999998</c:v>
                </c:pt>
                <c:pt idx="111">
                  <c:v>887650.05666666664</c:v>
                </c:pt>
                <c:pt idx="112">
                  <c:v>2785531.7899999996</c:v>
                </c:pt>
                <c:pt idx="113">
                  <c:v>3225495.1533333329</c:v>
                </c:pt>
                <c:pt idx="114">
                  <c:v>2704269.6666666665</c:v>
                </c:pt>
                <c:pt idx="115">
                  <c:v>1019595.0533333333</c:v>
                </c:pt>
                <c:pt idx="116">
                  <c:v>506619.55666666664</c:v>
                </c:pt>
                <c:pt idx="117">
                  <c:v>500522.25333333336</c:v>
                </c:pt>
                <c:pt idx="118">
                  <c:v>250758.51333333334</c:v>
                </c:pt>
                <c:pt idx="119">
                  <c:v>186452.67333333334</c:v>
                </c:pt>
                <c:pt idx="120">
                  <c:v>164505.40333333335</c:v>
                </c:pt>
                <c:pt idx="121">
                  <c:v>123002.41333333333</c:v>
                </c:pt>
                <c:pt idx="122">
                  <c:v>252310.97999999998</c:v>
                </c:pt>
                <c:pt idx="123">
                  <c:v>260145.06999999998</c:v>
                </c:pt>
                <c:pt idx="124">
                  <c:v>244077.51666666663</c:v>
                </c:pt>
                <c:pt idx="125">
                  <c:v>27085.426666666666</c:v>
                </c:pt>
                <c:pt idx="126">
                  <c:v>444956.31666666665</c:v>
                </c:pt>
                <c:pt idx="127">
                  <c:v>592041.57333333336</c:v>
                </c:pt>
                <c:pt idx="128">
                  <c:v>2505267.0333333332</c:v>
                </c:pt>
                <c:pt idx="129">
                  <c:v>2245695.2666666666</c:v>
                </c:pt>
                <c:pt idx="130">
                  <c:v>3581363.3633333333</c:v>
                </c:pt>
                <c:pt idx="131">
                  <c:v>2121496.1366666667</c:v>
                </c:pt>
                <c:pt idx="132">
                  <c:v>1996162.9366666668</c:v>
                </c:pt>
                <c:pt idx="133">
                  <c:v>1082942.8</c:v>
                </c:pt>
                <c:pt idx="134">
                  <c:v>658778.05666666664</c:v>
                </c:pt>
                <c:pt idx="135">
                  <c:v>808145.67666666664</c:v>
                </c:pt>
                <c:pt idx="136">
                  <c:v>728472.44333333336</c:v>
                </c:pt>
                <c:pt idx="137">
                  <c:v>763047.67666666664</c:v>
                </c:pt>
                <c:pt idx="138">
                  <c:v>611174.35</c:v>
                </c:pt>
                <c:pt idx="139">
                  <c:v>298989.08333333331</c:v>
                </c:pt>
                <c:pt idx="140">
                  <c:v>284234.43333333335</c:v>
                </c:pt>
                <c:pt idx="141">
                  <c:v>455213.47333333333</c:v>
                </c:pt>
                <c:pt idx="142">
                  <c:v>289171.45</c:v>
                </c:pt>
                <c:pt idx="143">
                  <c:v>234535.87666666668</c:v>
                </c:pt>
                <c:pt idx="144">
                  <c:v>252317.63666666669</c:v>
                </c:pt>
                <c:pt idx="145">
                  <c:v>616944.2466666667</c:v>
                </c:pt>
                <c:pt idx="146">
                  <c:v>733526.65</c:v>
                </c:pt>
                <c:pt idx="147">
                  <c:v>525402.1133333334</c:v>
                </c:pt>
                <c:pt idx="148">
                  <c:v>523536.74333333335</c:v>
                </c:pt>
                <c:pt idx="149">
                  <c:v>419148.65000000008</c:v>
                </c:pt>
                <c:pt idx="150">
                  <c:v>400071.91000000009</c:v>
                </c:pt>
                <c:pt idx="151">
                  <c:v>41201.279999999999</c:v>
                </c:pt>
                <c:pt idx="152">
                  <c:v>1357771.52</c:v>
                </c:pt>
                <c:pt idx="153">
                  <c:v>2077443.64</c:v>
                </c:pt>
                <c:pt idx="154">
                  <c:v>2417863.3199999998</c:v>
                </c:pt>
                <c:pt idx="155">
                  <c:v>1236520.6266666667</c:v>
                </c:pt>
                <c:pt idx="156">
                  <c:v>1953370.9233333336</c:v>
                </c:pt>
                <c:pt idx="157">
                  <c:v>3347177.3933333331</c:v>
                </c:pt>
                <c:pt idx="158">
                  <c:v>3420240.0766666667</c:v>
                </c:pt>
                <c:pt idx="159">
                  <c:v>2387897.7033333336</c:v>
                </c:pt>
                <c:pt idx="160">
                  <c:v>1830736.343333333</c:v>
                </c:pt>
                <c:pt idx="161">
                  <c:v>2584186.313333333</c:v>
                </c:pt>
                <c:pt idx="162">
                  <c:v>2826035.31</c:v>
                </c:pt>
                <c:pt idx="163">
                  <c:v>1979238.4466666665</c:v>
                </c:pt>
                <c:pt idx="164">
                  <c:v>2053556.2566666666</c:v>
                </c:pt>
                <c:pt idx="165">
                  <c:v>1804278.3866666667</c:v>
                </c:pt>
                <c:pt idx="166">
                  <c:v>1734412.0400000003</c:v>
                </c:pt>
                <c:pt idx="167">
                  <c:v>1096107.76</c:v>
                </c:pt>
                <c:pt idx="168">
                  <c:v>1134151.04</c:v>
                </c:pt>
                <c:pt idx="169">
                  <c:v>1637770.5166666668</c:v>
                </c:pt>
                <c:pt idx="170">
                  <c:v>2471792.0666666669</c:v>
                </c:pt>
                <c:pt idx="171">
                  <c:v>2096053.04</c:v>
                </c:pt>
                <c:pt idx="172">
                  <c:v>1575276.6033333335</c:v>
                </c:pt>
                <c:pt idx="173">
                  <c:v>676025.58</c:v>
                </c:pt>
                <c:pt idx="174">
                  <c:v>811705.40666666662</c:v>
                </c:pt>
                <c:pt idx="175">
                  <c:v>1379705.2966666666</c:v>
                </c:pt>
                <c:pt idx="176">
                  <c:v>2935376</c:v>
                </c:pt>
                <c:pt idx="177">
                  <c:v>2782987.4099999997</c:v>
                </c:pt>
                <c:pt idx="178">
                  <c:v>2466922.6133333333</c:v>
                </c:pt>
                <c:pt idx="179">
                  <c:v>779409.48999999987</c:v>
                </c:pt>
                <c:pt idx="180">
                  <c:v>1308652.1066666667</c:v>
                </c:pt>
                <c:pt idx="181">
                  <c:v>2413276.4633333334</c:v>
                </c:pt>
                <c:pt idx="182">
                  <c:v>2626450.1466666665</c:v>
                </c:pt>
                <c:pt idx="183">
                  <c:v>2112565.5133333332</c:v>
                </c:pt>
                <c:pt idx="184">
                  <c:v>513829.82333333342</c:v>
                </c:pt>
                <c:pt idx="185">
                  <c:v>347679.49333333335</c:v>
                </c:pt>
                <c:pt idx="186">
                  <c:v>458666.39333333337</c:v>
                </c:pt>
                <c:pt idx="187">
                  <c:v>877957.19333333336</c:v>
                </c:pt>
                <c:pt idx="188">
                  <c:v>625216.91333333333</c:v>
                </c:pt>
                <c:pt idx="189">
                  <c:v>504492.75666666665</c:v>
                </c:pt>
                <c:pt idx="190">
                  <c:v>291801.17</c:v>
                </c:pt>
                <c:pt idx="191">
                  <c:v>1501931.53</c:v>
                </c:pt>
                <c:pt idx="192">
                  <c:v>1478775.7233333334</c:v>
                </c:pt>
                <c:pt idx="193">
                  <c:v>1654596.7766666666</c:v>
                </c:pt>
                <c:pt idx="194">
                  <c:v>596588.87666666659</c:v>
                </c:pt>
                <c:pt idx="195">
                  <c:v>1898594.2066666668</c:v>
                </c:pt>
                <c:pt idx="196">
                  <c:v>1801774.04</c:v>
                </c:pt>
                <c:pt idx="197">
                  <c:v>1798637.4600000002</c:v>
                </c:pt>
                <c:pt idx="198">
                  <c:v>667968.24000000011</c:v>
                </c:pt>
                <c:pt idx="199">
                  <c:v>370331.65666666673</c:v>
                </c:pt>
                <c:pt idx="200">
                  <c:v>593923.90333333332</c:v>
                </c:pt>
                <c:pt idx="201">
                  <c:v>694729.01</c:v>
                </c:pt>
                <c:pt idx="202">
                  <c:v>962338.55333333334</c:v>
                </c:pt>
                <c:pt idx="203">
                  <c:v>603481.7466666667</c:v>
                </c:pt>
                <c:pt idx="204">
                  <c:v>316723.53000000003</c:v>
                </c:pt>
                <c:pt idx="205">
                  <c:v>544272.47000000009</c:v>
                </c:pt>
                <c:pt idx="206">
                  <c:v>708098.47000000009</c:v>
                </c:pt>
                <c:pt idx="207">
                  <c:v>783800.58000000007</c:v>
                </c:pt>
                <c:pt idx="208">
                  <c:v>1114841.3800000001</c:v>
                </c:pt>
                <c:pt idx="209">
                  <c:v>939766.51000000013</c:v>
                </c:pt>
                <c:pt idx="210">
                  <c:v>925845.15</c:v>
                </c:pt>
                <c:pt idx="211">
                  <c:v>96045.909999999989</c:v>
                </c:pt>
                <c:pt idx="212">
                  <c:v>900376.98</c:v>
                </c:pt>
                <c:pt idx="213">
                  <c:v>1103274</c:v>
                </c:pt>
                <c:pt idx="214">
                  <c:v>1857019.33</c:v>
                </c:pt>
                <c:pt idx="215">
                  <c:v>1142134.6966666668</c:v>
                </c:pt>
                <c:pt idx="216">
                  <c:v>1521211.6233333333</c:v>
                </c:pt>
                <c:pt idx="217">
                  <c:v>1152164.2033333334</c:v>
                </c:pt>
                <c:pt idx="218">
                  <c:v>1162884.9099999999</c:v>
                </c:pt>
                <c:pt idx="219">
                  <c:v>1043669.15</c:v>
                </c:pt>
                <c:pt idx="220">
                  <c:v>854606.16000000015</c:v>
                </c:pt>
                <c:pt idx="221">
                  <c:v>844011.25333333341</c:v>
                </c:pt>
                <c:pt idx="222">
                  <c:v>901916.97999999986</c:v>
                </c:pt>
                <c:pt idx="223">
                  <c:v>1054829.5999999999</c:v>
                </c:pt>
                <c:pt idx="224">
                  <c:v>1101329.5866666664</c:v>
                </c:pt>
                <c:pt idx="225">
                  <c:v>1502704.2866666664</c:v>
                </c:pt>
                <c:pt idx="226">
                  <c:v>1317025.7533333332</c:v>
                </c:pt>
                <c:pt idx="227">
                  <c:v>1597897.64</c:v>
                </c:pt>
                <c:pt idx="228">
                  <c:v>1101927.3466666667</c:v>
                </c:pt>
                <c:pt idx="229">
                  <c:v>1538955.7133333331</c:v>
                </c:pt>
                <c:pt idx="230">
                  <c:v>1138970.1066666667</c:v>
                </c:pt>
                <c:pt idx="231">
                  <c:v>736067.81333333335</c:v>
                </c:pt>
                <c:pt idx="232">
                  <c:v>146935.34666666668</c:v>
                </c:pt>
                <c:pt idx="233">
                  <c:v>718371.58</c:v>
                </c:pt>
                <c:pt idx="234">
                  <c:v>2573038.0333333332</c:v>
                </c:pt>
                <c:pt idx="235">
                  <c:v>3011439.16</c:v>
                </c:pt>
                <c:pt idx="236">
                  <c:v>2763577.7533333334</c:v>
                </c:pt>
                <c:pt idx="237">
                  <c:v>1115756.8533333333</c:v>
                </c:pt>
                <c:pt idx="238">
                  <c:v>666392.6</c:v>
                </c:pt>
                <c:pt idx="239">
                  <c:v>1279117.51</c:v>
                </c:pt>
                <c:pt idx="240">
                  <c:v>1060198.2499999998</c:v>
                </c:pt>
                <c:pt idx="241">
                  <c:v>1069437.3599999999</c:v>
                </c:pt>
                <c:pt idx="242">
                  <c:v>1446896.12</c:v>
                </c:pt>
                <c:pt idx="243">
                  <c:v>1449999.9733333334</c:v>
                </c:pt>
                <c:pt idx="244">
                  <c:v>1579510.8566666667</c:v>
                </c:pt>
                <c:pt idx="245">
                  <c:v>265155.56666666665</c:v>
                </c:pt>
                <c:pt idx="246">
                  <c:v>193255.85333333336</c:v>
                </c:pt>
                <c:pt idx="247">
                  <c:v>748307.98666666669</c:v>
                </c:pt>
                <c:pt idx="248">
                  <c:v>962175.2666666666</c:v>
                </c:pt>
                <c:pt idx="249">
                  <c:v>1814440.3566666667</c:v>
                </c:pt>
                <c:pt idx="250">
                  <c:v>1216948.0900000001</c:v>
                </c:pt>
                <c:pt idx="251">
                  <c:v>1761241.3366666667</c:v>
                </c:pt>
                <c:pt idx="252">
                  <c:v>1364236.2866666666</c:v>
                </c:pt>
                <c:pt idx="253">
                  <c:v>1609708.5266666666</c:v>
                </c:pt>
                <c:pt idx="254">
                  <c:v>923393.61</c:v>
                </c:pt>
                <c:pt idx="255">
                  <c:v>568506.42333333334</c:v>
                </c:pt>
                <c:pt idx="256">
                  <c:v>467110.07666666666</c:v>
                </c:pt>
                <c:pt idx="257">
                  <c:v>1307269.4866666666</c:v>
                </c:pt>
                <c:pt idx="258">
                  <c:v>1552893.7233333334</c:v>
                </c:pt>
                <c:pt idx="259">
                  <c:v>1479162.9566666668</c:v>
                </c:pt>
                <c:pt idx="260">
                  <c:v>665055.8866666666</c:v>
                </c:pt>
                <c:pt idx="261">
                  <c:v>336881.50999999995</c:v>
                </c:pt>
                <c:pt idx="262">
                  <c:v>297600.31666666665</c:v>
                </c:pt>
                <c:pt idx="263">
                  <c:v>1778014.7766666666</c:v>
                </c:pt>
                <c:pt idx="264">
                  <c:v>3656468.8766666665</c:v>
                </c:pt>
                <c:pt idx="265">
                  <c:v>3705983.7966666669</c:v>
                </c:pt>
                <c:pt idx="266">
                  <c:v>2564765.2133333334</c:v>
                </c:pt>
                <c:pt idx="267">
                  <c:v>1955080.2166666666</c:v>
                </c:pt>
                <c:pt idx="268">
                  <c:v>1806205.1666666663</c:v>
                </c:pt>
                <c:pt idx="269">
                  <c:v>1493704.5066666666</c:v>
                </c:pt>
                <c:pt idx="270">
                  <c:v>589931.11</c:v>
                </c:pt>
                <c:pt idx="271">
                  <c:v>2086242.426666667</c:v>
                </c:pt>
                <c:pt idx="272">
                  <c:v>2540783.0700000003</c:v>
                </c:pt>
                <c:pt idx="273">
                  <c:v>2199705.12</c:v>
                </c:pt>
                <c:pt idx="274">
                  <c:v>754538.21333333338</c:v>
                </c:pt>
                <c:pt idx="275">
                  <c:v>579243.39666666661</c:v>
                </c:pt>
                <c:pt idx="276">
                  <c:v>628361.10666666657</c:v>
                </c:pt>
                <c:pt idx="277">
                  <c:v>788788.42333333322</c:v>
                </c:pt>
                <c:pt idx="278">
                  <c:v>809021.09</c:v>
                </c:pt>
                <c:pt idx="279">
                  <c:v>1025832.61</c:v>
                </c:pt>
                <c:pt idx="280">
                  <c:v>1344610.7</c:v>
                </c:pt>
                <c:pt idx="281">
                  <c:v>1164566.3</c:v>
                </c:pt>
                <c:pt idx="282">
                  <c:v>1667781.8733333338</c:v>
                </c:pt>
                <c:pt idx="283">
                  <c:v>1159345.9166666667</c:v>
                </c:pt>
                <c:pt idx="284">
                  <c:v>1195235.1300000001</c:v>
                </c:pt>
                <c:pt idx="285">
                  <c:v>493073.91</c:v>
                </c:pt>
                <c:pt idx="286">
                  <c:v>585973.06333333335</c:v>
                </c:pt>
                <c:pt idx="287">
                  <c:v>658676.28333333333</c:v>
                </c:pt>
                <c:pt idx="288">
                  <c:v>938801.41666666663</c:v>
                </c:pt>
                <c:pt idx="289">
                  <c:v>1126609.3999999999</c:v>
                </c:pt>
                <c:pt idx="290">
                  <c:v>921586.40666666662</c:v>
                </c:pt>
                <c:pt idx="291">
                  <c:v>541895.37333333329</c:v>
                </c:pt>
                <c:pt idx="292">
                  <c:v>263416.95333333337</c:v>
                </c:pt>
                <c:pt idx="293">
                  <c:v>885311.96333333326</c:v>
                </c:pt>
                <c:pt idx="294">
                  <c:v>1453628.07</c:v>
                </c:pt>
                <c:pt idx="295">
                  <c:v>2768124.7566666664</c:v>
                </c:pt>
                <c:pt idx="296">
                  <c:v>2962423.3066666666</c:v>
                </c:pt>
                <c:pt idx="297">
                  <c:v>3954887.3433333337</c:v>
                </c:pt>
                <c:pt idx="298">
                  <c:v>2727482.61</c:v>
                </c:pt>
                <c:pt idx="299">
                  <c:v>1761353.6300000001</c:v>
                </c:pt>
                <c:pt idx="300">
                  <c:v>360869.83333333331</c:v>
                </c:pt>
                <c:pt idx="301">
                  <c:v>1376326.39</c:v>
                </c:pt>
                <c:pt idx="302">
                  <c:v>1549403.11</c:v>
                </c:pt>
                <c:pt idx="303">
                  <c:v>1472008.8699999999</c:v>
                </c:pt>
                <c:pt idx="304">
                  <c:v>1398459.3800000001</c:v>
                </c:pt>
                <c:pt idx="305">
                  <c:v>1533817.1066666667</c:v>
                </c:pt>
                <c:pt idx="306">
                  <c:v>2101005.7999999998</c:v>
                </c:pt>
                <c:pt idx="307">
                  <c:v>1304125.0666666667</c:v>
                </c:pt>
                <c:pt idx="308">
                  <c:v>1043939.2966666667</c:v>
                </c:pt>
                <c:pt idx="309">
                  <c:v>678711.83</c:v>
                </c:pt>
                <c:pt idx="310">
                  <c:v>395771.49333333323</c:v>
                </c:pt>
                <c:pt idx="311">
                  <c:v>562064.79999999993</c:v>
                </c:pt>
                <c:pt idx="312">
                  <c:v>311744.23333333334</c:v>
                </c:pt>
                <c:pt idx="313">
                  <c:v>375373.41333333333</c:v>
                </c:pt>
                <c:pt idx="314">
                  <c:v>322922.39</c:v>
                </c:pt>
                <c:pt idx="315">
                  <c:v>454971</c:v>
                </c:pt>
                <c:pt idx="316">
                  <c:v>612620.42333333334</c:v>
                </c:pt>
                <c:pt idx="317">
                  <c:v>678130.30333333334</c:v>
                </c:pt>
                <c:pt idx="318">
                  <c:v>1000037.4866666667</c:v>
                </c:pt>
                <c:pt idx="319">
                  <c:v>2095682.1333333335</c:v>
                </c:pt>
                <c:pt idx="320">
                  <c:v>1995383.4066666665</c:v>
                </c:pt>
                <c:pt idx="321">
                  <c:v>1735112.1133333333</c:v>
                </c:pt>
                <c:pt idx="322">
                  <c:v>490831.39999999997</c:v>
                </c:pt>
                <c:pt idx="323">
                  <c:v>1167968.7466666668</c:v>
                </c:pt>
                <c:pt idx="324">
                  <c:v>974717.48</c:v>
                </c:pt>
                <c:pt idx="325">
                  <c:v>993359.71333333338</c:v>
                </c:pt>
                <c:pt idx="326">
                  <c:v>390308.24666666664</c:v>
                </c:pt>
                <c:pt idx="327">
                  <c:v>1382023.58</c:v>
                </c:pt>
                <c:pt idx="328">
                  <c:v>2099565.8699999996</c:v>
                </c:pt>
                <c:pt idx="329">
                  <c:v>1950224.29</c:v>
                </c:pt>
                <c:pt idx="330">
                  <c:v>1137458.9433333334</c:v>
                </c:pt>
                <c:pt idx="331">
                  <c:v>1358909.6866666668</c:v>
                </c:pt>
                <c:pt idx="332">
                  <c:v>1363213.8533333333</c:v>
                </c:pt>
                <c:pt idx="333">
                  <c:v>2259451.1733333333</c:v>
                </c:pt>
                <c:pt idx="334">
                  <c:v>1522938.0199999998</c:v>
                </c:pt>
                <c:pt idx="335">
                  <c:v>1684944.68</c:v>
                </c:pt>
                <c:pt idx="336">
                  <c:v>553547.09</c:v>
                </c:pt>
                <c:pt idx="337">
                  <c:v>491470.45666666672</c:v>
                </c:pt>
                <c:pt idx="338">
                  <c:v>951901.70666666667</c:v>
                </c:pt>
                <c:pt idx="339">
                  <c:v>1145392.71</c:v>
                </c:pt>
                <c:pt idx="340">
                  <c:v>1385386.63</c:v>
                </c:pt>
                <c:pt idx="341">
                  <c:v>1175344.4000000001</c:v>
                </c:pt>
                <c:pt idx="342">
                  <c:v>2021841.4866666663</c:v>
                </c:pt>
                <c:pt idx="343">
                  <c:v>1707318.6066666665</c:v>
                </c:pt>
                <c:pt idx="344">
                  <c:v>1253371.5266666666</c:v>
                </c:pt>
                <c:pt idx="345">
                  <c:v>262621.77333333337</c:v>
                </c:pt>
                <c:pt idx="346">
                  <c:v>1287240.5366666669</c:v>
                </c:pt>
                <c:pt idx="347">
                  <c:v>2273835.0666666669</c:v>
                </c:pt>
                <c:pt idx="348">
                  <c:v>3556265.146666667</c:v>
                </c:pt>
                <c:pt idx="349">
                  <c:v>3018412.97</c:v>
                </c:pt>
                <c:pt idx="350">
                  <c:v>2044217.6900000002</c:v>
                </c:pt>
                <c:pt idx="351">
                  <c:v>734726.68333333323</c:v>
                </c:pt>
                <c:pt idx="352">
                  <c:v>200000.57000000004</c:v>
                </c:pt>
                <c:pt idx="353">
                  <c:v>148895.57</c:v>
                </c:pt>
                <c:pt idx="354">
                  <c:v>397105.85666666669</c:v>
                </c:pt>
                <c:pt idx="355">
                  <c:v>631066.76333333331</c:v>
                </c:pt>
                <c:pt idx="356">
                  <c:v>931392.93666666653</c:v>
                </c:pt>
                <c:pt idx="357">
                  <c:v>969629.26333333331</c:v>
                </c:pt>
                <c:pt idx="358">
                  <c:v>941750.52333333332</c:v>
                </c:pt>
                <c:pt idx="359">
                  <c:v>815924.89</c:v>
                </c:pt>
                <c:pt idx="360">
                  <c:v>653709.46666666667</c:v>
                </c:pt>
                <c:pt idx="361">
                  <c:v>1541440.72</c:v>
                </c:pt>
                <c:pt idx="362">
                  <c:v>1441358.9466666665</c:v>
                </c:pt>
                <c:pt idx="363">
                  <c:v>1600862.0866666667</c:v>
                </c:pt>
                <c:pt idx="364">
                  <c:v>452970.64999999997</c:v>
                </c:pt>
                <c:pt idx="365">
                  <c:v>563633.93333333335</c:v>
                </c:pt>
                <c:pt idx="366">
                  <c:v>2173871.62</c:v>
                </c:pt>
                <c:pt idx="367">
                  <c:v>2445864.5766666667</c:v>
                </c:pt>
                <c:pt idx="368">
                  <c:v>2609481.1966666668</c:v>
                </c:pt>
                <c:pt idx="369">
                  <c:v>2174882.94</c:v>
                </c:pt>
                <c:pt idx="370">
                  <c:v>1943111.4733333334</c:v>
                </c:pt>
                <c:pt idx="371">
                  <c:v>2190154.1533333333</c:v>
                </c:pt>
                <c:pt idx="372">
                  <c:v>828476.57666666666</c:v>
                </c:pt>
                <c:pt idx="373">
                  <c:v>921607.61</c:v>
                </c:pt>
                <c:pt idx="374">
                  <c:v>727191.23</c:v>
                </c:pt>
                <c:pt idx="375">
                  <c:v>1479780.32</c:v>
                </c:pt>
                <c:pt idx="376">
                  <c:v>1336064.5866666667</c:v>
                </c:pt>
                <c:pt idx="377">
                  <c:v>2000822.5966666664</c:v>
                </c:pt>
                <c:pt idx="378">
                  <c:v>1462630.303333333</c:v>
                </c:pt>
                <c:pt idx="379">
                  <c:v>1892844.61</c:v>
                </c:pt>
                <c:pt idx="380">
                  <c:v>922216.35000000009</c:v>
                </c:pt>
                <c:pt idx="381">
                  <c:v>1106698.6966666665</c:v>
                </c:pt>
                <c:pt idx="382">
                  <c:v>665107.42000000004</c:v>
                </c:pt>
                <c:pt idx="383">
                  <c:v>580761.62</c:v>
                </c:pt>
                <c:pt idx="384">
                  <c:v>720676.29999999993</c:v>
                </c:pt>
                <c:pt idx="385">
                  <c:v>876230.93666666653</c:v>
                </c:pt>
                <c:pt idx="386">
                  <c:v>1039622.5566666666</c:v>
                </c:pt>
                <c:pt idx="387">
                  <c:v>545889.20666666667</c:v>
                </c:pt>
                <c:pt idx="388">
                  <c:v>610045.20000000007</c:v>
                </c:pt>
                <c:pt idx="389">
                  <c:v>1317154.6100000001</c:v>
                </c:pt>
                <c:pt idx="390">
                  <c:v>1406106.96</c:v>
                </c:pt>
                <c:pt idx="391">
                  <c:v>1156976.1333333331</c:v>
                </c:pt>
                <c:pt idx="392">
                  <c:v>1138520.0733333335</c:v>
                </c:pt>
                <c:pt idx="393">
                  <c:v>1291034.4266666668</c:v>
                </c:pt>
                <c:pt idx="394">
                  <c:v>1490020.6666666667</c:v>
                </c:pt>
                <c:pt idx="395">
                  <c:v>648173.17666666664</c:v>
                </c:pt>
                <c:pt idx="396">
                  <c:v>452011.27666666667</c:v>
                </c:pt>
                <c:pt idx="397">
                  <c:v>1343775.58</c:v>
                </c:pt>
                <c:pt idx="398">
                  <c:v>1397977.29</c:v>
                </c:pt>
                <c:pt idx="399">
                  <c:v>1470120.89</c:v>
                </c:pt>
                <c:pt idx="400">
                  <c:v>375060.88999999996</c:v>
                </c:pt>
                <c:pt idx="401">
                  <c:v>425789.81000000006</c:v>
                </c:pt>
                <c:pt idx="402">
                  <c:v>212357.13</c:v>
                </c:pt>
                <c:pt idx="403">
                  <c:v>1933755.8366666667</c:v>
                </c:pt>
                <c:pt idx="404">
                  <c:v>2146808.3766666665</c:v>
                </c:pt>
                <c:pt idx="405">
                  <c:v>2227372.9266666668</c:v>
                </c:pt>
                <c:pt idx="406">
                  <c:v>525940.42000000004</c:v>
                </c:pt>
                <c:pt idx="407">
                  <c:v>235762.94999999998</c:v>
                </c:pt>
                <c:pt idx="408">
                  <c:v>107625.22666666667</c:v>
                </c:pt>
                <c:pt idx="409">
                  <c:v>922371.87</c:v>
                </c:pt>
                <c:pt idx="410">
                  <c:v>871390.66</c:v>
                </c:pt>
                <c:pt idx="411">
                  <c:v>1897174.2633333334</c:v>
                </c:pt>
                <c:pt idx="412">
                  <c:v>1722424.61</c:v>
                </c:pt>
                <c:pt idx="413">
                  <c:v>1722832.0199999998</c:v>
                </c:pt>
                <c:pt idx="414">
                  <c:v>700851.78333333333</c:v>
                </c:pt>
                <c:pt idx="415">
                  <c:v>187596.35</c:v>
                </c:pt>
                <c:pt idx="416">
                  <c:v>486269.92666666658</c:v>
                </c:pt>
                <c:pt idx="417">
                  <c:v>526912.76333333331</c:v>
                </c:pt>
                <c:pt idx="418">
                  <c:v>448245.24666666659</c:v>
                </c:pt>
                <c:pt idx="419">
                  <c:v>312518.38666666666</c:v>
                </c:pt>
                <c:pt idx="420">
                  <c:v>622731.18333333323</c:v>
                </c:pt>
                <c:pt idx="421">
                  <c:v>551960.36333333328</c:v>
                </c:pt>
                <c:pt idx="422">
                  <c:v>525914.81333333335</c:v>
                </c:pt>
                <c:pt idx="423">
                  <c:v>228179.99666666667</c:v>
                </c:pt>
                <c:pt idx="424">
                  <c:v>245934.98666666669</c:v>
                </c:pt>
                <c:pt idx="425">
                  <c:v>808351.83</c:v>
                </c:pt>
                <c:pt idx="426">
                  <c:v>2355097.16</c:v>
                </c:pt>
                <c:pt idx="427">
                  <c:v>2601213.9933333336</c:v>
                </c:pt>
                <c:pt idx="428">
                  <c:v>2010342.9666666668</c:v>
                </c:pt>
                <c:pt idx="429">
                  <c:v>494978.04666666663</c:v>
                </c:pt>
                <c:pt idx="430">
                  <c:v>401358.46666666662</c:v>
                </c:pt>
                <c:pt idx="431">
                  <c:v>531027.27333333343</c:v>
                </c:pt>
                <c:pt idx="432">
                  <c:v>888292.41333333345</c:v>
                </c:pt>
                <c:pt idx="433">
                  <c:v>725463.74000000011</c:v>
                </c:pt>
                <c:pt idx="434">
                  <c:v>680876.08333333337</c:v>
                </c:pt>
                <c:pt idx="435">
                  <c:v>570737.28333333333</c:v>
                </c:pt>
                <c:pt idx="436">
                  <c:v>1046705.5233333334</c:v>
                </c:pt>
                <c:pt idx="437">
                  <c:v>1073793.9000000001</c:v>
                </c:pt>
                <c:pt idx="438">
                  <c:v>1020705.9</c:v>
                </c:pt>
                <c:pt idx="439">
                  <c:v>1069783.0066666666</c:v>
                </c:pt>
                <c:pt idx="440">
                  <c:v>1335346.7566666666</c:v>
                </c:pt>
                <c:pt idx="441">
                  <c:v>1316804.1299999999</c:v>
                </c:pt>
                <c:pt idx="442">
                  <c:v>1159287.1833333333</c:v>
                </c:pt>
                <c:pt idx="443">
                  <c:v>847510.47333333327</c:v>
                </c:pt>
                <c:pt idx="444">
                  <c:v>722036.89666666661</c:v>
                </c:pt>
                <c:pt idx="445">
                  <c:v>367192.99666666664</c:v>
                </c:pt>
                <c:pt idx="446">
                  <c:v>199057.14333333331</c:v>
                </c:pt>
                <c:pt idx="447">
                  <c:v>423026.88000000006</c:v>
                </c:pt>
                <c:pt idx="448">
                  <c:v>539745.37333333341</c:v>
                </c:pt>
                <c:pt idx="449">
                  <c:v>793236.5</c:v>
                </c:pt>
                <c:pt idx="450">
                  <c:v>1805354.5</c:v>
                </c:pt>
                <c:pt idx="451">
                  <c:v>1966244.4933333334</c:v>
                </c:pt>
                <c:pt idx="452">
                  <c:v>2458177.7200000002</c:v>
                </c:pt>
                <c:pt idx="453">
                  <c:v>1791243.03</c:v>
                </c:pt>
                <c:pt idx="454">
                  <c:v>1505854.7100000002</c:v>
                </c:pt>
                <c:pt idx="455">
                  <c:v>1665215.11</c:v>
                </c:pt>
                <c:pt idx="456">
                  <c:v>1281020.3866666665</c:v>
                </c:pt>
                <c:pt idx="457">
                  <c:v>1329640.82</c:v>
                </c:pt>
                <c:pt idx="458">
                  <c:v>417220.23666666663</c:v>
                </c:pt>
                <c:pt idx="459">
                  <c:v>526772.8566666668</c:v>
                </c:pt>
                <c:pt idx="460">
                  <c:v>475437.87666666671</c:v>
                </c:pt>
                <c:pt idx="461">
                  <c:v>617169.12333333341</c:v>
                </c:pt>
                <c:pt idx="462">
                  <c:v>235969.76333333334</c:v>
                </c:pt>
                <c:pt idx="463">
                  <c:v>481879.95</c:v>
                </c:pt>
                <c:pt idx="464">
                  <c:v>675521.50666666671</c:v>
                </c:pt>
                <c:pt idx="465">
                  <c:v>732978.43333333347</c:v>
                </c:pt>
                <c:pt idx="466">
                  <c:v>526158.79999999993</c:v>
                </c:pt>
                <c:pt idx="467">
                  <c:v>898690.8666666667</c:v>
                </c:pt>
                <c:pt idx="468">
                  <c:v>1493288.54</c:v>
                </c:pt>
                <c:pt idx="469">
                  <c:v>1886757.78</c:v>
                </c:pt>
                <c:pt idx="470">
                  <c:v>1190869.6833333333</c:v>
                </c:pt>
                <c:pt idx="471">
                  <c:v>723892.4966666667</c:v>
                </c:pt>
                <c:pt idx="472">
                  <c:v>370773.89999999997</c:v>
                </c:pt>
                <c:pt idx="473">
                  <c:v>453493.49</c:v>
                </c:pt>
                <c:pt idx="474">
                  <c:v>959875.43</c:v>
                </c:pt>
                <c:pt idx="475">
                  <c:v>894130.66</c:v>
                </c:pt>
                <c:pt idx="476">
                  <c:v>1310138.7333333334</c:v>
                </c:pt>
                <c:pt idx="477">
                  <c:v>1953483.1633333331</c:v>
                </c:pt>
                <c:pt idx="478">
                  <c:v>2060048.4966666664</c:v>
                </c:pt>
                <c:pt idx="479">
                  <c:v>1922222.343333333</c:v>
                </c:pt>
                <c:pt idx="480">
                  <c:v>509891.02</c:v>
                </c:pt>
                <c:pt idx="481">
                  <c:v>887523.70666666667</c:v>
                </c:pt>
                <c:pt idx="482">
                  <c:v>530733.61666666658</c:v>
                </c:pt>
                <c:pt idx="483">
                  <c:v>1508021.17</c:v>
                </c:pt>
                <c:pt idx="484">
                  <c:v>1100901.9766666666</c:v>
                </c:pt>
                <c:pt idx="485">
                  <c:v>1114799.6666666667</c:v>
                </c:pt>
                <c:pt idx="486">
                  <c:v>292714.39333333331</c:v>
                </c:pt>
                <c:pt idx="487">
                  <c:v>267689.16333333333</c:v>
                </c:pt>
                <c:pt idx="488">
                  <c:v>453273.97000000003</c:v>
                </c:pt>
                <c:pt idx="489">
                  <c:v>322856.26666666666</c:v>
                </c:pt>
                <c:pt idx="490">
                  <c:v>718318.59</c:v>
                </c:pt>
                <c:pt idx="491">
                  <c:v>522851.10333333333</c:v>
                </c:pt>
                <c:pt idx="492">
                  <c:v>1510495.2566666668</c:v>
                </c:pt>
                <c:pt idx="493">
                  <c:v>1303902.8233333335</c:v>
                </c:pt>
                <c:pt idx="494">
                  <c:v>1660311.2433333334</c:v>
                </c:pt>
                <c:pt idx="495">
                  <c:v>699616.1166666667</c:v>
                </c:pt>
                <c:pt idx="496">
                  <c:v>747475.65</c:v>
                </c:pt>
                <c:pt idx="497">
                  <c:v>700576.74333333329</c:v>
                </c:pt>
                <c:pt idx="498">
                  <c:v>750125.96</c:v>
                </c:pt>
                <c:pt idx="499">
                  <c:v>1825084.3266666664</c:v>
                </c:pt>
                <c:pt idx="500">
                  <c:v>1519462.3133333332</c:v>
                </c:pt>
                <c:pt idx="501">
                  <c:v>3398317.56</c:v>
                </c:pt>
                <c:pt idx="502">
                  <c:v>2533169.9266666663</c:v>
                </c:pt>
                <c:pt idx="503">
                  <c:v>3338272.8466666662</c:v>
                </c:pt>
                <c:pt idx="504">
                  <c:v>1992928.2066666668</c:v>
                </c:pt>
                <c:pt idx="505">
                  <c:v>1470153.5366666669</c:v>
                </c:pt>
                <c:pt idx="506">
                  <c:v>841697.65666666673</c:v>
                </c:pt>
                <c:pt idx="507">
                  <c:v>224419.75000000003</c:v>
                </c:pt>
                <c:pt idx="508">
                  <c:v>292328.63666666672</c:v>
                </c:pt>
                <c:pt idx="509">
                  <c:v>496938.41666666669</c:v>
                </c:pt>
                <c:pt idx="510">
                  <c:v>574461.92333333334</c:v>
                </c:pt>
                <c:pt idx="511">
                  <c:v>706490.64</c:v>
                </c:pt>
                <c:pt idx="512">
                  <c:v>443173.5166666666</c:v>
                </c:pt>
                <c:pt idx="513">
                  <c:v>528606.32999999996</c:v>
                </c:pt>
                <c:pt idx="514">
                  <c:v>429898.79666666669</c:v>
                </c:pt>
                <c:pt idx="515">
                  <c:v>314854.51</c:v>
                </c:pt>
                <c:pt idx="516">
                  <c:v>156976.81999999998</c:v>
                </c:pt>
                <c:pt idx="517">
                  <c:v>238635.04666666666</c:v>
                </c:pt>
                <c:pt idx="518">
                  <c:v>635563.53</c:v>
                </c:pt>
                <c:pt idx="519">
                  <c:v>1797317.55</c:v>
                </c:pt>
                <c:pt idx="520">
                  <c:v>2516476.6233333331</c:v>
                </c:pt>
                <c:pt idx="521">
                  <c:v>2873591.0833333335</c:v>
                </c:pt>
                <c:pt idx="522">
                  <c:v>1710496.6533333333</c:v>
                </c:pt>
                <c:pt idx="523">
                  <c:v>957102.25333333341</c:v>
                </c:pt>
                <c:pt idx="524">
                  <c:v>669815.4</c:v>
                </c:pt>
                <c:pt idx="525">
                  <c:v>780675.62</c:v>
                </c:pt>
                <c:pt idx="526">
                  <c:v>905080.78666666674</c:v>
                </c:pt>
                <c:pt idx="527">
                  <c:v>979465.86</c:v>
                </c:pt>
                <c:pt idx="528">
                  <c:v>1629059.0999999999</c:v>
                </c:pt>
                <c:pt idx="529">
                  <c:v>2174859.1133333333</c:v>
                </c:pt>
                <c:pt idx="530">
                  <c:v>1864929.5200000003</c:v>
                </c:pt>
                <c:pt idx="531">
                  <c:v>1108842.6633333333</c:v>
                </c:pt>
                <c:pt idx="532">
                  <c:v>945307.08666666655</c:v>
                </c:pt>
                <c:pt idx="533">
                  <c:v>936474.02</c:v>
                </c:pt>
                <c:pt idx="534">
                  <c:v>1293996.4766666668</c:v>
                </c:pt>
                <c:pt idx="535">
                  <c:v>635961.37333333341</c:v>
                </c:pt>
                <c:pt idx="536">
                  <c:v>616956.37333333341</c:v>
                </c:pt>
                <c:pt idx="537">
                  <c:v>342139.26666666666</c:v>
                </c:pt>
                <c:pt idx="538">
                  <c:v>514028.75333333336</c:v>
                </c:pt>
                <c:pt idx="539">
                  <c:v>1336053.72</c:v>
                </c:pt>
                <c:pt idx="540">
                  <c:v>1226275.6566666665</c:v>
                </c:pt>
                <c:pt idx="541">
                  <c:v>1328314.7299999997</c:v>
                </c:pt>
                <c:pt idx="542">
                  <c:v>609370.01</c:v>
                </c:pt>
                <c:pt idx="543">
                  <c:v>1032116.32</c:v>
                </c:pt>
                <c:pt idx="544">
                  <c:v>1179911.2133333334</c:v>
                </c:pt>
                <c:pt idx="545">
                  <c:v>1123956.8333333333</c:v>
                </c:pt>
                <c:pt idx="546">
                  <c:v>1017341.12</c:v>
                </c:pt>
                <c:pt idx="547">
                  <c:v>1863399.3</c:v>
                </c:pt>
                <c:pt idx="548">
                  <c:v>2060021.7299999997</c:v>
                </c:pt>
                <c:pt idx="549">
                  <c:v>2301175.4433333334</c:v>
                </c:pt>
                <c:pt idx="550">
                  <c:v>1696552.3166666667</c:v>
                </c:pt>
                <c:pt idx="551">
                  <c:v>1747741.6366666667</c:v>
                </c:pt>
                <c:pt idx="552">
                  <c:v>1249203.95</c:v>
                </c:pt>
                <c:pt idx="553">
                  <c:v>612949.59333333327</c:v>
                </c:pt>
                <c:pt idx="554">
                  <c:v>235046.30999999997</c:v>
                </c:pt>
                <c:pt idx="555">
                  <c:v>313725.28333333333</c:v>
                </c:pt>
                <c:pt idx="556">
                  <c:v>663521.93333333323</c:v>
                </c:pt>
                <c:pt idx="557">
                  <c:v>1260143.18</c:v>
                </c:pt>
                <c:pt idx="558">
                  <c:v>1338204.3133333332</c:v>
                </c:pt>
                <c:pt idx="559">
                  <c:v>2940708.4066666663</c:v>
                </c:pt>
                <c:pt idx="560">
                  <c:v>2467334.1933333334</c:v>
                </c:pt>
                <c:pt idx="561">
                  <c:v>2838793.8266666667</c:v>
                </c:pt>
                <c:pt idx="562">
                  <c:v>1288948.9333333333</c:v>
                </c:pt>
                <c:pt idx="563">
                  <c:v>1840013.36</c:v>
                </c:pt>
                <c:pt idx="564">
                  <c:v>1709482.6266666667</c:v>
                </c:pt>
                <c:pt idx="565">
                  <c:v>1298640.1766666668</c:v>
                </c:pt>
                <c:pt idx="566">
                  <c:v>753289.35</c:v>
                </c:pt>
                <c:pt idx="567">
                  <c:v>1213483.5166666666</c:v>
                </c:pt>
                <c:pt idx="568">
                  <c:v>1322970.25</c:v>
                </c:pt>
                <c:pt idx="569">
                  <c:v>1461474.01</c:v>
                </c:pt>
                <c:pt idx="570">
                  <c:v>643078.04666666675</c:v>
                </c:pt>
                <c:pt idx="571">
                  <c:v>525853.63333333342</c:v>
                </c:pt>
                <c:pt idx="572">
                  <c:v>1462300.2233333334</c:v>
                </c:pt>
                <c:pt idx="573">
                  <c:v>1950827.0533333335</c:v>
                </c:pt>
                <c:pt idx="574">
                  <c:v>2885337.9633333334</c:v>
                </c:pt>
                <c:pt idx="575">
                  <c:v>3409911.103333333</c:v>
                </c:pt>
                <c:pt idx="576">
                  <c:v>3049400.6966666672</c:v>
                </c:pt>
                <c:pt idx="577">
                  <c:v>2315496.4833333329</c:v>
                </c:pt>
                <c:pt idx="578">
                  <c:v>1401065.3933333333</c:v>
                </c:pt>
                <c:pt idx="579">
                  <c:v>2161365.4166666665</c:v>
                </c:pt>
                <c:pt idx="580">
                  <c:v>2214262.2899999996</c:v>
                </c:pt>
                <c:pt idx="581">
                  <c:v>2292229.6233333335</c:v>
                </c:pt>
                <c:pt idx="582">
                  <c:v>1738007.3333333333</c:v>
                </c:pt>
                <c:pt idx="583">
                  <c:v>1594927.01</c:v>
                </c:pt>
                <c:pt idx="584">
                  <c:v>771967.70333333348</c:v>
                </c:pt>
                <c:pt idx="585">
                  <c:v>501159.81000000006</c:v>
                </c:pt>
                <c:pt idx="586">
                  <c:v>660634.72666666668</c:v>
                </c:pt>
                <c:pt idx="587">
                  <c:v>455009.38000000006</c:v>
                </c:pt>
                <c:pt idx="588">
                  <c:v>602556.81333333335</c:v>
                </c:pt>
                <c:pt idx="589">
                  <c:v>1365729.14</c:v>
                </c:pt>
                <c:pt idx="590">
                  <c:v>2179412.9666666668</c:v>
                </c:pt>
                <c:pt idx="591">
                  <c:v>3405997.0266666668</c:v>
                </c:pt>
                <c:pt idx="592">
                  <c:v>2608776.5</c:v>
                </c:pt>
                <c:pt idx="593">
                  <c:v>2559422.3666666667</c:v>
                </c:pt>
                <c:pt idx="594">
                  <c:v>1840463.72</c:v>
                </c:pt>
                <c:pt idx="595">
                  <c:v>2325103.4466666668</c:v>
                </c:pt>
                <c:pt idx="596">
                  <c:v>1843348.7533333336</c:v>
                </c:pt>
                <c:pt idx="597">
                  <c:v>1605315.39</c:v>
                </c:pt>
                <c:pt idx="598">
                  <c:v>974084.02333333343</c:v>
                </c:pt>
                <c:pt idx="599">
                  <c:v>2514901.9366666665</c:v>
                </c:pt>
                <c:pt idx="600">
                  <c:v>2479041.2866666666</c:v>
                </c:pt>
                <c:pt idx="601">
                  <c:v>2730128.5266666668</c:v>
                </c:pt>
                <c:pt idx="602">
                  <c:v>1021514.6566666666</c:v>
                </c:pt>
                <c:pt idx="603">
                  <c:v>725473.52333333343</c:v>
                </c:pt>
                <c:pt idx="604">
                  <c:v>537353.45000000007</c:v>
                </c:pt>
                <c:pt idx="605">
                  <c:v>927684.52666666673</c:v>
                </c:pt>
                <c:pt idx="606">
                  <c:v>693133.22</c:v>
                </c:pt>
                <c:pt idx="607">
                  <c:v>685170.32</c:v>
                </c:pt>
                <c:pt idx="608">
                  <c:v>418333.27333333337</c:v>
                </c:pt>
                <c:pt idx="609">
                  <c:v>1865372.8366666667</c:v>
                </c:pt>
                <c:pt idx="610">
                  <c:v>2857506.0566666666</c:v>
                </c:pt>
                <c:pt idx="611">
                  <c:v>2705830.72</c:v>
                </c:pt>
                <c:pt idx="612">
                  <c:v>2225055.3366666664</c:v>
                </c:pt>
                <c:pt idx="613">
                  <c:v>1593153.6900000002</c:v>
                </c:pt>
                <c:pt idx="614">
                  <c:v>1739695.0333333332</c:v>
                </c:pt>
                <c:pt idx="615">
                  <c:v>968921.91</c:v>
                </c:pt>
                <c:pt idx="616">
                  <c:v>457791.00666666677</c:v>
                </c:pt>
                <c:pt idx="617">
                  <c:v>1031489.2666666666</c:v>
                </c:pt>
                <c:pt idx="618">
                  <c:v>1428989.3833333331</c:v>
                </c:pt>
                <c:pt idx="619">
                  <c:v>1627615.7133333331</c:v>
                </c:pt>
                <c:pt idx="620">
                  <c:v>1618464.6533333331</c:v>
                </c:pt>
                <c:pt idx="621">
                  <c:v>1986004.1199999999</c:v>
                </c:pt>
                <c:pt idx="622">
                  <c:v>3714546.8699999996</c:v>
                </c:pt>
                <c:pt idx="623">
                  <c:v>2916735.5433333335</c:v>
                </c:pt>
                <c:pt idx="624">
                  <c:v>2276719.5766666667</c:v>
                </c:pt>
                <c:pt idx="625">
                  <c:v>360329.75666666665</c:v>
                </c:pt>
                <c:pt idx="626">
                  <c:v>450088.25</c:v>
                </c:pt>
                <c:pt idx="627">
                  <c:v>314943.35000000003</c:v>
                </c:pt>
                <c:pt idx="628">
                  <c:v>389102.52333333337</c:v>
                </c:pt>
                <c:pt idx="629">
                  <c:v>919905.94333333336</c:v>
                </c:pt>
                <c:pt idx="630">
                  <c:v>1029955.4433333334</c:v>
                </c:pt>
                <c:pt idx="631">
                  <c:v>1777035.78</c:v>
                </c:pt>
                <c:pt idx="632">
                  <c:v>1150273.7333333332</c:v>
                </c:pt>
                <c:pt idx="633">
                  <c:v>2607738.9266666663</c:v>
                </c:pt>
                <c:pt idx="634">
                  <c:v>3157312.6366666667</c:v>
                </c:pt>
                <c:pt idx="635">
                  <c:v>4286608.9466666663</c:v>
                </c:pt>
                <c:pt idx="636">
                  <c:v>2588886.1533333333</c:v>
                </c:pt>
                <c:pt idx="637">
                  <c:v>1520528.3733333333</c:v>
                </c:pt>
                <c:pt idx="638">
                  <c:v>626729.24333333329</c:v>
                </c:pt>
                <c:pt idx="639">
                  <c:v>1431250.7433333334</c:v>
                </c:pt>
                <c:pt idx="640">
                  <c:v>1276853.2133333334</c:v>
                </c:pt>
                <c:pt idx="641">
                  <c:v>1194117.01</c:v>
                </c:pt>
                <c:pt idx="642">
                  <c:v>993421.46666666667</c:v>
                </c:pt>
                <c:pt idx="643">
                  <c:v>957799.36</c:v>
                </c:pt>
                <c:pt idx="644">
                  <c:v>1518023.2833333332</c:v>
                </c:pt>
                <c:pt idx="645">
                  <c:v>858418.36333333328</c:v>
                </c:pt>
                <c:pt idx="646">
                  <c:v>780066.79</c:v>
                </c:pt>
                <c:pt idx="647">
                  <c:v>518403.42</c:v>
                </c:pt>
                <c:pt idx="648">
                  <c:v>1742356.53</c:v>
                </c:pt>
                <c:pt idx="649">
                  <c:v>2021036.8766666667</c:v>
                </c:pt>
                <c:pt idx="650">
                  <c:v>1853524.0066666666</c:v>
                </c:pt>
                <c:pt idx="651">
                  <c:v>699477.7666666666</c:v>
                </c:pt>
                <c:pt idx="652">
                  <c:v>2076336.7233333334</c:v>
                </c:pt>
                <c:pt idx="653">
                  <c:v>2416615.63</c:v>
                </c:pt>
                <c:pt idx="654">
                  <c:v>3566679.09</c:v>
                </c:pt>
                <c:pt idx="655">
                  <c:v>1911368.7866666664</c:v>
                </c:pt>
                <c:pt idx="656">
                  <c:v>1631771.38</c:v>
                </c:pt>
                <c:pt idx="657">
                  <c:v>675163.88666666672</c:v>
                </c:pt>
                <c:pt idx="658">
                  <c:v>1210591.7666666666</c:v>
                </c:pt>
                <c:pt idx="659">
                  <c:v>1556513.4666666668</c:v>
                </c:pt>
                <c:pt idx="660">
                  <c:v>1528983.7599999998</c:v>
                </c:pt>
                <c:pt idx="661">
                  <c:v>1272968.22</c:v>
                </c:pt>
                <c:pt idx="662">
                  <c:v>599723.00000000012</c:v>
                </c:pt>
                <c:pt idx="663">
                  <c:v>2461327.92</c:v>
                </c:pt>
                <c:pt idx="664">
                  <c:v>2643908.56</c:v>
                </c:pt>
                <c:pt idx="665">
                  <c:v>2798818.42</c:v>
                </c:pt>
                <c:pt idx="666">
                  <c:v>1303978.5</c:v>
                </c:pt>
                <c:pt idx="667">
                  <c:v>2120132.39</c:v>
                </c:pt>
                <c:pt idx="668">
                  <c:v>4067580.4066666663</c:v>
                </c:pt>
                <c:pt idx="669">
                  <c:v>3645346.8733333335</c:v>
                </c:pt>
                <c:pt idx="670">
                  <c:v>4516807.3500000006</c:v>
                </c:pt>
                <c:pt idx="671">
                  <c:v>2567526.6333333333</c:v>
                </c:pt>
                <c:pt idx="672">
                  <c:v>2592073.4999999995</c:v>
                </c:pt>
                <c:pt idx="673">
                  <c:v>419395.4466666666</c:v>
                </c:pt>
                <c:pt idx="674">
                  <c:v>503152.67333333334</c:v>
                </c:pt>
                <c:pt idx="675">
                  <c:v>628754.36</c:v>
                </c:pt>
                <c:pt idx="676">
                  <c:v>1417890.7566666666</c:v>
                </c:pt>
                <c:pt idx="677">
                  <c:v>1367462.1233333333</c:v>
                </c:pt>
                <c:pt idx="678">
                  <c:v>2443312.2366666668</c:v>
                </c:pt>
                <c:pt idx="679">
                  <c:v>1861957.5666666667</c:v>
                </c:pt>
                <c:pt idx="680">
                  <c:v>1827737.34</c:v>
                </c:pt>
                <c:pt idx="681">
                  <c:v>418851.8666666667</c:v>
                </c:pt>
                <c:pt idx="682">
                  <c:v>1488380.6166666665</c:v>
                </c:pt>
                <c:pt idx="683">
                  <c:v>1441006.11</c:v>
                </c:pt>
                <c:pt idx="684">
                  <c:v>1884651.95</c:v>
                </c:pt>
                <c:pt idx="685">
                  <c:v>2257785.9700000002</c:v>
                </c:pt>
                <c:pt idx="686">
                  <c:v>4085846.2900000005</c:v>
                </c:pt>
                <c:pt idx="687">
                  <c:v>3650454.3900000006</c:v>
                </c:pt>
                <c:pt idx="688">
                  <c:v>2467463.1</c:v>
                </c:pt>
                <c:pt idx="689">
                  <c:v>661195.79666666663</c:v>
                </c:pt>
                <c:pt idx="690">
                  <c:v>859834.1166666667</c:v>
                </c:pt>
                <c:pt idx="691">
                  <c:v>392934.6166666667</c:v>
                </c:pt>
                <c:pt idx="692">
                  <c:v>267479.06666666665</c:v>
                </c:pt>
                <c:pt idx="693">
                  <c:v>73092.513333333336</c:v>
                </c:pt>
                <c:pt idx="694">
                  <c:v>45009.21333333334</c:v>
                </c:pt>
                <c:pt idx="695">
                  <c:v>622603.52000000002</c:v>
                </c:pt>
                <c:pt idx="696">
                  <c:v>976057.62</c:v>
                </c:pt>
                <c:pt idx="697">
                  <c:v>1157644.3533333333</c:v>
                </c:pt>
                <c:pt idx="698">
                  <c:v>881286.14</c:v>
                </c:pt>
                <c:pt idx="699">
                  <c:v>987565.51333333331</c:v>
                </c:pt>
                <c:pt idx="700">
                  <c:v>1559873.1466666667</c:v>
                </c:pt>
                <c:pt idx="701">
                  <c:v>1860503.9600000002</c:v>
                </c:pt>
                <c:pt idx="702">
                  <c:v>1678246.7333333334</c:v>
                </c:pt>
                <c:pt idx="703">
                  <c:v>1262909.4866666666</c:v>
                </c:pt>
                <c:pt idx="704">
                  <c:v>1529580.0933333335</c:v>
                </c:pt>
                <c:pt idx="705">
                  <c:v>1235334.3299999998</c:v>
                </c:pt>
                <c:pt idx="706">
                  <c:v>1413090.99</c:v>
                </c:pt>
                <c:pt idx="707">
                  <c:v>539452.17999999993</c:v>
                </c:pt>
                <c:pt idx="708">
                  <c:v>585182.01333333331</c:v>
                </c:pt>
                <c:pt idx="709">
                  <c:v>555663.59333333338</c:v>
                </c:pt>
                <c:pt idx="710">
                  <c:v>1714921.9333333333</c:v>
                </c:pt>
                <c:pt idx="711">
                  <c:v>1757716.41</c:v>
                </c:pt>
                <c:pt idx="712">
                  <c:v>1939129.11</c:v>
                </c:pt>
                <c:pt idx="713">
                  <c:v>775301.01333333331</c:v>
                </c:pt>
                <c:pt idx="714">
                  <c:v>1093794.3866666667</c:v>
                </c:pt>
                <c:pt idx="715">
                  <c:v>444883.20000000001</c:v>
                </c:pt>
                <c:pt idx="716">
                  <c:v>756640.01333333331</c:v>
                </c:pt>
                <c:pt idx="717">
                  <c:v>934738.36</c:v>
                </c:pt>
                <c:pt idx="718">
                  <c:v>962486.83666666655</c:v>
                </c:pt>
                <c:pt idx="719">
                  <c:v>2092862.93</c:v>
                </c:pt>
                <c:pt idx="720">
                  <c:v>2220410.0733333332</c:v>
                </c:pt>
                <c:pt idx="721">
                  <c:v>2504765.5699999998</c:v>
                </c:pt>
                <c:pt idx="722">
                  <c:v>1082343.07</c:v>
                </c:pt>
                <c:pt idx="723">
                  <c:v>674021.78666666674</c:v>
                </c:pt>
                <c:pt idx="724">
                  <c:v>369458.4266666667</c:v>
                </c:pt>
                <c:pt idx="725">
                  <c:v>439966.5533333334</c:v>
                </c:pt>
                <c:pt idx="726">
                  <c:v>490903.60000000003</c:v>
                </c:pt>
                <c:pt idx="727">
                  <c:v>602806.31999999995</c:v>
                </c:pt>
                <c:pt idx="728">
                  <c:v>714926.37333333341</c:v>
                </c:pt>
                <c:pt idx="729">
                  <c:v>491217.78666666668</c:v>
                </c:pt>
                <c:pt idx="730">
                  <c:v>586109.25333333341</c:v>
                </c:pt>
                <c:pt idx="731">
                  <c:v>1511803.2833333334</c:v>
                </c:pt>
                <c:pt idx="732">
                  <c:v>1991194.1166666669</c:v>
                </c:pt>
                <c:pt idx="733">
                  <c:v>1818609.5766666664</c:v>
                </c:pt>
                <c:pt idx="734">
                  <c:v>807114.72666666668</c:v>
                </c:pt>
                <c:pt idx="735">
                  <c:v>581050.42666666664</c:v>
                </c:pt>
                <c:pt idx="736">
                  <c:v>530303.07333333336</c:v>
                </c:pt>
                <c:pt idx="737">
                  <c:v>1091533.7066666668</c:v>
                </c:pt>
                <c:pt idx="738">
                  <c:v>2416219.6333333333</c:v>
                </c:pt>
                <c:pt idx="739">
                  <c:v>2441115.9266666668</c:v>
                </c:pt>
                <c:pt idx="740">
                  <c:v>2048580.38</c:v>
                </c:pt>
                <c:pt idx="741">
                  <c:v>524919.34</c:v>
                </c:pt>
                <c:pt idx="742">
                  <c:v>2224369.48</c:v>
                </c:pt>
                <c:pt idx="743">
                  <c:v>1940894.9433333334</c:v>
                </c:pt>
                <c:pt idx="744">
                  <c:v>2320245.9233333333</c:v>
                </c:pt>
                <c:pt idx="745">
                  <c:v>801916.42333333334</c:v>
                </c:pt>
                <c:pt idx="746">
                  <c:v>906279.7666666666</c:v>
                </c:pt>
                <c:pt idx="747">
                  <c:v>929451.36666666658</c:v>
                </c:pt>
                <c:pt idx="748">
                  <c:v>1063249.7</c:v>
                </c:pt>
                <c:pt idx="749">
                  <c:v>974312.58333333337</c:v>
                </c:pt>
                <c:pt idx="750">
                  <c:v>507053.26333333337</c:v>
                </c:pt>
                <c:pt idx="751">
                  <c:v>339914.59666666668</c:v>
                </c:pt>
                <c:pt idx="752">
                  <c:v>694788.46000000008</c:v>
                </c:pt>
                <c:pt idx="753">
                  <c:v>1817556.3133333332</c:v>
                </c:pt>
                <c:pt idx="754">
                  <c:v>2778249.8466666662</c:v>
                </c:pt>
                <c:pt idx="755">
                  <c:v>4332629.3633333333</c:v>
                </c:pt>
                <c:pt idx="756">
                  <c:v>3136804.8033333328</c:v>
                </c:pt>
                <c:pt idx="757">
                  <c:v>2571140.77</c:v>
                </c:pt>
                <c:pt idx="758">
                  <c:v>877959.93666666665</c:v>
                </c:pt>
                <c:pt idx="759">
                  <c:v>995363.08333333337</c:v>
                </c:pt>
                <c:pt idx="760">
                  <c:v>1237904.7933333332</c:v>
                </c:pt>
                <c:pt idx="761">
                  <c:v>1099666.0633333335</c:v>
                </c:pt>
                <c:pt idx="762">
                  <c:v>997450.94333333347</c:v>
                </c:pt>
                <c:pt idx="763">
                  <c:v>1658863.2333333334</c:v>
                </c:pt>
                <c:pt idx="764">
                  <c:v>2391122.2599999998</c:v>
                </c:pt>
                <c:pt idx="765">
                  <c:v>2784473.5</c:v>
                </c:pt>
                <c:pt idx="766">
                  <c:v>1305656.5666666667</c:v>
                </c:pt>
                <c:pt idx="767">
                  <c:v>572198.00666666671</c:v>
                </c:pt>
                <c:pt idx="768">
                  <c:v>294357.62</c:v>
                </c:pt>
                <c:pt idx="769">
                  <c:v>322401.38666666666</c:v>
                </c:pt>
                <c:pt idx="770">
                  <c:v>327079.27666666667</c:v>
                </c:pt>
                <c:pt idx="771">
                  <c:v>223403.75666666668</c:v>
                </c:pt>
                <c:pt idx="772">
                  <c:v>264282.22333333333</c:v>
                </c:pt>
                <c:pt idx="773">
                  <c:v>252642.46666666667</c:v>
                </c:pt>
                <c:pt idx="774">
                  <c:v>1952703.2566666668</c:v>
                </c:pt>
                <c:pt idx="775">
                  <c:v>2644096.2566666668</c:v>
                </c:pt>
                <c:pt idx="776">
                  <c:v>3401748.09</c:v>
                </c:pt>
                <c:pt idx="777">
                  <c:v>1896490.5866666667</c:v>
                </c:pt>
                <c:pt idx="778">
                  <c:v>2833581.7766666668</c:v>
                </c:pt>
                <c:pt idx="779">
                  <c:v>2491135.9433333334</c:v>
                </c:pt>
                <c:pt idx="780">
                  <c:v>3399116.6566666667</c:v>
                </c:pt>
                <c:pt idx="781">
                  <c:v>1881560.5999999996</c:v>
                </c:pt>
                <c:pt idx="782">
                  <c:v>1821727.6933333334</c:v>
                </c:pt>
                <c:pt idx="783">
                  <c:v>810507.23</c:v>
                </c:pt>
                <c:pt idx="784">
                  <c:v>725492.68333333347</c:v>
                </c:pt>
                <c:pt idx="785">
                  <c:v>330340.67333333334</c:v>
                </c:pt>
                <c:pt idx="786">
                  <c:v>456116.96333333338</c:v>
                </c:pt>
                <c:pt idx="787">
                  <c:v>719480.59666666668</c:v>
                </c:pt>
                <c:pt idx="788">
                  <c:v>1071906.5999999999</c:v>
                </c:pt>
                <c:pt idx="789">
                  <c:v>818941.67333333334</c:v>
                </c:pt>
                <c:pt idx="790">
                  <c:v>530281.30333333334</c:v>
                </c:pt>
                <c:pt idx="791">
                  <c:v>207426.65</c:v>
                </c:pt>
                <c:pt idx="792">
                  <c:v>372200.33666666667</c:v>
                </c:pt>
                <c:pt idx="793">
                  <c:v>433600.63666666672</c:v>
                </c:pt>
                <c:pt idx="794">
                  <c:v>1909826.2366666666</c:v>
                </c:pt>
                <c:pt idx="795">
                  <c:v>1814703.2666666666</c:v>
                </c:pt>
                <c:pt idx="796">
                  <c:v>1736526.9033333331</c:v>
                </c:pt>
                <c:pt idx="797">
                  <c:v>778227.72333333327</c:v>
                </c:pt>
                <c:pt idx="798">
                  <c:v>1880067.5733333335</c:v>
                </c:pt>
                <c:pt idx="799">
                  <c:v>1852356.8333333333</c:v>
                </c:pt>
                <c:pt idx="800">
                  <c:v>1260096.3733333333</c:v>
                </c:pt>
                <c:pt idx="801">
                  <c:v>1252395.5033333332</c:v>
                </c:pt>
                <c:pt idx="802">
                  <c:v>2089427.22</c:v>
                </c:pt>
                <c:pt idx="803">
                  <c:v>2096523.8933333333</c:v>
                </c:pt>
                <c:pt idx="804">
                  <c:v>1064581.4433333334</c:v>
                </c:pt>
                <c:pt idx="805">
                  <c:v>237384.56999999998</c:v>
                </c:pt>
                <c:pt idx="806">
                  <c:v>2162854.35</c:v>
                </c:pt>
                <c:pt idx="807">
                  <c:v>2395711.4500000002</c:v>
                </c:pt>
                <c:pt idx="808">
                  <c:v>2429319.5100000002</c:v>
                </c:pt>
                <c:pt idx="809">
                  <c:v>501629.19000000012</c:v>
                </c:pt>
                <c:pt idx="810">
                  <c:v>335491.01333333337</c:v>
                </c:pt>
                <c:pt idx="811">
                  <c:v>502448.37333333335</c:v>
                </c:pt>
                <c:pt idx="812">
                  <c:v>488818.59333333332</c:v>
                </c:pt>
                <c:pt idx="813">
                  <c:v>497127.81000000006</c:v>
                </c:pt>
                <c:pt idx="814">
                  <c:v>1527652.37</c:v>
                </c:pt>
                <c:pt idx="815">
                  <c:v>2582421.8066666666</c:v>
                </c:pt>
                <c:pt idx="816">
                  <c:v>4202544.2566666668</c:v>
                </c:pt>
                <c:pt idx="817">
                  <c:v>3009063.9533333336</c:v>
                </c:pt>
                <c:pt idx="818">
                  <c:v>1962002.8566666667</c:v>
                </c:pt>
                <c:pt idx="819">
                  <c:v>94710.266666666677</c:v>
                </c:pt>
                <c:pt idx="820">
                  <c:v>374783.2666666666</c:v>
                </c:pt>
                <c:pt idx="821">
                  <c:v>2235242.436666667</c:v>
                </c:pt>
                <c:pt idx="822">
                  <c:v>2300289.7566666664</c:v>
                </c:pt>
                <c:pt idx="823">
                  <c:v>2773271.86</c:v>
                </c:pt>
                <c:pt idx="824">
                  <c:v>1342795.6566666665</c:v>
                </c:pt>
                <c:pt idx="825">
                  <c:v>1580722.0366666669</c:v>
                </c:pt>
                <c:pt idx="826">
                  <c:v>762287.07666666666</c:v>
                </c:pt>
                <c:pt idx="827">
                  <c:v>819906.25666666671</c:v>
                </c:pt>
                <c:pt idx="828">
                  <c:v>525332.66666666663</c:v>
                </c:pt>
                <c:pt idx="829">
                  <c:v>624454.73666666669</c:v>
                </c:pt>
                <c:pt idx="830">
                  <c:v>753104.86333333328</c:v>
                </c:pt>
                <c:pt idx="831">
                  <c:v>1010813.46</c:v>
                </c:pt>
                <c:pt idx="832">
                  <c:v>922172.09</c:v>
                </c:pt>
                <c:pt idx="833">
                  <c:v>655587.26333333331</c:v>
                </c:pt>
                <c:pt idx="834">
                  <c:v>1517904.0666666664</c:v>
                </c:pt>
                <c:pt idx="835">
                  <c:v>1970601.3166666664</c:v>
                </c:pt>
                <c:pt idx="836">
                  <c:v>2231956.0166666666</c:v>
                </c:pt>
                <c:pt idx="837">
                  <c:v>1162122.2933333332</c:v>
                </c:pt>
                <c:pt idx="838">
                  <c:v>750855.11333333328</c:v>
                </c:pt>
                <c:pt idx="839">
                  <c:v>352858.65000000008</c:v>
                </c:pt>
                <c:pt idx="840">
                  <c:v>806715.51666666672</c:v>
                </c:pt>
                <c:pt idx="841">
                  <c:v>765310.32666666666</c:v>
                </c:pt>
                <c:pt idx="842">
                  <c:v>711437.66666666663</c:v>
                </c:pt>
                <c:pt idx="843">
                  <c:v>225420.90333333332</c:v>
                </c:pt>
                <c:pt idx="844">
                  <c:v>645744.94666666666</c:v>
                </c:pt>
                <c:pt idx="845">
                  <c:v>551712.46333333338</c:v>
                </c:pt>
                <c:pt idx="846">
                  <c:v>648305.33333333337</c:v>
                </c:pt>
                <c:pt idx="847">
                  <c:v>973618.90666666662</c:v>
                </c:pt>
                <c:pt idx="848">
                  <c:v>1346565.2</c:v>
                </c:pt>
                <c:pt idx="849">
                  <c:v>1224510.76</c:v>
                </c:pt>
                <c:pt idx="850">
                  <c:v>1364614.9833333334</c:v>
                </c:pt>
                <c:pt idx="851">
                  <c:v>1021093.1966666668</c:v>
                </c:pt>
                <c:pt idx="852">
                  <c:v>2174846.1966666668</c:v>
                </c:pt>
                <c:pt idx="853">
                  <c:v>1472615.4133333333</c:v>
                </c:pt>
                <c:pt idx="854">
                  <c:v>2058312.8266666664</c:v>
                </c:pt>
                <c:pt idx="855">
                  <c:v>951747.09666666668</c:v>
                </c:pt>
                <c:pt idx="856">
                  <c:v>859346.29999999993</c:v>
                </c:pt>
                <c:pt idx="857">
                  <c:v>310606.53666666668</c:v>
                </c:pt>
                <c:pt idx="858">
                  <c:v>426116.83666666667</c:v>
                </c:pt>
                <c:pt idx="859">
                  <c:v>412293.07</c:v>
                </c:pt>
                <c:pt idx="860">
                  <c:v>463875.63333333336</c:v>
                </c:pt>
                <c:pt idx="861">
                  <c:v>319088.5533333334</c:v>
                </c:pt>
                <c:pt idx="862">
                  <c:v>1837844.5266666666</c:v>
                </c:pt>
                <c:pt idx="863">
                  <c:v>1670107.1166666665</c:v>
                </c:pt>
                <c:pt idx="864">
                  <c:v>2528829.313333333</c:v>
                </c:pt>
                <c:pt idx="865">
                  <c:v>1061348.4566666668</c:v>
                </c:pt>
                <c:pt idx="866">
                  <c:v>1237394.7533333332</c:v>
                </c:pt>
                <c:pt idx="867">
                  <c:v>617413.03999999992</c:v>
                </c:pt>
                <c:pt idx="868">
                  <c:v>598665.50666666671</c:v>
                </c:pt>
                <c:pt idx="869">
                  <c:v>848653.4</c:v>
                </c:pt>
                <c:pt idx="870">
                  <c:v>755557.22000000009</c:v>
                </c:pt>
                <c:pt idx="871">
                  <c:v>1611829.7566666668</c:v>
                </c:pt>
                <c:pt idx="872">
                  <c:v>1580805.156666667</c:v>
                </c:pt>
                <c:pt idx="873">
                  <c:v>1835930.3533333335</c:v>
                </c:pt>
                <c:pt idx="874">
                  <c:v>1591263.59</c:v>
                </c:pt>
                <c:pt idx="875">
                  <c:v>2130557.73</c:v>
                </c:pt>
                <c:pt idx="876">
                  <c:v>3152525.74</c:v>
                </c:pt>
                <c:pt idx="877">
                  <c:v>4505523.0500000007</c:v>
                </c:pt>
                <c:pt idx="878">
                  <c:v>3859465.4233333338</c:v>
                </c:pt>
                <c:pt idx="879">
                  <c:v>2660195.1733333338</c:v>
                </c:pt>
                <c:pt idx="880">
                  <c:v>573073.66333333345</c:v>
                </c:pt>
                <c:pt idx="881">
                  <c:v>468717.29000000004</c:v>
                </c:pt>
                <c:pt idx="882">
                  <c:v>857527.04999999993</c:v>
                </c:pt>
                <c:pt idx="883">
                  <c:v>1331067.0766666664</c:v>
                </c:pt>
                <c:pt idx="884">
                  <c:v>1577447.593333333</c:v>
                </c:pt>
                <c:pt idx="885">
                  <c:v>973222.54999999993</c:v>
                </c:pt>
                <c:pt idx="886">
                  <c:v>713159.42333333334</c:v>
                </c:pt>
                <c:pt idx="887">
                  <c:v>552884.88666666672</c:v>
                </c:pt>
                <c:pt idx="888">
                  <c:v>2701558.2033333336</c:v>
                </c:pt>
                <c:pt idx="889">
                  <c:v>2609847.83</c:v>
                </c:pt>
                <c:pt idx="890">
                  <c:v>2449110.9</c:v>
                </c:pt>
                <c:pt idx="891">
                  <c:v>333683.88333333336</c:v>
                </c:pt>
                <c:pt idx="892">
                  <c:v>485683.47000000003</c:v>
                </c:pt>
                <c:pt idx="893">
                  <c:v>1059444.18</c:v>
                </c:pt>
                <c:pt idx="894">
                  <c:v>1536393.9133333331</c:v>
                </c:pt>
                <c:pt idx="895">
                  <c:v>1890266.4066666665</c:v>
                </c:pt>
                <c:pt idx="896">
                  <c:v>1270344.1466666667</c:v>
                </c:pt>
                <c:pt idx="897">
                  <c:v>2391252.436666667</c:v>
                </c:pt>
                <c:pt idx="898">
                  <c:v>2982624.39</c:v>
                </c:pt>
                <c:pt idx="899">
                  <c:v>2902901.09</c:v>
                </c:pt>
                <c:pt idx="900">
                  <c:v>2710360</c:v>
                </c:pt>
                <c:pt idx="901">
                  <c:v>1554760.18</c:v>
                </c:pt>
                <c:pt idx="902">
                  <c:v>2976496.68</c:v>
                </c:pt>
                <c:pt idx="903">
                  <c:v>2042935.6866666668</c:v>
                </c:pt>
                <c:pt idx="904">
                  <c:v>2169686.4266666668</c:v>
                </c:pt>
                <c:pt idx="905">
                  <c:v>1072750.26</c:v>
                </c:pt>
                <c:pt idx="906">
                  <c:v>1006154.7533333333</c:v>
                </c:pt>
                <c:pt idx="907">
                  <c:v>2101803.0833333335</c:v>
                </c:pt>
                <c:pt idx="908">
                  <c:v>1996388.5199999998</c:v>
                </c:pt>
                <c:pt idx="909">
                  <c:v>1707178.0999999999</c:v>
                </c:pt>
                <c:pt idx="910">
                  <c:v>542112.02666666673</c:v>
                </c:pt>
                <c:pt idx="911">
                  <c:v>992669.96666666679</c:v>
                </c:pt>
                <c:pt idx="912">
                  <c:v>1040830.6266666666</c:v>
                </c:pt>
                <c:pt idx="913">
                  <c:v>1004649.8166666665</c:v>
                </c:pt>
                <c:pt idx="914">
                  <c:v>611088.64666666661</c:v>
                </c:pt>
                <c:pt idx="915">
                  <c:v>2242586.7666666671</c:v>
                </c:pt>
                <c:pt idx="916">
                  <c:v>2331047.5333333332</c:v>
                </c:pt>
                <c:pt idx="917">
                  <c:v>2541625.4933333332</c:v>
                </c:pt>
                <c:pt idx="918">
                  <c:v>929087.3866666666</c:v>
                </c:pt>
                <c:pt idx="919">
                  <c:v>1037572.0399999999</c:v>
                </c:pt>
                <c:pt idx="920">
                  <c:v>547588.63</c:v>
                </c:pt>
                <c:pt idx="921">
                  <c:v>509673.57666666666</c:v>
                </c:pt>
                <c:pt idx="922">
                  <c:v>339698.37333333329</c:v>
                </c:pt>
                <c:pt idx="923">
                  <c:v>528897.79333333333</c:v>
                </c:pt>
                <c:pt idx="924">
                  <c:v>484834.9833333334</c:v>
                </c:pt>
                <c:pt idx="925">
                  <c:v>803268.6333333333</c:v>
                </c:pt>
                <c:pt idx="926">
                  <c:v>1081838.6900000002</c:v>
                </c:pt>
                <c:pt idx="927">
                  <c:v>997476.13333333342</c:v>
                </c:pt>
                <c:pt idx="928">
                  <c:v>582927.64</c:v>
                </c:pt>
                <c:pt idx="929">
                  <c:v>245995.55666666667</c:v>
                </c:pt>
                <c:pt idx="930">
                  <c:v>355894.05666666664</c:v>
                </c:pt>
                <c:pt idx="931">
                  <c:v>386705.12666666665</c:v>
                </c:pt>
                <c:pt idx="932">
                  <c:v>251286.70333333334</c:v>
                </c:pt>
                <c:pt idx="933">
                  <c:v>1463531.5033333332</c:v>
                </c:pt>
                <c:pt idx="934">
                  <c:v>1564469.0533333335</c:v>
                </c:pt>
                <c:pt idx="935">
                  <c:v>2438197.3566666669</c:v>
                </c:pt>
                <c:pt idx="936">
                  <c:v>1482497.57</c:v>
                </c:pt>
                <c:pt idx="937">
                  <c:v>1550011.3099999998</c:v>
                </c:pt>
                <c:pt idx="938">
                  <c:v>818733.50666666671</c:v>
                </c:pt>
                <c:pt idx="939">
                  <c:v>1015894.7600000001</c:v>
                </c:pt>
                <c:pt idx="940">
                  <c:v>812002.69</c:v>
                </c:pt>
                <c:pt idx="941">
                  <c:v>1115763.49</c:v>
                </c:pt>
                <c:pt idx="942">
                  <c:v>476014.43</c:v>
                </c:pt>
                <c:pt idx="943">
                  <c:v>691488.5</c:v>
                </c:pt>
                <c:pt idx="944">
                  <c:v>244458.09333333329</c:v>
                </c:pt>
                <c:pt idx="945">
                  <c:v>345628.45333333331</c:v>
                </c:pt>
                <c:pt idx="946">
                  <c:v>229902.48666666669</c:v>
                </c:pt>
                <c:pt idx="947">
                  <c:v>725918.50666666671</c:v>
                </c:pt>
                <c:pt idx="948">
                  <c:v>725600.3666666667</c:v>
                </c:pt>
                <c:pt idx="949">
                  <c:v>835436.27999999991</c:v>
                </c:pt>
                <c:pt idx="950">
                  <c:v>1295942.1233333333</c:v>
                </c:pt>
                <c:pt idx="951">
                  <c:v>1271782.7299999997</c:v>
                </c:pt>
                <c:pt idx="952">
                  <c:v>1246310.2133333331</c:v>
                </c:pt>
                <c:pt idx="953">
                  <c:v>1096172.22</c:v>
                </c:pt>
                <c:pt idx="954">
                  <c:v>1276845.5999999999</c:v>
                </c:pt>
                <c:pt idx="955">
                  <c:v>2192196.7033333331</c:v>
                </c:pt>
                <c:pt idx="956">
                  <c:v>1465924.0333333332</c:v>
                </c:pt>
                <c:pt idx="957">
                  <c:v>1599915.8533333335</c:v>
                </c:pt>
                <c:pt idx="958">
                  <c:v>806363.25</c:v>
                </c:pt>
                <c:pt idx="959">
                  <c:v>814957.21666666667</c:v>
                </c:pt>
                <c:pt idx="960">
                  <c:v>2624948.2766666668</c:v>
                </c:pt>
                <c:pt idx="961">
                  <c:v>2601719.6066666669</c:v>
                </c:pt>
                <c:pt idx="962">
                  <c:v>2600537.1800000002</c:v>
                </c:pt>
                <c:pt idx="963">
                  <c:v>1190059.1533333333</c:v>
                </c:pt>
                <c:pt idx="964">
                  <c:v>1007220.8266666668</c:v>
                </c:pt>
                <c:pt idx="965">
                  <c:v>1101591.5933333333</c:v>
                </c:pt>
                <c:pt idx="966">
                  <c:v>1123014.3933333333</c:v>
                </c:pt>
                <c:pt idx="967">
                  <c:v>1204640.2866666666</c:v>
                </c:pt>
                <c:pt idx="968">
                  <c:v>1048812.8666666667</c:v>
                </c:pt>
                <c:pt idx="969">
                  <c:v>1121096.5999999999</c:v>
                </c:pt>
                <c:pt idx="970">
                  <c:v>2265377.2833333332</c:v>
                </c:pt>
                <c:pt idx="971">
                  <c:v>2261953.4266666668</c:v>
                </c:pt>
                <c:pt idx="972">
                  <c:v>1486265.8533333333</c:v>
                </c:pt>
                <c:pt idx="973">
                  <c:v>2021515.7533333336</c:v>
                </c:pt>
                <c:pt idx="974">
                  <c:v>4029973.5466666669</c:v>
                </c:pt>
                <c:pt idx="975">
                  <c:v>3928143.226666667</c:v>
                </c:pt>
                <c:pt idx="976">
                  <c:v>2891110.936666667</c:v>
                </c:pt>
                <c:pt idx="977">
                  <c:v>1787152.14</c:v>
                </c:pt>
                <c:pt idx="978">
                  <c:v>1786557.2333333334</c:v>
                </c:pt>
                <c:pt idx="979">
                  <c:v>1085161.5966666669</c:v>
                </c:pt>
                <c:pt idx="980">
                  <c:v>283455.1166666667</c:v>
                </c:pt>
                <c:pt idx="981">
                  <c:v>1423496.6633333333</c:v>
                </c:pt>
                <c:pt idx="982">
                  <c:v>1515098.0200000003</c:v>
                </c:pt>
                <c:pt idx="983">
                  <c:v>1750635.0533333335</c:v>
                </c:pt>
                <c:pt idx="984">
                  <c:v>689961.7466666667</c:v>
                </c:pt>
                <c:pt idx="985">
                  <c:v>457717.20666666661</c:v>
                </c:pt>
                <c:pt idx="986">
                  <c:v>481073.77333333337</c:v>
                </c:pt>
                <c:pt idx="987">
                  <c:v>1807081.5333333332</c:v>
                </c:pt>
                <c:pt idx="988">
                  <c:v>2213318.1333333333</c:v>
                </c:pt>
                <c:pt idx="989">
                  <c:v>1920102.3666666669</c:v>
                </c:pt>
                <c:pt idx="990">
                  <c:v>517342.77333333337</c:v>
                </c:pt>
                <c:pt idx="991">
                  <c:v>973898.54</c:v>
                </c:pt>
                <c:pt idx="992">
                  <c:v>878470.45666666667</c:v>
                </c:pt>
                <c:pt idx="993">
                  <c:v>1003031.2333333334</c:v>
                </c:pt>
                <c:pt idx="994">
                  <c:v>155287.54</c:v>
                </c:pt>
                <c:pt idx="995">
                  <c:v>174980.05999999997</c:v>
                </c:pt>
                <c:pt idx="996">
                  <c:v>247207.87000000002</c:v>
                </c:pt>
                <c:pt idx="997">
                  <c:v>355332.09666666668</c:v>
                </c:pt>
              </c:numCache>
            </c:numRef>
          </c:val>
          <c:smooth val="0"/>
          <c:extLst>
            <c:ext xmlns:c16="http://schemas.microsoft.com/office/drawing/2014/chart" uri="{C3380CC4-5D6E-409C-BE32-E72D297353CC}">
              <c16:uniqueId val="{00000002-C15B-4A71-A86F-119068FB3A6B}"/>
            </c:ext>
          </c:extLst>
        </c:ser>
        <c:ser>
          <c:idx val="3"/>
          <c:order val="3"/>
          <c:spPr>
            <a:ln w="34925" cap="rnd">
              <a:solidFill>
                <a:schemeClr val="accent4"/>
              </a:solidFill>
              <a:round/>
            </a:ln>
            <a:effectLst>
              <a:outerShdw blurRad="57150" dist="19050" dir="5400000" algn="ctr" rotWithShape="0">
                <a:srgbClr val="000000">
                  <a:alpha val="63000"/>
                </a:srgbClr>
              </a:outerShdw>
            </a:effectLst>
          </c:spPr>
          <c:marker>
            <c:symbol val="none"/>
          </c:marker>
          <c:val>
            <c:numRef>
              <c:f>'Medias Moviles'!$J$5:$J$1001</c:f>
              <c:numCache>
                <c:formatCode>_-* #,##0.00\ [$€-C0A]_-;\-* #,##0.00\ [$€-C0A]_-;_-* "-"??\ [$€-C0A]_-;_-@_-</c:formatCode>
                <c:ptCount val="997"/>
                <c:pt idx="0">
                  <c:v>690658.13500000001</c:v>
                </c:pt>
                <c:pt idx="1">
                  <c:v>711574.34499999997</c:v>
                </c:pt>
                <c:pt idx="2">
                  <c:v>655489.55499999993</c:v>
                </c:pt>
                <c:pt idx="3">
                  <c:v>458201.55000000005</c:v>
                </c:pt>
                <c:pt idx="4">
                  <c:v>1344595.7549999999</c:v>
                </c:pt>
                <c:pt idx="5">
                  <c:v>1292114.6125</c:v>
                </c:pt>
                <c:pt idx="6">
                  <c:v>2765074.7050000001</c:v>
                </c:pt>
                <c:pt idx="7">
                  <c:v>2715942.3849999998</c:v>
                </c:pt>
                <c:pt idx="8">
                  <c:v>2058775.99</c:v>
                </c:pt>
                <c:pt idx="9">
                  <c:v>1953907.4350000001</c:v>
                </c:pt>
                <c:pt idx="10">
                  <c:v>509915.73750000005</c:v>
                </c:pt>
                <c:pt idx="11">
                  <c:v>411068.19750000007</c:v>
                </c:pt>
                <c:pt idx="12">
                  <c:v>363068.13500000001</c:v>
                </c:pt>
                <c:pt idx="13">
                  <c:v>447154.07250000001</c:v>
                </c:pt>
                <c:pt idx="14">
                  <c:v>653077.02249999996</c:v>
                </c:pt>
                <c:pt idx="15">
                  <c:v>1482331.6</c:v>
                </c:pt>
                <c:pt idx="16">
                  <c:v>1892322.3875</c:v>
                </c:pt>
                <c:pt idx="17">
                  <c:v>1929920.9525000001</c:v>
                </c:pt>
                <c:pt idx="18">
                  <c:v>1745956.3325000003</c:v>
                </c:pt>
                <c:pt idx="19">
                  <c:v>1025125.25</c:v>
                </c:pt>
                <c:pt idx="20">
                  <c:v>500370.62</c:v>
                </c:pt>
                <c:pt idx="21">
                  <c:v>537077.96</c:v>
                </c:pt>
                <c:pt idx="22">
                  <c:v>595972.99249999993</c:v>
                </c:pt>
                <c:pt idx="23">
                  <c:v>531409.87749999994</c:v>
                </c:pt>
                <c:pt idx="24">
                  <c:v>545807.51750000007</c:v>
                </c:pt>
                <c:pt idx="25">
                  <c:v>1331684.9275</c:v>
                </c:pt>
                <c:pt idx="26">
                  <c:v>1533033.1949999998</c:v>
                </c:pt>
                <c:pt idx="27">
                  <c:v>1750038.7749999999</c:v>
                </c:pt>
                <c:pt idx="28">
                  <c:v>1659851.4824999999</c:v>
                </c:pt>
                <c:pt idx="29">
                  <c:v>779504.30750000011</c:v>
                </c:pt>
                <c:pt idx="30">
                  <c:v>426161.72250000003</c:v>
                </c:pt>
                <c:pt idx="31">
                  <c:v>257430.58250000002</c:v>
                </c:pt>
                <c:pt idx="32">
                  <c:v>1212437.8025</c:v>
                </c:pt>
                <c:pt idx="33">
                  <c:v>1172086.5124999997</c:v>
                </c:pt>
                <c:pt idx="34">
                  <c:v>1250869.6974999998</c:v>
                </c:pt>
                <c:pt idx="35">
                  <c:v>1428420.7725</c:v>
                </c:pt>
                <c:pt idx="36">
                  <c:v>1239737.895</c:v>
                </c:pt>
                <c:pt idx="37">
                  <c:v>1144016.9025000001</c:v>
                </c:pt>
                <c:pt idx="38">
                  <c:v>1198529.8025</c:v>
                </c:pt>
                <c:pt idx="39">
                  <c:v>928953.53499999992</c:v>
                </c:pt>
                <c:pt idx="40">
                  <c:v>544692.52</c:v>
                </c:pt>
                <c:pt idx="41">
                  <c:v>985155.03750000009</c:v>
                </c:pt>
                <c:pt idx="42">
                  <c:v>1019218.51</c:v>
                </c:pt>
                <c:pt idx="43">
                  <c:v>1181893.2225000001</c:v>
                </c:pt>
                <c:pt idx="44">
                  <c:v>878608.98499999999</c:v>
                </c:pt>
                <c:pt idx="45">
                  <c:v>1108597.3875000002</c:v>
                </c:pt>
                <c:pt idx="46">
                  <c:v>1130102.7949999999</c:v>
                </c:pt>
                <c:pt idx="47">
                  <c:v>1078808.27</c:v>
                </c:pt>
                <c:pt idx="48">
                  <c:v>1219074.5175000001</c:v>
                </c:pt>
                <c:pt idx="49">
                  <c:v>660477.59</c:v>
                </c:pt>
                <c:pt idx="50">
                  <c:v>1135097.1025</c:v>
                </c:pt>
                <c:pt idx="51">
                  <c:v>1268412.4924999999</c:v>
                </c:pt>
                <c:pt idx="52">
                  <c:v>1065595.2825</c:v>
                </c:pt>
                <c:pt idx="53">
                  <c:v>1092771.6975</c:v>
                </c:pt>
                <c:pt idx="54">
                  <c:v>495934.10499999998</c:v>
                </c:pt>
                <c:pt idx="55">
                  <c:v>359464.48</c:v>
                </c:pt>
                <c:pt idx="56">
                  <c:v>489813.98499999999</c:v>
                </c:pt>
                <c:pt idx="57">
                  <c:v>765842.12</c:v>
                </c:pt>
                <c:pt idx="58">
                  <c:v>849514.08749999991</c:v>
                </c:pt>
                <c:pt idx="59">
                  <c:v>844038.52750000008</c:v>
                </c:pt>
                <c:pt idx="60">
                  <c:v>711457.15750000009</c:v>
                </c:pt>
                <c:pt idx="61">
                  <c:v>862115.34250000003</c:v>
                </c:pt>
                <c:pt idx="62">
                  <c:v>721814.14</c:v>
                </c:pt>
                <c:pt idx="63">
                  <c:v>614956.21499999997</c:v>
                </c:pt>
                <c:pt idx="64">
                  <c:v>864392.00499999989</c:v>
                </c:pt>
                <c:pt idx="65">
                  <c:v>371590.45</c:v>
                </c:pt>
                <c:pt idx="66">
                  <c:v>456969.09249999997</c:v>
                </c:pt>
                <c:pt idx="67">
                  <c:v>634663.63749999995</c:v>
                </c:pt>
                <c:pt idx="68">
                  <c:v>1074686.8925000001</c:v>
                </c:pt>
                <c:pt idx="69">
                  <c:v>1671860.25</c:v>
                </c:pt>
                <c:pt idx="70">
                  <c:v>2656425.5274999999</c:v>
                </c:pt>
                <c:pt idx="71">
                  <c:v>2489252.89</c:v>
                </c:pt>
                <c:pt idx="72">
                  <c:v>1927581.83</c:v>
                </c:pt>
                <c:pt idx="73">
                  <c:v>1275574.23</c:v>
                </c:pt>
                <c:pt idx="74">
                  <c:v>275377.34499999997</c:v>
                </c:pt>
                <c:pt idx="75">
                  <c:v>277698.85749999998</c:v>
                </c:pt>
                <c:pt idx="76">
                  <c:v>150135.63</c:v>
                </c:pt>
                <c:pt idx="77">
                  <c:v>478700.55</c:v>
                </c:pt>
                <c:pt idx="78">
                  <c:v>561668.01</c:v>
                </c:pt>
                <c:pt idx="79">
                  <c:v>585972.84750000003</c:v>
                </c:pt>
                <c:pt idx="80">
                  <c:v>989271.1875</c:v>
                </c:pt>
                <c:pt idx="81">
                  <c:v>668028.87999999989</c:v>
                </c:pt>
                <c:pt idx="82">
                  <c:v>1326661.92</c:v>
                </c:pt>
                <c:pt idx="83">
                  <c:v>1303611.6875</c:v>
                </c:pt>
                <c:pt idx="84">
                  <c:v>2098611.2075</c:v>
                </c:pt>
                <c:pt idx="85">
                  <c:v>2297647.0075000003</c:v>
                </c:pt>
                <c:pt idx="86">
                  <c:v>1502847.5125000002</c:v>
                </c:pt>
                <c:pt idx="87">
                  <c:v>2714458.46</c:v>
                </c:pt>
                <c:pt idx="88">
                  <c:v>2227016.75</c:v>
                </c:pt>
                <c:pt idx="89">
                  <c:v>2378246.6550000003</c:v>
                </c:pt>
                <c:pt idx="90">
                  <c:v>2363399.4449999998</c:v>
                </c:pt>
                <c:pt idx="91">
                  <c:v>1195984.68</c:v>
                </c:pt>
                <c:pt idx="92">
                  <c:v>550066.19999999995</c:v>
                </c:pt>
                <c:pt idx="93">
                  <c:v>585975.31500000006</c:v>
                </c:pt>
                <c:pt idx="94">
                  <c:v>1206039.4375</c:v>
                </c:pt>
                <c:pt idx="95">
                  <c:v>1339340.3825000001</c:v>
                </c:pt>
                <c:pt idx="96">
                  <c:v>1448002.4000000001</c:v>
                </c:pt>
                <c:pt idx="97">
                  <c:v>1542247.73</c:v>
                </c:pt>
                <c:pt idx="98">
                  <c:v>1061948.3725000001</c:v>
                </c:pt>
                <c:pt idx="99">
                  <c:v>1087482.645</c:v>
                </c:pt>
                <c:pt idx="100">
                  <c:v>1672836.0474999999</c:v>
                </c:pt>
                <c:pt idx="101">
                  <c:v>1257430.81</c:v>
                </c:pt>
                <c:pt idx="102">
                  <c:v>1253771.885</c:v>
                </c:pt>
                <c:pt idx="103">
                  <c:v>1622133.0449999999</c:v>
                </c:pt>
                <c:pt idx="104">
                  <c:v>984866.72</c:v>
                </c:pt>
                <c:pt idx="105">
                  <c:v>1830341.1875</c:v>
                </c:pt>
                <c:pt idx="106">
                  <c:v>2240613.9125000001</c:v>
                </c:pt>
                <c:pt idx="107">
                  <c:v>2218777.5725000002</c:v>
                </c:pt>
                <c:pt idx="108">
                  <c:v>2144841.35</c:v>
                </c:pt>
                <c:pt idx="109">
                  <c:v>1381880.6875</c:v>
                </c:pt>
                <c:pt idx="110">
                  <c:v>1232130.1424999998</c:v>
                </c:pt>
                <c:pt idx="111">
                  <c:v>2164667.1524999999</c:v>
                </c:pt>
                <c:pt idx="112">
                  <c:v>2594411.7824999997</c:v>
                </c:pt>
                <c:pt idx="113">
                  <c:v>2443131.0649999999</c:v>
                </c:pt>
                <c:pt idx="114">
                  <c:v>2263625.9</c:v>
                </c:pt>
                <c:pt idx="115">
                  <c:v>885227.60750000004</c:v>
                </c:pt>
                <c:pt idx="116">
                  <c:v>399401.38999999996</c:v>
                </c:pt>
                <c:pt idx="117">
                  <c:v>423492.53500000003</c:v>
                </c:pt>
                <c:pt idx="118">
                  <c:v>260370.82250000001</c:v>
                </c:pt>
                <c:pt idx="119">
                  <c:v>142815.77499999999</c:v>
                </c:pt>
                <c:pt idx="120">
                  <c:v>140352.655</c:v>
                </c:pt>
                <c:pt idx="121">
                  <c:v>261535.17249999999</c:v>
                </c:pt>
                <c:pt idx="122">
                  <c:v>198085.07249999998</c:v>
                </c:pt>
                <c:pt idx="123">
                  <c:v>200031.74</c:v>
                </c:pt>
                <c:pt idx="124">
                  <c:v>189597.4325</c:v>
                </c:pt>
                <c:pt idx="125">
                  <c:v>342569.07500000001</c:v>
                </c:pt>
                <c:pt idx="126">
                  <c:v>448954.11749999999</c:v>
                </c:pt>
                <c:pt idx="127">
                  <c:v>1885489.5699999998</c:v>
                </c:pt>
                <c:pt idx="128">
                  <c:v>2006526.4549999998</c:v>
                </c:pt>
                <c:pt idx="129">
                  <c:v>2801259.4024999999</c:v>
                </c:pt>
                <c:pt idx="130">
                  <c:v>3032580.4925000002</c:v>
                </c:pt>
                <c:pt idx="131">
                  <c:v>1624698.3825000001</c:v>
                </c:pt>
                <c:pt idx="132">
                  <c:v>1929195.0525000002</c:v>
                </c:pt>
                <c:pt idx="133">
                  <c:v>840641.51249999995</c:v>
                </c:pt>
                <c:pt idx="134">
                  <c:v>639685.53749999998</c:v>
                </c:pt>
                <c:pt idx="135">
                  <c:v>978427.18249999988</c:v>
                </c:pt>
                <c:pt idx="136">
                  <c:v>600720.17000000004</c:v>
                </c:pt>
                <c:pt idx="137">
                  <c:v>603982.75749999995</c:v>
                </c:pt>
                <c:pt idx="138">
                  <c:v>596559.73750000005</c:v>
                </c:pt>
                <c:pt idx="139">
                  <c:v>267541.66249999998</c:v>
                </c:pt>
                <c:pt idx="140">
                  <c:v>373107.10499999998</c:v>
                </c:pt>
                <c:pt idx="141">
                  <c:v>355057.5625</c:v>
                </c:pt>
                <c:pt idx="142">
                  <c:v>219201.75750000001</c:v>
                </c:pt>
                <c:pt idx="143">
                  <c:v>349169.50750000001</c:v>
                </c:pt>
                <c:pt idx="144">
                  <c:v>476355.64250000007</c:v>
                </c:pt>
                <c:pt idx="145">
                  <c:v>552468.15750000009</c:v>
                </c:pt>
                <c:pt idx="146">
                  <c:v>567319.18500000006</c:v>
                </c:pt>
                <c:pt idx="147">
                  <c:v>679769.97250000015</c:v>
                </c:pt>
                <c:pt idx="148">
                  <c:v>404121.46</c:v>
                </c:pt>
                <c:pt idx="149">
                  <c:v>317228.13000000006</c:v>
                </c:pt>
                <c:pt idx="150">
                  <c:v>316619.34750000003</c:v>
                </c:pt>
                <c:pt idx="151">
                  <c:v>1029797.5425</c:v>
                </c:pt>
                <c:pt idx="152">
                  <c:v>1560949.3725000001</c:v>
                </c:pt>
                <c:pt idx="153">
                  <c:v>1829962.905</c:v>
                </c:pt>
                <c:pt idx="154">
                  <c:v>1926287.0525</c:v>
                </c:pt>
                <c:pt idx="155">
                  <c:v>2007648.925</c:v>
                </c:pt>
                <c:pt idx="156">
                  <c:v>2782263.22</c:v>
                </c:pt>
                <c:pt idx="157">
                  <c:v>2678069.62</c:v>
                </c:pt>
                <c:pt idx="158">
                  <c:v>2871181.7324999999</c:v>
                </c:pt>
                <c:pt idx="159">
                  <c:v>2690287.2850000001</c:v>
                </c:pt>
                <c:pt idx="160">
                  <c:v>2105826.3099999996</c:v>
                </c:pt>
                <c:pt idx="161">
                  <c:v>2425528.1574999997</c:v>
                </c:pt>
                <c:pt idx="162">
                  <c:v>2383792.8424999998</c:v>
                </c:pt>
                <c:pt idx="163">
                  <c:v>2272941.2450000001</c:v>
                </c:pt>
                <c:pt idx="164">
                  <c:v>1840597.2124999999</c:v>
                </c:pt>
                <c:pt idx="165">
                  <c:v>1565075.3900000001</c:v>
                </c:pt>
                <c:pt idx="166">
                  <c:v>1610593.2300000002</c:v>
                </c:pt>
                <c:pt idx="167">
                  <c:v>1151043.3</c:v>
                </c:pt>
                <c:pt idx="168">
                  <c:v>1440194.4875</c:v>
                </c:pt>
                <c:pt idx="169">
                  <c:v>2163628.25</c:v>
                </c:pt>
                <c:pt idx="170">
                  <c:v>1901002.26</c:v>
                </c:pt>
                <c:pt idx="171">
                  <c:v>1771038.6600000001</c:v>
                </c:pt>
                <c:pt idx="172">
                  <c:v>1442319.5475000001</c:v>
                </c:pt>
                <c:pt idx="173">
                  <c:v>655937.26500000001</c:v>
                </c:pt>
                <c:pt idx="174">
                  <c:v>1233777.8525</c:v>
                </c:pt>
                <c:pt idx="175">
                  <c:v>2462394.0950000002</c:v>
                </c:pt>
                <c:pt idx="176">
                  <c:v>2236158.6375000002</c:v>
                </c:pt>
                <c:pt idx="177">
                  <c:v>2475190.7574999998</c:v>
                </c:pt>
                <c:pt idx="178">
                  <c:v>2012172.24</c:v>
                </c:pt>
                <c:pt idx="179">
                  <c:v>1016115.7174999999</c:v>
                </c:pt>
                <c:pt idx="180">
                  <c:v>2197907.5474999999</c:v>
                </c:pt>
                <c:pt idx="181">
                  <c:v>2131817.89</c:v>
                </c:pt>
                <c:pt idx="182">
                  <c:v>2015982.7349999999</c:v>
                </c:pt>
                <c:pt idx="183">
                  <c:v>1601790.835</c:v>
                </c:pt>
                <c:pt idx="184">
                  <c:v>582620.16250000009</c:v>
                </c:pt>
                <c:pt idx="185">
                  <c:v>390144.92</c:v>
                </c:pt>
                <c:pt idx="186">
                  <c:v>675834.59499999997</c:v>
                </c:pt>
                <c:pt idx="187">
                  <c:v>666160.48</c:v>
                </c:pt>
                <c:pt idx="188">
                  <c:v>507754.86749999999</c:v>
                </c:pt>
                <c:pt idx="189">
                  <c:v>550685.67749999999</c:v>
                </c:pt>
                <c:pt idx="190">
                  <c:v>1134141.2324999999</c:v>
                </c:pt>
                <c:pt idx="191">
                  <c:v>1147923.9749999999</c:v>
                </c:pt>
                <c:pt idx="192">
                  <c:v>1413263.6924999999</c:v>
                </c:pt>
                <c:pt idx="193">
                  <c:v>1362732.0125</c:v>
                </c:pt>
                <c:pt idx="194">
                  <c:v>1445420.9824999999</c:v>
                </c:pt>
                <c:pt idx="195">
                  <c:v>1655512.43</c:v>
                </c:pt>
                <c:pt idx="196">
                  <c:v>1470762.5250000001</c:v>
                </c:pt>
                <c:pt idx="197">
                  <c:v>1498955.5050000001</c:v>
                </c:pt>
                <c:pt idx="198">
                  <c:v>509315.51750000007</c:v>
                </c:pt>
                <c:pt idx="199">
                  <c:v>564874.9225000001</c:v>
                </c:pt>
                <c:pt idx="200">
                  <c:v>671024.16749999998</c:v>
                </c:pt>
                <c:pt idx="201">
                  <c:v>730093.25249999994</c:v>
                </c:pt>
                <c:pt idx="202">
                  <c:v>739737.49</c:v>
                </c:pt>
                <c:pt idx="203">
                  <c:v>463123.88750000001</c:v>
                </c:pt>
                <c:pt idx="204">
                  <c:v>617250.84750000003</c:v>
                </c:pt>
                <c:pt idx="205">
                  <c:v>549057.42749999999</c:v>
                </c:pt>
                <c:pt idx="206">
                  <c:v>598363.01250000007</c:v>
                </c:pt>
                <c:pt idx="207">
                  <c:v>1215839.2350000001</c:v>
                </c:pt>
                <c:pt idx="208">
                  <c:v>845677.95750000002</c:v>
                </c:pt>
                <c:pt idx="209">
                  <c:v>761673.02250000008</c:v>
                </c:pt>
                <c:pt idx="210">
                  <c:v>700023.23250000004</c:v>
                </c:pt>
                <c:pt idx="211">
                  <c:v>684829.65749999997</c:v>
                </c:pt>
                <c:pt idx="212">
                  <c:v>884303.64</c:v>
                </c:pt>
                <c:pt idx="213">
                  <c:v>1398403.8675000002</c:v>
                </c:pt>
                <c:pt idx="214">
                  <c:v>1469396.2475000001</c:v>
                </c:pt>
                <c:pt idx="215">
                  <c:v>1349929.6225000001</c:v>
                </c:pt>
                <c:pt idx="216">
                  <c:v>1435071.52</c:v>
                </c:pt>
                <c:pt idx="217">
                  <c:v>948795.4325</c:v>
                </c:pt>
                <c:pt idx="218">
                  <c:v>1276080.4624999999</c:v>
                </c:pt>
                <c:pt idx="219">
                  <c:v>935117.4225000001</c:v>
                </c:pt>
                <c:pt idx="220">
                  <c:v>717680.72000000009</c:v>
                </c:pt>
                <c:pt idx="221">
                  <c:v>1080354.5150000001</c:v>
                </c:pt>
                <c:pt idx="222">
                  <c:v>943487.75999999978</c:v>
                </c:pt>
                <c:pt idx="223">
                  <c:v>902723.28999999992</c:v>
                </c:pt>
                <c:pt idx="224">
                  <c:v>1574374.2899999998</c:v>
                </c:pt>
                <c:pt idx="225">
                  <c:v>1254819.3399999999</c:v>
                </c:pt>
                <c:pt idx="226">
                  <c:v>1310024.3199999998</c:v>
                </c:pt>
                <c:pt idx="227">
                  <c:v>1574822.6099999999</c:v>
                </c:pt>
                <c:pt idx="228">
                  <c:v>1282007.9099999999</c:v>
                </c:pt>
                <c:pt idx="229">
                  <c:v>1176482.585</c:v>
                </c:pt>
                <c:pt idx="230">
                  <c:v>928450.24000000011</c:v>
                </c:pt>
                <c:pt idx="231">
                  <c:v>565763.91</c:v>
                </c:pt>
                <c:pt idx="232">
                  <c:v>561044.48499999999</c:v>
                </c:pt>
                <c:pt idx="233">
                  <c:v>2004001.1850000001</c:v>
                </c:pt>
                <c:pt idx="234">
                  <c:v>2272292.42</c:v>
                </c:pt>
                <c:pt idx="235">
                  <c:v>2523526.29</c:v>
                </c:pt>
                <c:pt idx="236">
                  <c:v>2302040.14</c:v>
                </c:pt>
                <c:pt idx="237">
                  <c:v>842308.34499999986</c:v>
                </c:pt>
                <c:pt idx="238">
                  <c:v>1224285.0525</c:v>
                </c:pt>
                <c:pt idx="239">
                  <c:v>1024505.5125</c:v>
                </c:pt>
                <c:pt idx="240">
                  <c:v>807568.72499999986</c:v>
                </c:pt>
                <c:pt idx="241">
                  <c:v>1809662.6924999999</c:v>
                </c:pt>
                <c:pt idx="242">
                  <c:v>1152667.3600000001</c:v>
                </c:pt>
                <c:pt idx="243">
                  <c:v>1197053.18</c:v>
                </c:pt>
                <c:pt idx="244">
                  <c:v>1206451.3475000001</c:v>
                </c:pt>
                <c:pt idx="245">
                  <c:v>212437.15999999997</c:v>
                </c:pt>
                <c:pt idx="246">
                  <c:v>670784.18999999994</c:v>
                </c:pt>
                <c:pt idx="247">
                  <c:v>743449.65500000003</c:v>
                </c:pt>
                <c:pt idx="248">
                  <c:v>1374400.7524999999</c:v>
                </c:pt>
                <c:pt idx="249">
                  <c:v>1438553.3675000002</c:v>
                </c:pt>
                <c:pt idx="250">
                  <c:v>1503149.6675</c:v>
                </c:pt>
                <c:pt idx="251">
                  <c:v>1675946.5175000001</c:v>
                </c:pt>
                <c:pt idx="252">
                  <c:v>1285004.4950000001</c:v>
                </c:pt>
                <c:pt idx="253">
                  <c:v>1282983.8075000001</c:v>
                </c:pt>
                <c:pt idx="254">
                  <c:v>781395.33250000002</c:v>
                </c:pt>
                <c:pt idx="255">
                  <c:v>612159.83750000002</c:v>
                </c:pt>
                <c:pt idx="256">
                  <c:v>1056154.5274999999</c:v>
                </c:pt>
                <c:pt idx="257">
                  <c:v>1253520.4175</c:v>
                </c:pt>
                <c:pt idx="258">
                  <c:v>1295152.2375</c:v>
                </c:pt>
                <c:pt idx="259">
                  <c:v>1204613.885</c:v>
                </c:pt>
                <c:pt idx="260">
                  <c:v>525729.43499999994</c:v>
                </c:pt>
                <c:pt idx="261">
                  <c:v>353682.1825</c:v>
                </c:pt>
                <c:pt idx="262">
                  <c:v>1428752.75</c:v>
                </c:pt>
                <c:pt idx="263">
                  <c:v>2769289.1775000002</c:v>
                </c:pt>
                <c:pt idx="264">
                  <c:v>2880508.8975</c:v>
                </c:pt>
                <c:pt idx="265">
                  <c:v>3129126.4225000003</c:v>
                </c:pt>
                <c:pt idx="266">
                  <c:v>2902088.2574999998</c:v>
                </c:pt>
                <c:pt idx="267">
                  <c:v>1492811.1149999998</c:v>
                </c:pt>
                <c:pt idx="268">
                  <c:v>1469916.9549999998</c:v>
                </c:pt>
                <c:pt idx="269">
                  <c:v>1420962.68</c:v>
                </c:pt>
                <c:pt idx="270">
                  <c:v>1591182.7725000002</c:v>
                </c:pt>
                <c:pt idx="271">
                  <c:v>2020850.3825000003</c:v>
                </c:pt>
                <c:pt idx="272">
                  <c:v>1950463.1400000001</c:v>
                </c:pt>
                <c:pt idx="273">
                  <c:v>1714638.1</c:v>
                </c:pt>
                <c:pt idx="274">
                  <c:v>890601.11</c:v>
                </c:pt>
                <c:pt idx="275">
                  <c:v>516146.66749999998</c:v>
                </c:pt>
                <c:pt idx="276">
                  <c:v>656450.5774999999</c:v>
                </c:pt>
                <c:pt idx="277">
                  <c:v>931463.26749999984</c:v>
                </c:pt>
                <c:pt idx="278">
                  <c:v>851088.57750000001</c:v>
                </c:pt>
                <c:pt idx="279">
                  <c:v>1193637.7725</c:v>
                </c:pt>
                <c:pt idx="280">
                  <c:v>1213296.6749999998</c:v>
                </c:pt>
                <c:pt idx="281">
                  <c:v>1495159.165</c:v>
                </c:pt>
                <c:pt idx="282">
                  <c:v>1293772.7525000002</c:v>
                </c:pt>
                <c:pt idx="283">
                  <c:v>1101264.9975000001</c:v>
                </c:pt>
                <c:pt idx="284">
                  <c:v>991539.87250000017</c:v>
                </c:pt>
                <c:pt idx="285">
                  <c:v>482416.14500000002</c:v>
                </c:pt>
                <c:pt idx="286">
                  <c:v>725762.77249999996</c:v>
                </c:pt>
                <c:pt idx="287">
                  <c:v>799214.58750000002</c:v>
                </c:pt>
                <c:pt idx="288">
                  <c:v>957567.76249999995</c:v>
                </c:pt>
                <c:pt idx="289">
                  <c:v>977472.77999999991</c:v>
                </c:pt>
                <c:pt idx="290">
                  <c:v>711628.90499999991</c:v>
                </c:pt>
                <c:pt idx="291">
                  <c:v>451029.41499999998</c:v>
                </c:pt>
                <c:pt idx="292">
                  <c:v>796499.7024999999</c:v>
                </c:pt>
                <c:pt idx="293">
                  <c:v>1110660.1524999999</c:v>
                </c:pt>
                <c:pt idx="294">
                  <c:v>2120701.4525000001</c:v>
                </c:pt>
                <c:pt idx="295">
                  <c:v>2820754.4674999998</c:v>
                </c:pt>
                <c:pt idx="296">
                  <c:v>3412841.6875</c:v>
                </c:pt>
                <c:pt idx="297">
                  <c:v>3076092.3575000004</c:v>
                </c:pt>
                <c:pt idx="298">
                  <c:v>2065676.1225000001</c:v>
                </c:pt>
                <c:pt idx="299">
                  <c:v>1461676.5825000003</c:v>
                </c:pt>
                <c:pt idx="300">
                  <c:v>1142171.6425000001</c:v>
                </c:pt>
                <c:pt idx="301">
                  <c:v>1182116.4975000001</c:v>
                </c:pt>
                <c:pt idx="302">
                  <c:v>1244668.0125</c:v>
                </c:pt>
                <c:pt idx="303">
                  <c:v>1920363.8024999998</c:v>
                </c:pt>
                <c:pt idx="304">
                  <c:v>1300234.5350000001</c:v>
                </c:pt>
                <c:pt idx="305">
                  <c:v>1658370.03</c:v>
                </c:pt>
                <c:pt idx="306">
                  <c:v>1794450.95</c:v>
                </c:pt>
                <c:pt idx="307">
                  <c:v>1034344.4724999999</c:v>
                </c:pt>
                <c:pt idx="308">
                  <c:v>1017041.0725</c:v>
                </c:pt>
                <c:pt idx="309">
                  <c:v>515525.22</c:v>
                </c:pt>
                <c:pt idx="310">
                  <c:v>477799.27249999996</c:v>
                </c:pt>
                <c:pt idx="311">
                  <c:v>467894.77499999997</c:v>
                </c:pt>
                <c:pt idx="312">
                  <c:v>288021.40749999997</c:v>
                </c:pt>
                <c:pt idx="313">
                  <c:v>423162.44500000001</c:v>
                </c:pt>
                <c:pt idx="314">
                  <c:v>387574.42500000005</c:v>
                </c:pt>
                <c:pt idx="315">
                  <c:v>513678.55000000005</c:v>
                </c:pt>
                <c:pt idx="316">
                  <c:v>650230.11250000005</c:v>
                </c:pt>
                <c:pt idx="317">
                  <c:v>895410.74750000006</c:v>
                </c:pt>
                <c:pt idx="318">
                  <c:v>1744211.9</c:v>
                </c:pt>
                <c:pt idx="319">
                  <c:v>1687302.35</c:v>
                </c:pt>
                <c:pt idx="320">
                  <c:v>1688147.105</c:v>
                </c:pt>
                <c:pt idx="321">
                  <c:v>1362307.335</c:v>
                </c:pt>
                <c:pt idx="322">
                  <c:v>991517.31</c:v>
                </c:pt>
                <c:pt idx="323">
                  <c:v>922647.66</c:v>
                </c:pt>
                <c:pt idx="324">
                  <c:v>805993.03500000003</c:v>
                </c:pt>
                <c:pt idx="325">
                  <c:v>916124.94500000007</c:v>
                </c:pt>
                <c:pt idx="326">
                  <c:v>1083188.7849999999</c:v>
                </c:pt>
                <c:pt idx="327">
                  <c:v>1649629.3275000001</c:v>
                </c:pt>
                <c:pt idx="328">
                  <c:v>1633773.3774999999</c:v>
                </c:pt>
                <c:pt idx="329">
                  <c:v>1643551.8075000001</c:v>
                </c:pt>
                <c:pt idx="330">
                  <c:v>1632293.9075</c:v>
                </c:pt>
                <c:pt idx="331">
                  <c:v>1081509.365</c:v>
                </c:pt>
                <c:pt idx="332">
                  <c:v>1875471.97</c:v>
                </c:pt>
                <c:pt idx="333">
                  <c:v>1921403.2149999999</c:v>
                </c:pt>
                <c:pt idx="334">
                  <c:v>1326035.6099999999</c:v>
                </c:pt>
                <c:pt idx="335">
                  <c:v>1268221.8975</c:v>
                </c:pt>
                <c:pt idx="336">
                  <c:v>595417.67749999999</c:v>
                </c:pt>
                <c:pt idx="337">
                  <c:v>897758.375</c:v>
                </c:pt>
                <c:pt idx="338">
                  <c:v>863557.92</c:v>
                </c:pt>
                <c:pt idx="339">
                  <c:v>1219297.3325</c:v>
                </c:pt>
                <c:pt idx="340">
                  <c:v>1410663.8325</c:v>
                </c:pt>
                <c:pt idx="341">
                  <c:v>1666012.7549999999</c:v>
                </c:pt>
                <c:pt idx="342">
                  <c:v>1640741.7549999997</c:v>
                </c:pt>
                <c:pt idx="343">
                  <c:v>1311652.5049999999</c:v>
                </c:pt>
                <c:pt idx="344">
                  <c:v>981470.78500000003</c:v>
                </c:pt>
                <c:pt idx="345">
                  <c:v>1089791.0425</c:v>
                </c:pt>
                <c:pt idx="346">
                  <c:v>1736539.85</c:v>
                </c:pt>
                <c:pt idx="347">
                  <c:v>2708641</c:v>
                </c:pt>
                <c:pt idx="348">
                  <c:v>3156634.4400000004</c:v>
                </c:pt>
                <c:pt idx="349">
                  <c:v>2304272.7149999999</c:v>
                </c:pt>
                <c:pt idx="350">
                  <c:v>1554309.7125000001</c:v>
                </c:pt>
                <c:pt idx="351">
                  <c:v>639436.00749999995</c:v>
                </c:pt>
                <c:pt idx="352">
                  <c:v>152134.66500000001</c:v>
                </c:pt>
                <c:pt idx="353">
                  <c:v>318975.83750000002</c:v>
                </c:pt>
                <c:pt idx="354">
                  <c:v>561691.0675</c:v>
                </c:pt>
                <c:pt idx="355">
                  <c:v>700678.94</c:v>
                </c:pt>
                <c:pt idx="356">
                  <c:v>934526.10749999993</c:v>
                </c:pt>
                <c:pt idx="357">
                  <c:v>970174.5675</c:v>
                </c:pt>
                <c:pt idx="358">
                  <c:v>839322.53499999992</c:v>
                </c:pt>
                <c:pt idx="359">
                  <c:v>726263.505</c:v>
                </c:pt>
                <c:pt idx="360">
                  <c:v>1399033.16</c:v>
                </c:pt>
                <c:pt idx="361">
                  <c:v>1214028.8525</c:v>
                </c:pt>
                <c:pt idx="362">
                  <c:v>1314966.4024999999</c:v>
                </c:pt>
                <c:pt idx="363">
                  <c:v>1248479.0474999999</c:v>
                </c:pt>
                <c:pt idx="364">
                  <c:v>480673.76250000001</c:v>
                </c:pt>
                <c:pt idx="365">
                  <c:v>1864350.9075</c:v>
                </c:pt>
                <c:pt idx="366">
                  <c:v>1882230.915</c:v>
                </c:pt>
                <c:pt idx="367">
                  <c:v>2098056.6724999999</c:v>
                </c:pt>
                <c:pt idx="368">
                  <c:v>3072787.6624999996</c:v>
                </c:pt>
                <c:pt idx="369">
                  <c:v>1709160.8050000002</c:v>
                </c:pt>
                <c:pt idx="370">
                  <c:v>1906273.855</c:v>
                </c:pt>
                <c:pt idx="371">
                  <c:v>1737034.1975</c:v>
                </c:pt>
                <c:pt idx="372">
                  <c:v>769204.3075</c:v>
                </c:pt>
                <c:pt idx="373">
                  <c:v>994333.67249999999</c:v>
                </c:pt>
                <c:pt idx="374">
                  <c:v>1204253.8225</c:v>
                </c:pt>
                <c:pt idx="375">
                  <c:v>1149895.3149999999</c:v>
                </c:pt>
                <c:pt idx="376">
                  <c:v>1803744.9124999999</c:v>
                </c:pt>
                <c:pt idx="377">
                  <c:v>1755833.1274999997</c:v>
                </c:pt>
                <c:pt idx="378">
                  <c:v>1459693.5324999997</c:v>
                </c:pt>
                <c:pt idx="379">
                  <c:v>1493358.7350000001</c:v>
                </c:pt>
                <c:pt idx="380">
                  <c:v>1085240.2025000001</c:v>
                </c:pt>
                <c:pt idx="381">
                  <c:v>861551.37</c:v>
                </c:pt>
                <c:pt idx="382">
                  <c:v>509296.49249999999</c:v>
                </c:pt>
                <c:pt idx="383">
                  <c:v>934085.16499999992</c:v>
                </c:pt>
                <c:pt idx="384">
                  <c:v>688700.55</c:v>
                </c:pt>
                <c:pt idx="385">
                  <c:v>790182.84499999997</c:v>
                </c:pt>
                <c:pt idx="386">
                  <c:v>907930.85499999998</c:v>
                </c:pt>
                <c:pt idx="387">
                  <c:v>605727.22500000009</c:v>
                </c:pt>
                <c:pt idx="388">
                  <c:v>1120875.6000000001</c:v>
                </c:pt>
                <c:pt idx="389">
                  <c:v>1182794.1575</c:v>
                </c:pt>
                <c:pt idx="390">
                  <c:v>1064042.42</c:v>
                </c:pt>
                <c:pt idx="391">
                  <c:v>1517231.7549999999</c:v>
                </c:pt>
                <c:pt idx="392">
                  <c:v>1163204.02</c:v>
                </c:pt>
                <c:pt idx="393">
                  <c:v>1126977.7000000002</c:v>
                </c:pt>
                <c:pt idx="394">
                  <c:v>1135629.5375000001</c:v>
                </c:pt>
                <c:pt idx="395">
                  <c:v>648322.42249999999</c:v>
                </c:pt>
                <c:pt idx="396">
                  <c:v>1166533.5649999999</c:v>
                </c:pt>
                <c:pt idx="397">
                  <c:v>1066597.0050000001</c:v>
                </c:pt>
                <c:pt idx="398">
                  <c:v>1264783.2075</c:v>
                </c:pt>
                <c:pt idx="399">
                  <c:v>1108820.7749999999</c:v>
                </c:pt>
                <c:pt idx="400">
                  <c:v>378107.67749999999</c:v>
                </c:pt>
                <c:pt idx="401">
                  <c:v>375568.08750000002</c:v>
                </c:pt>
                <c:pt idx="402">
                  <c:v>1456546.9849999999</c:v>
                </c:pt>
                <c:pt idx="403">
                  <c:v>1706918.2925</c:v>
                </c:pt>
                <c:pt idx="404">
                  <c:v>1726755.425</c:v>
                </c:pt>
                <c:pt idx="405">
                  <c:v>1691734.4525000001</c:v>
                </c:pt>
                <c:pt idx="406">
                  <c:v>433423.6275</c:v>
                </c:pt>
                <c:pt idx="407">
                  <c:v>197368.0625</c:v>
                </c:pt>
                <c:pt idx="408">
                  <c:v>712983.66</c:v>
                </c:pt>
                <c:pt idx="409">
                  <c:v>692511.3075</c:v>
                </c:pt>
                <c:pt idx="410">
                  <c:v>1443426.5474999999</c:v>
                </c:pt>
                <c:pt idx="411">
                  <c:v>1924083.1975</c:v>
                </c:pt>
                <c:pt idx="412">
                  <c:v>1292856.42</c:v>
                </c:pt>
                <c:pt idx="413">
                  <c:v>1315522.3899999999</c:v>
                </c:pt>
                <c:pt idx="414">
                  <c:v>641899.76250000007</c:v>
                </c:pt>
                <c:pt idx="415">
                  <c:v>365740.40749999997</c:v>
                </c:pt>
                <c:pt idx="416">
                  <c:v>418582.94749999995</c:v>
                </c:pt>
                <c:pt idx="417">
                  <c:v>452444.86</c:v>
                </c:pt>
                <c:pt idx="418">
                  <c:v>459431.93499999994</c:v>
                </c:pt>
                <c:pt idx="419">
                  <c:v>520928.89</c:v>
                </c:pt>
                <c:pt idx="420">
                  <c:v>471230.55999999994</c:v>
                </c:pt>
                <c:pt idx="421">
                  <c:v>517684.11</c:v>
                </c:pt>
                <c:pt idx="422">
                  <c:v>457675.09749999997</c:v>
                </c:pt>
                <c:pt idx="423">
                  <c:v>188633.41250000001</c:v>
                </c:pt>
                <c:pt idx="424">
                  <c:v>709977.71</c:v>
                </c:pt>
                <c:pt idx="425">
                  <c:v>1829561.8574999999</c:v>
                </c:pt>
                <c:pt idx="426">
                  <c:v>1968408.9100000001</c:v>
                </c:pt>
                <c:pt idx="427">
                  <c:v>2033283.6950000001</c:v>
                </c:pt>
                <c:pt idx="428">
                  <c:v>1594531.52</c:v>
                </c:pt>
                <c:pt idx="429">
                  <c:v>503104.89</c:v>
                </c:pt>
                <c:pt idx="430">
                  <c:v>480643.65500000003</c:v>
                </c:pt>
                <c:pt idx="431">
                  <c:v>752993.6050000001</c:v>
                </c:pt>
                <c:pt idx="432">
                  <c:v>675969.16</c:v>
                </c:pt>
                <c:pt idx="433">
                  <c:v>690281.86750000005</c:v>
                </c:pt>
                <c:pt idx="434">
                  <c:v>782776.11250000005</c:v>
                </c:pt>
                <c:pt idx="435">
                  <c:v>794778.99250000005</c:v>
                </c:pt>
                <c:pt idx="436">
                  <c:v>951529.48750000005</c:v>
                </c:pt>
                <c:pt idx="437">
                  <c:v>1037648.4750000001</c:v>
                </c:pt>
                <c:pt idx="438">
                  <c:v>1169063.2850000001</c:v>
                </c:pt>
                <c:pt idx="439">
                  <c:v>1168010.4125000001</c:v>
                </c:pt>
                <c:pt idx="440">
                  <c:v>1219906.1475</c:v>
                </c:pt>
                <c:pt idx="441">
                  <c:v>1272999.2475000001</c:v>
                </c:pt>
                <c:pt idx="442">
                  <c:v>1001306.0125000001</c:v>
                </c:pt>
                <c:pt idx="443">
                  <c:v>759923.75249999994</c:v>
                </c:pt>
                <c:pt idx="444">
                  <c:v>560790.89749999996</c:v>
                </c:pt>
                <c:pt idx="445">
                  <c:v>281133.48249999998</c:v>
                </c:pt>
                <c:pt idx="446">
                  <c:v>441561.0575</c:v>
                </c:pt>
                <c:pt idx="447">
                  <c:v>424072.255</c:v>
                </c:pt>
                <c:pt idx="448">
                  <c:v>600666.1100000001</c:v>
                </c:pt>
                <c:pt idx="449">
                  <c:v>1646284.075</c:v>
                </c:pt>
                <c:pt idx="450">
                  <c:v>1581485.4650000001</c:v>
                </c:pt>
                <c:pt idx="451">
                  <c:v>2039490.37</c:v>
                </c:pt>
                <c:pt idx="452">
                  <c:v>2394788.9725000001</c:v>
                </c:pt>
                <c:pt idx="453">
                  <c:v>1356860.6225000001</c:v>
                </c:pt>
                <c:pt idx="454">
                  <c:v>1813718.3325</c:v>
                </c:pt>
                <c:pt idx="455">
                  <c:v>1511920.9725000001</c:v>
                </c:pt>
                <c:pt idx="456">
                  <c:v>1010658.965</c:v>
                </c:pt>
                <c:pt idx="457">
                  <c:v>997242.47750000004</c:v>
                </c:pt>
                <c:pt idx="458">
                  <c:v>658089.28249999997</c:v>
                </c:pt>
                <c:pt idx="459">
                  <c:v>406472.08250000008</c:v>
                </c:pt>
                <c:pt idx="460">
                  <c:v>462888.70500000002</c:v>
                </c:pt>
                <c:pt idx="461">
                  <c:v>522151.42750000005</c:v>
                </c:pt>
                <c:pt idx="462">
                  <c:v>372802.40250000003</c:v>
                </c:pt>
                <c:pt idx="463">
                  <c:v>612951.42749999999</c:v>
                </c:pt>
                <c:pt idx="464">
                  <c:v>609008.41</c:v>
                </c:pt>
                <c:pt idx="465">
                  <c:v>590444.18000000005</c:v>
                </c:pt>
                <c:pt idx="466">
                  <c:v>925559.61499999999</c:v>
                </c:pt>
                <c:pt idx="467">
                  <c:v>1222333.6850000001</c:v>
                </c:pt>
                <c:pt idx="468">
                  <c:v>1455778.69</c:v>
                </c:pt>
                <c:pt idx="469">
                  <c:v>1424092.7774999999</c:v>
                </c:pt>
                <c:pt idx="470">
                  <c:v>1091234.9075</c:v>
                </c:pt>
                <c:pt idx="471">
                  <c:v>613892.71000000008</c:v>
                </c:pt>
                <c:pt idx="472">
                  <c:v>349144.56</c:v>
                </c:pt>
                <c:pt idx="473">
                  <c:v>917989.21750000003</c:v>
                </c:pt>
                <c:pt idx="474">
                  <c:v>741571.33250000002</c:v>
                </c:pt>
                <c:pt idx="475">
                  <c:v>1053668.1850000001</c:v>
                </c:pt>
                <c:pt idx="476">
                  <c:v>2042981.4724999999</c:v>
                </c:pt>
                <c:pt idx="477">
                  <c:v>1566701.1324999998</c:v>
                </c:pt>
                <c:pt idx="478">
                  <c:v>1824736.9474999998</c:v>
                </c:pt>
                <c:pt idx="479">
                  <c:v>1442795.6874999998</c:v>
                </c:pt>
                <c:pt idx="480">
                  <c:v>767231.54</c:v>
                </c:pt>
                <c:pt idx="481">
                  <c:v>677750.78749999998</c:v>
                </c:pt>
                <c:pt idx="482">
                  <c:v>1132144.8074999999</c:v>
                </c:pt>
                <c:pt idx="483">
                  <c:v>1210489.7574999998</c:v>
                </c:pt>
                <c:pt idx="484">
                  <c:v>848207.75749999995</c:v>
                </c:pt>
                <c:pt idx="485">
                  <c:v>953630.39</c:v>
                </c:pt>
                <c:pt idx="486">
                  <c:v>280240.7525</c:v>
                </c:pt>
                <c:pt idx="487">
                  <c:v>362486.7525</c:v>
                </c:pt>
                <c:pt idx="488">
                  <c:v>359672.84</c:v>
                </c:pt>
                <c:pt idx="489">
                  <c:v>599443.9</c:v>
                </c:pt>
                <c:pt idx="490">
                  <c:v>553858.20750000002</c:v>
                </c:pt>
                <c:pt idx="491">
                  <c:v>1152588.8050000002</c:v>
                </c:pt>
                <c:pt idx="492">
                  <c:v>1335228.8175000001</c:v>
                </c:pt>
                <c:pt idx="493">
                  <c:v>1260352.6975</c:v>
                </c:pt>
                <c:pt idx="494">
                  <c:v>1285162.5650000002</c:v>
                </c:pt>
                <c:pt idx="495">
                  <c:v>762964.11250000005</c:v>
                </c:pt>
                <c:pt idx="496">
                  <c:v>807858.13750000007</c:v>
                </c:pt>
                <c:pt idx="497">
                  <c:v>602523.60250000004</c:v>
                </c:pt>
                <c:pt idx="498">
                  <c:v>1607065.27</c:v>
                </c:pt>
                <c:pt idx="499">
                  <c:v>1386848.1349999998</c:v>
                </c:pt>
                <c:pt idx="500">
                  <c:v>2625829.2149999999</c:v>
                </c:pt>
                <c:pt idx="501">
                  <c:v>2944348.2450000001</c:v>
                </c:pt>
                <c:pt idx="502">
                  <c:v>2521739.5249999999</c:v>
                </c:pt>
                <c:pt idx="503">
                  <c:v>2980928.6349999998</c:v>
                </c:pt>
                <c:pt idx="504">
                  <c:v>1498225.2275</c:v>
                </c:pt>
                <c:pt idx="505">
                  <c:v>1253135.3225</c:v>
                </c:pt>
                <c:pt idx="506">
                  <c:v>645538.8125</c:v>
                </c:pt>
                <c:pt idx="507">
                  <c:v>222775.55000000005</c:v>
                </c:pt>
                <c:pt idx="508">
                  <c:v>523223.98250000004</c:v>
                </c:pt>
                <c:pt idx="509">
                  <c:v>445112.01250000001</c:v>
                </c:pt>
                <c:pt idx="510">
                  <c:v>584328.71750000003</c:v>
                </c:pt>
                <c:pt idx="511">
                  <c:v>636357.64249999996</c:v>
                </c:pt>
                <c:pt idx="512">
                  <c:v>468862.94749999995</c:v>
                </c:pt>
                <c:pt idx="513">
                  <c:v>475906.3725</c:v>
                </c:pt>
                <c:pt idx="514">
                  <c:v>342630.54500000004</c:v>
                </c:pt>
                <c:pt idx="515">
                  <c:v>254215.42500000002</c:v>
                </c:pt>
                <c:pt idx="516">
                  <c:v>258427.91</c:v>
                </c:pt>
                <c:pt idx="517">
                  <c:v>496879.09499999997</c:v>
                </c:pt>
                <c:pt idx="518">
                  <c:v>1366062.7050000001</c:v>
                </c:pt>
                <c:pt idx="519">
                  <c:v>2028052.7625000002</c:v>
                </c:pt>
                <c:pt idx="520">
                  <c:v>2473096.1224999996</c:v>
                </c:pt>
                <c:pt idx="521">
                  <c:v>2172262.5474999999</c:v>
                </c:pt>
                <c:pt idx="522">
                  <c:v>1397891.29</c:v>
                </c:pt>
                <c:pt idx="523">
                  <c:v>1088100.2050000001</c:v>
                </c:pt>
                <c:pt idx="524">
                  <c:v>602575.95000000007</c:v>
                </c:pt>
                <c:pt idx="525">
                  <c:v>793829.3899999999</c:v>
                </c:pt>
                <c:pt idx="526">
                  <c:v>1104872.9100000001</c:v>
                </c:pt>
                <c:pt idx="527">
                  <c:v>1322008.7250000001</c:v>
                </c:pt>
                <c:pt idx="528">
                  <c:v>1839467.01</c:v>
                </c:pt>
                <c:pt idx="529">
                  <c:v>1824759.46</c:v>
                </c:pt>
                <c:pt idx="530">
                  <c:v>1419041.3275000001</c:v>
                </c:pt>
                <c:pt idx="531">
                  <c:v>1326653</c:v>
                </c:pt>
                <c:pt idx="532">
                  <c:v>895970.6399999999</c:v>
                </c:pt>
                <c:pt idx="533">
                  <c:v>990841.54500000004</c:v>
                </c:pt>
                <c:pt idx="534">
                  <c:v>971992.03250000009</c:v>
                </c:pt>
                <c:pt idx="535">
                  <c:v>649707.60499999998</c:v>
                </c:pt>
                <c:pt idx="536">
                  <c:v>545090.48</c:v>
                </c:pt>
                <c:pt idx="537">
                  <c:v>387016.24</c:v>
                </c:pt>
                <c:pt idx="538">
                  <c:v>1174776.865</c:v>
                </c:pt>
                <c:pt idx="539">
                  <c:v>1002079.9424999999</c:v>
                </c:pt>
                <c:pt idx="540">
                  <c:v>1126647.8374999999</c:v>
                </c:pt>
                <c:pt idx="541">
                  <c:v>1246282.8074999999</c:v>
                </c:pt>
                <c:pt idx="542">
                  <c:v>774126.89250000007</c:v>
                </c:pt>
                <c:pt idx="543">
                  <c:v>1091874.5049999999</c:v>
                </c:pt>
                <c:pt idx="544">
                  <c:v>1093014.385</c:v>
                </c:pt>
                <c:pt idx="545">
                  <c:v>1080105.2250000001</c:v>
                </c:pt>
                <c:pt idx="546">
                  <c:v>1715336.74</c:v>
                </c:pt>
                <c:pt idx="547">
                  <c:v>1753097.2725</c:v>
                </c:pt>
                <c:pt idx="548">
                  <c:v>1963019.1824999999</c:v>
                </c:pt>
                <c:pt idx="549">
                  <c:v>2224745.1375000002</c:v>
                </c:pt>
                <c:pt idx="550">
                  <c:v>1666354.0249999999</c:v>
                </c:pt>
                <c:pt idx="551">
                  <c:v>1354905.8475000001</c:v>
                </c:pt>
                <c:pt idx="552">
                  <c:v>958575.75</c:v>
                </c:pt>
                <c:pt idx="553">
                  <c:v>570224.5199999999</c:v>
                </c:pt>
                <c:pt idx="554">
                  <c:v>279393.58250000002</c:v>
                </c:pt>
                <c:pt idx="555">
                  <c:v>519314.23749999993</c:v>
                </c:pt>
                <c:pt idx="556">
                  <c:v>1055619.71</c:v>
                </c:pt>
                <c:pt idx="557">
                  <c:v>1106762.085</c:v>
                </c:pt>
                <c:pt idx="558">
                  <c:v>2489551.58</c:v>
                </c:pt>
                <c:pt idx="559">
                  <c:v>2408478.9049999998</c:v>
                </c:pt>
                <c:pt idx="560">
                  <c:v>2290750.0699999998</c:v>
                </c:pt>
                <c:pt idx="561">
                  <c:v>2452610.0449999999</c:v>
                </c:pt>
                <c:pt idx="562">
                  <c:v>1582957.62</c:v>
                </c:pt>
                <c:pt idx="563">
                  <c:v>1722361.395</c:v>
                </c:pt>
                <c:pt idx="564">
                  <c:v>1297494.8074999999</c:v>
                </c:pt>
                <c:pt idx="565">
                  <c:v>1181212.9325000001</c:v>
                </c:pt>
                <c:pt idx="566">
                  <c:v>1252464.0125</c:v>
                </c:pt>
                <c:pt idx="567">
                  <c:v>1007610.5249999999</c:v>
                </c:pt>
                <c:pt idx="568">
                  <c:v>1303338.3075000001</c:v>
                </c:pt>
                <c:pt idx="569">
                  <c:v>1169805.5350000001</c:v>
                </c:pt>
                <c:pt idx="570">
                  <c:v>491888.11250000005</c:v>
                </c:pt>
                <c:pt idx="571">
                  <c:v>1407835.7875000001</c:v>
                </c:pt>
                <c:pt idx="572">
                  <c:v>1536820.3174999999</c:v>
                </c:pt>
                <c:pt idx="573">
                  <c:v>2173583.0499999998</c:v>
                </c:pt>
                <c:pt idx="574">
                  <c:v>3570878.89</c:v>
                </c:pt>
                <c:pt idx="575">
                  <c:v>2727145.6724999999</c:v>
                </c:pt>
                <c:pt idx="576">
                  <c:v>2447085.1225000005</c:v>
                </c:pt>
                <c:pt idx="577">
                  <c:v>2457674.4624999999</c:v>
                </c:pt>
                <c:pt idx="578">
                  <c:v>1790736.4075</c:v>
                </c:pt>
                <c:pt idx="579">
                  <c:v>1820731.3174999999</c:v>
                </c:pt>
                <c:pt idx="580">
                  <c:v>2440224.3174999999</c:v>
                </c:pt>
                <c:pt idx="581">
                  <c:v>2043442.8625</c:v>
                </c:pt>
                <c:pt idx="582">
                  <c:v>1395902.5125</c:v>
                </c:pt>
                <c:pt idx="583">
                  <c:v>1358503.3774999999</c:v>
                </c:pt>
                <c:pt idx="584">
                  <c:v>700140.50250000006</c:v>
                </c:pt>
                <c:pt idx="585">
                  <c:v>587873.05750000011</c:v>
                </c:pt>
                <c:pt idx="586">
                  <c:v>503565.15499999997</c:v>
                </c:pt>
                <c:pt idx="587">
                  <c:v>573082.33499999996</c:v>
                </c:pt>
                <c:pt idx="588">
                  <c:v>1236300.0550000002</c:v>
                </c:pt>
                <c:pt idx="589">
                  <c:v>1642648.835</c:v>
                </c:pt>
                <c:pt idx="590">
                  <c:v>2786323.0700000003</c:v>
                </c:pt>
                <c:pt idx="591">
                  <c:v>2740964.82</c:v>
                </c:pt>
                <c:pt idx="592">
                  <c:v>2537918.7549999999</c:v>
                </c:pt>
                <c:pt idx="593">
                  <c:v>2532111.1349999998</c:v>
                </c:pt>
                <c:pt idx="594">
                  <c:v>1930294.6350000002</c:v>
                </c:pt>
                <c:pt idx="595">
                  <c:v>1963847.9450000001</c:v>
                </c:pt>
                <c:pt idx="596">
                  <c:v>1816530.9025000001</c:v>
                </c:pt>
                <c:pt idx="597">
                  <c:v>1280509.8625</c:v>
                </c:pt>
                <c:pt idx="598">
                  <c:v>2106196.8125</c:v>
                </c:pt>
                <c:pt idx="599">
                  <c:v>2293300.3024999998</c:v>
                </c:pt>
                <c:pt idx="600">
                  <c:v>2124119.7149999999</c:v>
                </c:pt>
                <c:pt idx="601">
                  <c:v>2141769.7875000001</c:v>
                </c:pt>
                <c:pt idx="602">
                  <c:v>951228.99249999993</c:v>
                </c:pt>
                <c:pt idx="603">
                  <c:v>667853.83750000014</c:v>
                </c:pt>
                <c:pt idx="604">
                  <c:v>789936.78749999998</c:v>
                </c:pt>
                <c:pt idx="605">
                  <c:v>704942.91500000004</c:v>
                </c:pt>
                <c:pt idx="606">
                  <c:v>637626.43499999994</c:v>
                </c:pt>
                <c:pt idx="607">
                  <c:v>700671.65500000003</c:v>
                </c:pt>
                <c:pt idx="608">
                  <c:v>1408209.1475</c:v>
                </c:pt>
                <c:pt idx="609">
                  <c:v>2260906.0625</c:v>
                </c:pt>
                <c:pt idx="610">
                  <c:v>2216166.9550000001</c:v>
                </c:pt>
                <c:pt idx="611">
                  <c:v>2763250.6950000003</c:v>
                </c:pt>
                <c:pt idx="612">
                  <c:v>2056741.7024999999</c:v>
                </c:pt>
                <c:pt idx="613">
                  <c:v>1377808.6875</c:v>
                </c:pt>
                <c:pt idx="614">
                  <c:v>1460569.0874999999</c:v>
                </c:pt>
                <c:pt idx="615">
                  <c:v>731293.45499999996</c:v>
                </c:pt>
                <c:pt idx="616">
                  <c:v>956560.37000000011</c:v>
                </c:pt>
                <c:pt idx="617">
                  <c:v>1227539.8499999999</c:v>
                </c:pt>
                <c:pt idx="618">
                  <c:v>1225313.8074999999</c:v>
                </c:pt>
                <c:pt idx="619">
                  <c:v>1827065.605</c:v>
                </c:pt>
                <c:pt idx="620">
                  <c:v>1943425.9899999998</c:v>
                </c:pt>
                <c:pt idx="621">
                  <c:v>2939481.9224999999</c:v>
                </c:pt>
                <c:pt idx="622">
                  <c:v>2793905.4775</c:v>
                </c:pt>
                <c:pt idx="623">
                  <c:v>2437117.1825000001</c:v>
                </c:pt>
                <c:pt idx="624">
                  <c:v>1720226.15</c:v>
                </c:pt>
                <c:pt idx="625">
                  <c:v>345561.51250000001</c:v>
                </c:pt>
                <c:pt idx="626">
                  <c:v>485773.03749999998</c:v>
                </c:pt>
                <c:pt idx="627">
                  <c:v>304513.36</c:v>
                </c:pt>
                <c:pt idx="628">
                  <c:v>765243.65250000008</c:v>
                </c:pt>
                <c:pt idx="629">
                  <c:v>920673.4325</c:v>
                </c:pt>
                <c:pt idx="630">
                  <c:v>1401082.6825000001</c:v>
                </c:pt>
                <c:pt idx="631">
                  <c:v>1336122.06</c:v>
                </c:pt>
                <c:pt idx="632">
                  <c:v>2186548.17</c:v>
                </c:pt>
                <c:pt idx="633">
                  <c:v>2996600.5774999997</c:v>
                </c:pt>
                <c:pt idx="634">
                  <c:v>3218301.9350000001</c:v>
                </c:pt>
                <c:pt idx="635">
                  <c:v>3265507.4849999999</c:v>
                </c:pt>
                <c:pt idx="636">
                  <c:v>2181192.6625000001</c:v>
                </c:pt>
                <c:pt idx="637">
                  <c:v>1320364.3900000001</c:v>
                </c:pt>
                <c:pt idx="638">
                  <c:v>1123988.8325</c:v>
                </c:pt>
                <c:pt idx="639">
                  <c:v>1197167.9575</c:v>
                </c:pt>
                <c:pt idx="640">
                  <c:v>1075555.8674999999</c:v>
                </c:pt>
                <c:pt idx="641">
                  <c:v>1399008</c:v>
                </c:pt>
                <c:pt idx="642">
                  <c:v>842079.41999999993</c:v>
                </c:pt>
                <c:pt idx="643">
                  <c:v>1256433.42</c:v>
                </c:pt>
                <c:pt idx="644">
                  <c:v>1147234.0149999999</c:v>
                </c:pt>
                <c:pt idx="645">
                  <c:v>682063.41249999998</c:v>
                </c:pt>
                <c:pt idx="646">
                  <c:v>926886.46500000008</c:v>
                </c:pt>
                <c:pt idx="647">
                  <c:v>1315483.95</c:v>
                </c:pt>
                <c:pt idx="648">
                  <c:v>1554027.2974999999</c:v>
                </c:pt>
                <c:pt idx="649">
                  <c:v>1731979.3774999999</c:v>
                </c:pt>
                <c:pt idx="650">
                  <c:v>1451289.71</c:v>
                </c:pt>
                <c:pt idx="651">
                  <c:v>1804512.4424999999</c:v>
                </c:pt>
                <c:pt idx="652">
                  <c:v>2028663.4424999999</c:v>
                </c:pt>
                <c:pt idx="653">
                  <c:v>2736156.0225</c:v>
                </c:pt>
                <c:pt idx="654">
                  <c:v>2713430.7075</c:v>
                </c:pt>
                <c:pt idx="655">
                  <c:v>1695239.4349999998</c:v>
                </c:pt>
                <c:pt idx="656">
                  <c:v>1430067.2149999999</c:v>
                </c:pt>
                <c:pt idx="657">
                  <c:v>946365.21500000008</c:v>
                </c:pt>
                <c:pt idx="658">
                  <c:v>1429097.9449999998</c:v>
                </c:pt>
                <c:pt idx="659">
                  <c:v>1352976.5</c:v>
                </c:pt>
                <c:pt idx="660">
                  <c:v>1394718.4649999999</c:v>
                </c:pt>
                <c:pt idx="661">
                  <c:v>970946.37</c:v>
                </c:pt>
                <c:pt idx="662">
                  <c:v>2031587.3399999999</c:v>
                </c:pt>
                <c:pt idx="663">
                  <c:v>2230912.0649999999</c:v>
                </c:pt>
                <c:pt idx="664">
                  <c:v>2115334.02</c:v>
                </c:pt>
                <c:pt idx="665">
                  <c:v>2559778.9649999999</c:v>
                </c:pt>
                <c:pt idx="666">
                  <c:v>1975015.4175</c:v>
                </c:pt>
                <c:pt idx="667">
                  <c:v>3183087.9050000003</c:v>
                </c:pt>
                <c:pt idx="668">
                  <c:v>3194675.3049999997</c:v>
                </c:pt>
                <c:pt idx="669">
                  <c:v>4384637.0549999997</c:v>
                </c:pt>
                <c:pt idx="670">
                  <c:v>3518633.5875000004</c:v>
                </c:pt>
                <c:pt idx="671">
                  <c:v>2088045.1249999998</c:v>
                </c:pt>
                <c:pt idx="672">
                  <c:v>1965173.4849999999</c:v>
                </c:pt>
                <c:pt idx="673">
                  <c:v>508392.57999999996</c:v>
                </c:pt>
                <c:pt idx="674">
                  <c:v>633965.92000000004</c:v>
                </c:pt>
                <c:pt idx="675">
                  <c:v>1084536.4275</c:v>
                </c:pt>
                <c:pt idx="676">
                  <c:v>1219442.5874999999</c:v>
                </c:pt>
                <c:pt idx="677">
                  <c:v>2089085.5925</c:v>
                </c:pt>
                <c:pt idx="678">
                  <c:v>2009438.8325</c:v>
                </c:pt>
                <c:pt idx="679">
                  <c:v>1526827.5250000001</c:v>
                </c:pt>
                <c:pt idx="680">
                  <c:v>1377627.9000000001</c:v>
                </c:pt>
                <c:pt idx="681">
                  <c:v>1293240.1174999999</c:v>
                </c:pt>
                <c:pt idx="682">
                  <c:v>1211113.9324999999</c:v>
                </c:pt>
                <c:pt idx="683">
                  <c:v>1420313.8574999999</c:v>
                </c:pt>
                <c:pt idx="684">
                  <c:v>2672440.6950000003</c:v>
                </c:pt>
                <c:pt idx="685">
                  <c:v>3159213.1875</c:v>
                </c:pt>
                <c:pt idx="686">
                  <c:v>3077400.0675000004</c:v>
                </c:pt>
                <c:pt idx="687">
                  <c:v>3109549.0575000006</c:v>
                </c:pt>
                <c:pt idx="688">
                  <c:v>1961770.5575000001</c:v>
                </c:pt>
                <c:pt idx="689">
                  <c:v>657890.9375</c:v>
                </c:pt>
                <c:pt idx="690">
                  <c:v>666409.22750000004</c:v>
                </c:pt>
                <c:pt idx="691">
                  <c:v>311782.53250000003</c:v>
                </c:pt>
                <c:pt idx="692">
                  <c:v>216813.47499999998</c:v>
                </c:pt>
                <c:pt idx="693">
                  <c:v>55290.55</c:v>
                </c:pt>
                <c:pt idx="694">
                  <c:v>484034.20999999996</c:v>
                </c:pt>
                <c:pt idx="695">
                  <c:v>748247.39</c:v>
                </c:pt>
                <c:pt idx="696">
                  <c:v>868704.42999999993</c:v>
                </c:pt>
                <c:pt idx="697">
                  <c:v>1111241.905</c:v>
                </c:pt>
                <c:pt idx="698">
                  <c:v>1021968.885</c:v>
                </c:pt>
                <c:pt idx="699">
                  <c:v>1306566.0750000002</c:v>
                </c:pt>
                <c:pt idx="700">
                  <c:v>1638386.61</c:v>
                </c:pt>
                <c:pt idx="701">
                  <c:v>1619689.3300000003</c:v>
                </c:pt>
                <c:pt idx="702">
                  <c:v>1513074.0550000002</c:v>
                </c:pt>
                <c:pt idx="703">
                  <c:v>1615666.8199999998</c:v>
                </c:pt>
                <c:pt idx="704">
                  <c:v>1150812.1075000002</c:v>
                </c:pt>
                <c:pt idx="705">
                  <c:v>1314207.2475000001</c:v>
                </c:pt>
                <c:pt idx="706">
                  <c:v>1073073.8399999999</c:v>
                </c:pt>
                <c:pt idx="707">
                  <c:v>442513.54749999999</c:v>
                </c:pt>
                <c:pt idx="708">
                  <c:v>804454.19500000007</c:v>
                </c:pt>
                <c:pt idx="709">
                  <c:v>1299447.0474999999</c:v>
                </c:pt>
                <c:pt idx="710">
                  <c:v>1356211.72</c:v>
                </c:pt>
                <c:pt idx="711">
                  <c:v>1819914.5174999998</c:v>
                </c:pt>
                <c:pt idx="712">
                  <c:v>1464175.1125</c:v>
                </c:pt>
                <c:pt idx="713">
                  <c:v>890366.06</c:v>
                </c:pt>
                <c:pt idx="714">
                  <c:v>835289.61</c:v>
                </c:pt>
                <c:pt idx="715">
                  <c:v>577308.29</c:v>
                </c:pt>
                <c:pt idx="716">
                  <c:v>1009944.0700000001</c:v>
                </c:pt>
                <c:pt idx="717">
                  <c:v>736808.94750000001</c:v>
                </c:pt>
                <c:pt idx="718">
                  <c:v>1813293.0874999999</c:v>
                </c:pt>
                <c:pt idx="719">
                  <c:v>2107771.6150000002</c:v>
                </c:pt>
                <c:pt idx="720">
                  <c:v>1914329.355</c:v>
                </c:pt>
                <c:pt idx="721">
                  <c:v>1903185.2625</c:v>
                </c:pt>
                <c:pt idx="722">
                  <c:v>1043640.7575000001</c:v>
                </c:pt>
                <c:pt idx="723">
                  <c:v>526115.62</c:v>
                </c:pt>
                <c:pt idx="724">
                  <c:v>354586</c:v>
                </c:pt>
                <c:pt idx="725">
                  <c:v>600061.15500000003</c:v>
                </c:pt>
                <c:pt idx="726">
                  <c:v>472704.02</c:v>
                </c:pt>
                <c:pt idx="727">
                  <c:v>613686.96</c:v>
                </c:pt>
                <c:pt idx="728">
                  <c:v>638499.58000000007</c:v>
                </c:pt>
                <c:pt idx="729">
                  <c:v>544108.26</c:v>
                </c:pt>
                <c:pt idx="730">
                  <c:v>1295434.6825000001</c:v>
                </c:pt>
                <c:pt idx="731">
                  <c:v>1595700.3875000002</c:v>
                </c:pt>
                <c:pt idx="732">
                  <c:v>1539652.1025</c:v>
                </c:pt>
                <c:pt idx="733">
                  <c:v>1461188.7874999999</c:v>
                </c:pt>
                <c:pt idx="734">
                  <c:v>897635.74500000011</c:v>
                </c:pt>
                <c:pt idx="735">
                  <c:v>443983.82</c:v>
                </c:pt>
                <c:pt idx="736">
                  <c:v>915881.88500000001</c:v>
                </c:pt>
                <c:pt idx="737">
                  <c:v>2104464.4249999998</c:v>
                </c:pt>
                <c:pt idx="738">
                  <c:v>1839032.9450000001</c:v>
                </c:pt>
                <c:pt idx="739">
                  <c:v>2054589.865</c:v>
                </c:pt>
                <c:pt idx="740">
                  <c:v>1679503.65</c:v>
                </c:pt>
                <c:pt idx="741">
                  <c:v>1695145.33</c:v>
                </c:pt>
                <c:pt idx="742">
                  <c:v>1679424.1274999999</c:v>
                </c:pt>
                <c:pt idx="743">
                  <c:v>1883252.8075000001</c:v>
                </c:pt>
                <c:pt idx="744">
                  <c:v>1902893.1424999998</c:v>
                </c:pt>
                <c:pt idx="745">
                  <c:v>690856.84250000003</c:v>
                </c:pt>
                <c:pt idx="746">
                  <c:v>1124670.125</c:v>
                </c:pt>
                <c:pt idx="747">
                  <c:v>960145.97499999986</c:v>
                </c:pt>
                <c:pt idx="748">
                  <c:v>820153.96249999991</c:v>
                </c:pt>
                <c:pt idx="749">
                  <c:v>825250.24750000006</c:v>
                </c:pt>
                <c:pt idx="750">
                  <c:v>517993.39750000002</c:v>
                </c:pt>
                <c:pt idx="751">
                  <c:v>543808.03249999997</c:v>
                </c:pt>
                <c:pt idx="752">
                  <c:v>1457683.0449999999</c:v>
                </c:pt>
                <c:pt idx="753">
                  <c:v>2221390.835</c:v>
                </c:pt>
                <c:pt idx="754">
                  <c:v>3538344.1074999999</c:v>
                </c:pt>
                <c:pt idx="755">
                  <c:v>3289195.3024999998</c:v>
                </c:pt>
                <c:pt idx="756">
                  <c:v>2786579.1774999993</c:v>
                </c:pt>
                <c:pt idx="757">
                  <c:v>2113126.6749999998</c:v>
                </c:pt>
                <c:pt idx="758">
                  <c:v>786245.59250000003</c:v>
                </c:pt>
                <c:pt idx="759">
                  <c:v>1362404.17</c:v>
                </c:pt>
                <c:pt idx="760">
                  <c:v>1009520.645</c:v>
                </c:pt>
                <c:pt idx="761">
                  <c:v>875863.84750000015</c:v>
                </c:pt>
                <c:pt idx="762">
                  <c:v>1860029.2825000002</c:v>
                </c:pt>
                <c:pt idx="763">
                  <c:v>1874433.7450000001</c:v>
                </c:pt>
                <c:pt idx="764">
                  <c:v>2139469.4249999998</c:v>
                </c:pt>
                <c:pt idx="765">
                  <c:v>2091183.5</c:v>
                </c:pt>
                <c:pt idx="766">
                  <c:v>1059434.825</c:v>
                </c:pt>
                <c:pt idx="767">
                  <c:v>566895.94500000007</c:v>
                </c:pt>
                <c:pt idx="768">
                  <c:v>244629.41499999998</c:v>
                </c:pt>
                <c:pt idx="769">
                  <c:v>325501.85749999998</c:v>
                </c:pt>
                <c:pt idx="770">
                  <c:v>305300.25750000001</c:v>
                </c:pt>
                <c:pt idx="771">
                  <c:v>222072.86749999999</c:v>
                </c:pt>
                <c:pt idx="772">
                  <c:v>273182.66749999998</c:v>
                </c:pt>
                <c:pt idx="773">
                  <c:v>1524518.2425000002</c:v>
                </c:pt>
                <c:pt idx="774">
                  <c:v>2037592.2425000002</c:v>
                </c:pt>
                <c:pt idx="775">
                  <c:v>2626282.0674999999</c:v>
                </c:pt>
                <c:pt idx="776">
                  <c:v>2757404.3325</c:v>
                </c:pt>
                <c:pt idx="777">
                  <c:v>2698251.1325000003</c:v>
                </c:pt>
                <c:pt idx="778">
                  <c:v>2511561.8325</c:v>
                </c:pt>
                <c:pt idx="779">
                  <c:v>2755430.7574999998</c:v>
                </c:pt>
                <c:pt idx="780">
                  <c:v>2687053.6425000001</c:v>
                </c:pt>
                <c:pt idx="781">
                  <c:v>1752671.2699999998</c:v>
                </c:pt>
                <c:pt idx="782">
                  <c:v>1494959.2224999999</c:v>
                </c:pt>
                <c:pt idx="783">
                  <c:v>681835.66249999998</c:v>
                </c:pt>
                <c:pt idx="784">
                  <c:v>589256.32500000007</c:v>
                </c:pt>
                <c:pt idx="785">
                  <c:v>470751.17500000005</c:v>
                </c:pt>
                <c:pt idx="786">
                  <c:v>613565.6875</c:v>
                </c:pt>
                <c:pt idx="787">
                  <c:v>849066.76249999995</c:v>
                </c:pt>
                <c:pt idx="788">
                  <c:v>837201.92499999993</c:v>
                </c:pt>
                <c:pt idx="789">
                  <c:v>669188.9425</c:v>
                </c:pt>
                <c:pt idx="790">
                  <c:v>465026.30249999999</c:v>
                </c:pt>
                <c:pt idx="791">
                  <c:v>312422.22750000004</c:v>
                </c:pt>
                <c:pt idx="792">
                  <c:v>380183.16500000004</c:v>
                </c:pt>
                <c:pt idx="793">
                  <c:v>1499685.0024999999</c:v>
                </c:pt>
                <c:pt idx="794">
                  <c:v>1517879.69</c:v>
                </c:pt>
                <c:pt idx="795">
                  <c:v>1403428.0899999999</c:v>
                </c:pt>
                <c:pt idx="796">
                  <c:v>1758155.3174999999</c:v>
                </c:pt>
                <c:pt idx="797">
                  <c:v>1495560.6924999999</c:v>
                </c:pt>
                <c:pt idx="798">
                  <c:v>1431668.2650000001</c:v>
                </c:pt>
                <c:pt idx="799">
                  <c:v>1400832.42</c:v>
                </c:pt>
                <c:pt idx="800">
                  <c:v>1851186.5274999999</c:v>
                </c:pt>
                <c:pt idx="801">
                  <c:v>1588688</c:v>
                </c:pt>
                <c:pt idx="802">
                  <c:v>1583957.7150000001</c:v>
                </c:pt>
                <c:pt idx="803">
                  <c:v>1704550.3299999998</c:v>
                </c:pt>
                <c:pt idx="804">
                  <c:v>827429.8</c:v>
                </c:pt>
                <c:pt idx="805">
                  <c:v>1639028.0625</c:v>
                </c:pt>
                <c:pt idx="806">
                  <c:v>1928940.9975000001</c:v>
                </c:pt>
                <c:pt idx="807">
                  <c:v>1850983.35</c:v>
                </c:pt>
                <c:pt idx="808">
                  <c:v>1837211.5275000001</c:v>
                </c:pt>
                <c:pt idx="809">
                  <c:v>558418.49500000011</c:v>
                </c:pt>
                <c:pt idx="810">
                  <c:v>431036.04249999998</c:v>
                </c:pt>
                <c:pt idx="811">
                  <c:v>381835.84</c:v>
                </c:pt>
                <c:pt idx="812">
                  <c:v>555042.46</c:v>
                </c:pt>
                <c:pt idx="813">
                  <c:v>1325157.06</c:v>
                </c:pt>
                <c:pt idx="814">
                  <c:v>1941815.915</c:v>
                </c:pt>
                <c:pt idx="815">
                  <c:v>3340336.7075</c:v>
                </c:pt>
                <c:pt idx="816">
                  <c:v>3209109.1675</c:v>
                </c:pt>
                <c:pt idx="817">
                  <c:v>2267578.7800000003</c:v>
                </c:pt>
                <c:pt idx="818">
                  <c:v>1474553.0525</c:v>
                </c:pt>
                <c:pt idx="819">
                  <c:v>338288.42499999999</c:v>
                </c:pt>
                <c:pt idx="820">
                  <c:v>1687212.6425000001</c:v>
                </c:pt>
                <c:pt idx="821">
                  <c:v>1728268.2275</c:v>
                </c:pt>
                <c:pt idx="822">
                  <c:v>2347209.62</c:v>
                </c:pt>
                <c:pt idx="823">
                  <c:v>2413221.9350000001</c:v>
                </c:pt>
                <c:pt idx="824">
                  <c:v>1237377.9275</c:v>
                </c:pt>
                <c:pt idx="825">
                  <c:v>1193707.6100000001</c:v>
                </c:pt>
                <c:pt idx="826">
                  <c:v>948197.73249999993</c:v>
                </c:pt>
                <c:pt idx="827">
                  <c:v>624280.68500000006</c:v>
                </c:pt>
                <c:pt idx="828">
                  <c:v>476507.13500000001</c:v>
                </c:pt>
                <c:pt idx="829">
                  <c:v>941311.07250000001</c:v>
                </c:pt>
                <c:pt idx="830">
                  <c:v>767461.08749999991</c:v>
                </c:pt>
                <c:pt idx="831">
                  <c:v>774136.70250000001</c:v>
                </c:pt>
                <c:pt idx="832">
                  <c:v>964660.46750000003</c:v>
                </c:pt>
                <c:pt idx="833">
                  <c:v>1341060.49</c:v>
                </c:pt>
                <c:pt idx="834">
                  <c:v>1493977.5949999997</c:v>
                </c:pt>
                <c:pt idx="835">
                  <c:v>1946998.4124999999</c:v>
                </c:pt>
                <c:pt idx="836">
                  <c:v>1720961.7625</c:v>
                </c:pt>
                <c:pt idx="837">
                  <c:v>918690.88</c:v>
                </c:pt>
                <c:pt idx="838">
                  <c:v>733691.41249999998</c:v>
                </c:pt>
                <c:pt idx="839">
                  <c:v>652031.38750000007</c:v>
                </c:pt>
                <c:pt idx="840">
                  <c:v>621081.90500000003</c:v>
                </c:pt>
                <c:pt idx="841">
                  <c:v>704128.32750000001</c:v>
                </c:pt>
                <c:pt idx="842">
                  <c:v>556453.07750000001</c:v>
                </c:pt>
                <c:pt idx="843">
                  <c:v>500353.97749999998</c:v>
                </c:pt>
                <c:pt idx="844">
                  <c:v>543929.92999999993</c:v>
                </c:pt>
                <c:pt idx="845">
                  <c:v>509103.82750000001</c:v>
                </c:pt>
                <c:pt idx="846">
                  <c:v>1061502.48</c:v>
                </c:pt>
                <c:pt idx="847">
                  <c:v>1069545.1199999999</c:v>
                </c:pt>
                <c:pt idx="848">
                  <c:v>1013702.5499999999</c:v>
                </c:pt>
                <c:pt idx="849">
                  <c:v>1598734.7175</c:v>
                </c:pt>
                <c:pt idx="850">
                  <c:v>1105150.8375000001</c:v>
                </c:pt>
                <c:pt idx="851">
                  <c:v>1634913.2975000001</c:v>
                </c:pt>
                <c:pt idx="852">
                  <c:v>1784813.2075</c:v>
                </c:pt>
                <c:pt idx="853">
                  <c:v>1625424.22</c:v>
                </c:pt>
                <c:pt idx="854">
                  <c:v>1582903.7224999999</c:v>
                </c:pt>
                <c:pt idx="855">
                  <c:v>798188.28500000003</c:v>
                </c:pt>
                <c:pt idx="856">
                  <c:v>753917.5625</c:v>
                </c:pt>
                <c:pt idx="857">
                  <c:v>358756.73000000004</c:v>
                </c:pt>
                <c:pt idx="858">
                  <c:v>393597.76500000001</c:v>
                </c:pt>
                <c:pt idx="859">
                  <c:v>457314.5625</c:v>
                </c:pt>
                <c:pt idx="860">
                  <c:v>365118.24250000005</c:v>
                </c:pt>
                <c:pt idx="861">
                  <c:v>1452393.5325</c:v>
                </c:pt>
                <c:pt idx="862">
                  <c:v>1400675.0974999999</c:v>
                </c:pt>
                <c:pt idx="863">
                  <c:v>1913833.5024999999</c:v>
                </c:pt>
                <c:pt idx="864">
                  <c:v>2009088.46</c:v>
                </c:pt>
                <c:pt idx="865">
                  <c:v>950337.76750000007</c:v>
                </c:pt>
                <c:pt idx="866">
                  <c:v>1124312.9449999998</c:v>
                </c:pt>
                <c:pt idx="867">
                  <c:v>561465.60499999998</c:v>
                </c:pt>
                <c:pt idx="868">
                  <c:v>790816.47500000009</c:v>
                </c:pt>
                <c:pt idx="869">
                  <c:v>762934.79500000004</c:v>
                </c:pt>
                <c:pt idx="870">
                  <c:v>1307278.1425000001</c:v>
                </c:pt>
                <c:pt idx="871">
                  <c:v>1527421.2125000001</c:v>
                </c:pt>
                <c:pt idx="872">
                  <c:v>1503392.5100000002</c:v>
                </c:pt>
                <c:pt idx="873">
                  <c:v>1934057.9200000002</c:v>
                </c:pt>
                <c:pt idx="874">
                  <c:v>1916467.1925000001</c:v>
                </c:pt>
                <c:pt idx="875">
                  <c:v>2682182.9475000002</c:v>
                </c:pt>
                <c:pt idx="876">
                  <c:v>3936252.4425000004</c:v>
                </c:pt>
                <c:pt idx="877">
                  <c:v>3617618.5675000004</c:v>
                </c:pt>
                <c:pt idx="878">
                  <c:v>3079411.0300000003</c:v>
                </c:pt>
                <c:pt idx="879">
                  <c:v>2001663.3850000002</c:v>
                </c:pt>
                <c:pt idx="880">
                  <c:v>590014.24750000006</c:v>
                </c:pt>
                <c:pt idx="881">
                  <c:v>827957.25</c:v>
                </c:pt>
                <c:pt idx="882">
                  <c:v>1004817.3125</c:v>
                </c:pt>
                <c:pt idx="883">
                  <c:v>1343294.6949999998</c:v>
                </c:pt>
                <c:pt idx="884">
                  <c:v>1206336.1949999998</c:v>
                </c:pt>
                <c:pt idx="885">
                  <c:v>896541.59250000003</c:v>
                </c:pt>
                <c:pt idx="886">
                  <c:v>759658.05249999999</c:v>
                </c:pt>
                <c:pt idx="887">
                  <c:v>2049419.1525000001</c:v>
                </c:pt>
                <c:pt idx="888">
                  <c:v>2124010.5525000002</c:v>
                </c:pt>
                <c:pt idx="889">
                  <c:v>2061621.6600000001</c:v>
                </c:pt>
                <c:pt idx="890">
                  <c:v>1885018.4000000001</c:v>
                </c:pt>
                <c:pt idx="891">
                  <c:v>462104.5025</c:v>
                </c:pt>
                <c:pt idx="892">
                  <c:v>898818.92249999999</c:v>
                </c:pt>
                <c:pt idx="893">
                  <c:v>1200480.6599999999</c:v>
                </c:pt>
                <c:pt idx="894">
                  <c:v>1629541.3949999998</c:v>
                </c:pt>
                <c:pt idx="895">
                  <c:v>1487314.43</c:v>
                </c:pt>
                <c:pt idx="896">
                  <c:v>2199336.8525</c:v>
                </c:pt>
                <c:pt idx="897">
                  <c:v>2714214.2524999999</c:v>
                </c:pt>
                <c:pt idx="898">
                  <c:v>2246790.4424999999</c:v>
                </c:pt>
                <c:pt idx="899">
                  <c:v>3279348.7424999997</c:v>
                </c:pt>
                <c:pt idx="900">
                  <c:v>2086845.06</c:v>
                </c:pt>
                <c:pt idx="901">
                  <c:v>2242194.66</c:v>
                </c:pt>
                <c:pt idx="902">
                  <c:v>2634374.6900000004</c:v>
                </c:pt>
                <c:pt idx="903">
                  <c:v>1681339.8800000001</c:v>
                </c:pt>
                <c:pt idx="904">
                  <c:v>1880687.22</c:v>
                </c:pt>
                <c:pt idx="905">
                  <c:v>1156618.2449999999</c:v>
                </c:pt>
                <c:pt idx="906">
                  <c:v>1725490.4274999998</c:v>
                </c:pt>
                <c:pt idx="907">
                  <c:v>1750713.79</c:v>
                </c:pt>
                <c:pt idx="908">
                  <c:v>1632439.125</c:v>
                </c:pt>
                <c:pt idx="909">
                  <c:v>1377458.3825000001</c:v>
                </c:pt>
                <c:pt idx="910">
                  <c:v>918863.95250000001</c:v>
                </c:pt>
                <c:pt idx="911">
                  <c:v>915770.70500000007</c:v>
                </c:pt>
                <c:pt idx="912">
                  <c:v>850562.16999999993</c:v>
                </c:pt>
                <c:pt idx="913">
                  <c:v>970596.41749999998</c:v>
                </c:pt>
                <c:pt idx="914">
                  <c:v>1853208.3050000002</c:v>
                </c:pt>
                <c:pt idx="915">
                  <c:v>1818224.85</c:v>
                </c:pt>
                <c:pt idx="916">
                  <c:v>2123328.1749999998</c:v>
                </c:pt>
                <c:pt idx="917">
                  <c:v>2091707.3599999999</c:v>
                </c:pt>
                <c:pt idx="918">
                  <c:v>914463.80499999993</c:v>
                </c:pt>
                <c:pt idx="919">
                  <c:v>785733.99749999994</c:v>
                </c:pt>
                <c:pt idx="920">
                  <c:v>567743.42249999999</c:v>
                </c:pt>
                <c:pt idx="921">
                  <c:v>472422.04499999998</c:v>
                </c:pt>
                <c:pt idx="922">
                  <c:v>404228.3125</c:v>
                </c:pt>
                <c:pt idx="923">
                  <c:v>520678.1875</c:v>
                </c:pt>
                <c:pt idx="924">
                  <c:v>692618.33750000002</c:v>
                </c:pt>
                <c:pt idx="925">
                  <c:v>960833.55</c:v>
                </c:pt>
                <c:pt idx="926">
                  <c:v>872111.94250000012</c:v>
                </c:pt>
                <c:pt idx="927">
                  <c:v>766187.83000000007</c:v>
                </c:pt>
                <c:pt idx="928">
                  <c:v>542878.74249999993</c:v>
                </c:pt>
                <c:pt idx="929">
                  <c:v>327653.46750000003</c:v>
                </c:pt>
                <c:pt idx="930">
                  <c:v>308109.57499999995</c:v>
                </c:pt>
                <c:pt idx="931">
                  <c:v>294148.03999999998</c:v>
                </c:pt>
                <c:pt idx="932">
                  <c:v>1240805.4275</c:v>
                </c:pt>
                <c:pt idx="933">
                  <c:v>1214540.8225</c:v>
                </c:pt>
                <c:pt idx="934">
                  <c:v>1832767.2124999999</c:v>
                </c:pt>
                <c:pt idx="935">
                  <c:v>2164213.5775000001</c:v>
                </c:pt>
                <c:pt idx="936">
                  <c:v>1279400.6775</c:v>
                </c:pt>
                <c:pt idx="937">
                  <c:v>1273465.5525</c:v>
                </c:pt>
                <c:pt idx="938">
                  <c:v>1097486.6299999999</c:v>
                </c:pt>
                <c:pt idx="939">
                  <c:v>776529.51750000007</c:v>
                </c:pt>
                <c:pt idx="940">
                  <c:v>947779.6875</c:v>
                </c:pt>
                <c:pt idx="941">
                  <c:v>840447.32249999989</c:v>
                </c:pt>
                <c:pt idx="942">
                  <c:v>533224.82250000001</c:v>
                </c:pt>
                <c:pt idx="943">
                  <c:v>522121.24</c:v>
                </c:pt>
                <c:pt idx="944">
                  <c:v>262846.04499999998</c:v>
                </c:pt>
                <c:pt idx="945">
                  <c:v>348640.86499999999</c:v>
                </c:pt>
                <c:pt idx="946">
                  <c:v>547943.745</c:v>
                </c:pt>
                <c:pt idx="947">
                  <c:v>623702.75</c:v>
                </c:pt>
                <c:pt idx="948">
                  <c:v>715996.7350000001</c:v>
                </c:pt>
                <c:pt idx="949">
                  <c:v>1347473.4724999999</c:v>
                </c:pt>
                <c:pt idx="950">
                  <c:v>1033100.9175</c:v>
                </c:pt>
                <c:pt idx="951">
                  <c:v>1106529.1199999999</c:v>
                </c:pt>
                <c:pt idx="952">
                  <c:v>1543025.4274999998</c:v>
                </c:pt>
                <c:pt idx="953">
                  <c:v>1018778.525</c:v>
                </c:pt>
                <c:pt idx="954">
                  <c:v>1796839.6</c:v>
                </c:pt>
                <c:pt idx="955">
                  <c:v>1707735.7924999997</c:v>
                </c:pt>
                <c:pt idx="956">
                  <c:v>1396586.25</c:v>
                </c:pt>
                <c:pt idx="957">
                  <c:v>1443977.8375000001</c:v>
                </c:pt>
                <c:pt idx="958">
                  <c:v>674806.17749999999</c:v>
                </c:pt>
                <c:pt idx="959">
                  <c:v>2265854.4325000001</c:v>
                </c:pt>
                <c:pt idx="960">
                  <c:v>2195330.6524999999</c:v>
                </c:pt>
                <c:pt idx="961">
                  <c:v>2020436.625</c:v>
                </c:pt>
                <c:pt idx="962">
                  <c:v>2547180.8849999998</c:v>
                </c:pt>
                <c:pt idx="963">
                  <c:v>982035.06499999994</c:v>
                </c:pt>
                <c:pt idx="964">
                  <c:v>895340.61500000011</c:v>
                </c:pt>
                <c:pt idx="965">
                  <c:v>1439038.7949999999</c:v>
                </c:pt>
                <c:pt idx="966">
                  <c:v>992970.91499999992</c:v>
                </c:pt>
                <c:pt idx="967">
                  <c:v>926534.64500000002</c:v>
                </c:pt>
                <c:pt idx="968">
                  <c:v>1453667.55</c:v>
                </c:pt>
                <c:pt idx="969">
                  <c:v>1849743.0825</c:v>
                </c:pt>
                <c:pt idx="970">
                  <c:v>1719519.5</c:v>
                </c:pt>
                <c:pt idx="971">
                  <c:v>1781757.29</c:v>
                </c:pt>
                <c:pt idx="972">
                  <c:v>2525057.4474999998</c:v>
                </c:pt>
                <c:pt idx="973">
                  <c:v>3042966.6975000002</c:v>
                </c:pt>
                <c:pt idx="974">
                  <c:v>3031399.64</c:v>
                </c:pt>
                <c:pt idx="975">
                  <c:v>3578691.2600000002</c:v>
                </c:pt>
                <c:pt idx="976">
                  <c:v>2867193.9875000003</c:v>
                </c:pt>
                <c:pt idx="977">
                  <c:v>1348837.405</c:v>
                </c:pt>
                <c:pt idx="978">
                  <c:v>1446455.0375000001</c:v>
                </c:pt>
                <c:pt idx="979">
                  <c:v>911452.12250000017</c:v>
                </c:pt>
                <c:pt idx="980">
                  <c:v>1076095.7975000001</c:v>
                </c:pt>
                <c:pt idx="981">
                  <c:v>1242860.6274999999</c:v>
                </c:pt>
                <c:pt idx="982">
                  <c:v>1410557.2150000001</c:v>
                </c:pt>
                <c:pt idx="983">
                  <c:v>1380975.77</c:v>
                </c:pt>
                <c:pt idx="984">
                  <c:v>518526.03499999997</c:v>
                </c:pt>
                <c:pt idx="985">
                  <c:v>635039.03</c:v>
                </c:pt>
                <c:pt idx="986">
                  <c:v>1423310.6300000001</c:v>
                </c:pt>
                <c:pt idx="987">
                  <c:v>1661043.325</c:v>
                </c:pt>
                <c:pt idx="988">
                  <c:v>1731827.9000000001</c:v>
                </c:pt>
                <c:pt idx="989">
                  <c:v>1450512.3800000001</c:v>
                </c:pt>
                <c:pt idx="990">
                  <c:v>1036156.0800000001</c:v>
                </c:pt>
                <c:pt idx="991">
                  <c:v>730692.14250000007</c:v>
                </c:pt>
                <c:pt idx="992">
                  <c:v>762709.03</c:v>
                </c:pt>
                <c:pt idx="993">
                  <c:v>764614.65500000003</c:v>
                </c:pt>
                <c:pt idx="994">
                  <c:v>131503.2825</c:v>
                </c:pt>
                <c:pt idx="995">
                  <c:v>289262.08999999997</c:v>
                </c:pt>
                <c:pt idx="996">
                  <c:v>278840.30249999999</c:v>
                </c:pt>
              </c:numCache>
            </c:numRef>
          </c:val>
          <c:smooth val="0"/>
          <c:extLst>
            <c:ext xmlns:c16="http://schemas.microsoft.com/office/drawing/2014/chart" uri="{C3380CC4-5D6E-409C-BE32-E72D297353CC}">
              <c16:uniqueId val="{00000003-C15B-4A71-A86F-119068FB3A6B}"/>
            </c:ext>
          </c:extLst>
        </c:ser>
        <c:ser>
          <c:idx val="4"/>
          <c:order val="4"/>
          <c:spPr>
            <a:ln w="34925" cap="rnd">
              <a:solidFill>
                <a:schemeClr val="accent5"/>
              </a:solidFill>
              <a:round/>
            </a:ln>
            <a:effectLst>
              <a:outerShdw blurRad="57150" dist="19050" dir="5400000" algn="ctr" rotWithShape="0">
                <a:srgbClr val="000000">
                  <a:alpha val="63000"/>
                </a:srgbClr>
              </a:outerShdw>
            </a:effectLst>
          </c:spPr>
          <c:marker>
            <c:symbol val="none"/>
          </c:marker>
          <c:val>
            <c:numRef>
              <c:f>'Medias Moviles'!$N$5:$N$1001</c:f>
              <c:numCache>
                <c:formatCode>_-* #,##0.00\ [$€-C0A]_-;\-* #,##0.00\ [$€-C0A]_-;_-* "-"??\ [$€-C0A]_-;_-@_-</c:formatCode>
                <c:ptCount val="997"/>
                <c:pt idx="0">
                  <c:v>843928.95919999992</c:v>
                </c:pt>
                <c:pt idx="1">
                  <c:v>749475.39100000006</c:v>
                </c:pt>
                <c:pt idx="2">
                  <c:v>661166.47149999999</c:v>
                </c:pt>
                <c:pt idx="3">
                  <c:v>498166.67490000004</c:v>
                </c:pt>
                <c:pt idx="4">
                  <c:v>498138.37110000011</c:v>
                </c:pt>
                <c:pt idx="5">
                  <c:v>1536716.3616000002</c:v>
                </c:pt>
                <c:pt idx="6">
                  <c:v>1995009.9810500001</c:v>
                </c:pt>
                <c:pt idx="7">
                  <c:v>3158543.6656000004</c:v>
                </c:pt>
                <c:pt idx="8">
                  <c:v>3007986.6215500007</c:v>
                </c:pt>
                <c:pt idx="9">
                  <c:v>1864862.7441000002</c:v>
                </c:pt>
                <c:pt idx="10">
                  <c:v>641493.49265000015</c:v>
                </c:pt>
                <c:pt idx="11">
                  <c:v>458622.33545000001</c:v>
                </c:pt>
                <c:pt idx="12">
                  <c:v>212941.36799999999</c:v>
                </c:pt>
                <c:pt idx="13">
                  <c:v>353881.34535000002</c:v>
                </c:pt>
                <c:pt idx="14">
                  <c:v>581742.70244999998</c:v>
                </c:pt>
                <c:pt idx="15">
                  <c:v>841992.00219999999</c:v>
                </c:pt>
                <c:pt idx="16">
                  <c:v>1764680.9778500001</c:v>
                </c:pt>
                <c:pt idx="17">
                  <c:v>2560554.3445500005</c:v>
                </c:pt>
                <c:pt idx="18">
                  <c:v>2091652.4095000001</c:v>
                </c:pt>
                <c:pt idx="19">
                  <c:v>1023196.7501000001</c:v>
                </c:pt>
                <c:pt idx="20">
                  <c:v>504397.04090000002</c:v>
                </c:pt>
                <c:pt idx="21">
                  <c:v>412414.94790000003</c:v>
                </c:pt>
                <c:pt idx="22">
                  <c:v>572445.65110000002</c:v>
                </c:pt>
                <c:pt idx="23">
                  <c:v>705671.08445000008</c:v>
                </c:pt>
                <c:pt idx="24">
                  <c:v>555018.08385000005</c:v>
                </c:pt>
                <c:pt idx="25">
                  <c:v>368613.06940000004</c:v>
                </c:pt>
                <c:pt idx="26">
                  <c:v>1594333.6385000001</c:v>
                </c:pt>
                <c:pt idx="27">
                  <c:v>2387009.4759</c:v>
                </c:pt>
                <c:pt idx="28">
                  <c:v>1895777.598</c:v>
                </c:pt>
                <c:pt idx="29">
                  <c:v>811218.50525000005</c:v>
                </c:pt>
                <c:pt idx="30">
                  <c:v>445099.9537500001</c:v>
                </c:pt>
                <c:pt idx="31">
                  <c:v>267147.62310000003</c:v>
                </c:pt>
                <c:pt idx="32">
                  <c:v>266022.5551</c:v>
                </c:pt>
                <c:pt idx="33">
                  <c:v>1479645.27605</c:v>
                </c:pt>
                <c:pt idx="34">
                  <c:v>1942458.6735499999</c:v>
                </c:pt>
                <c:pt idx="35">
                  <c:v>1141298.1483999998</c:v>
                </c:pt>
                <c:pt idx="36">
                  <c:v>608665.9297000001</c:v>
                </c:pt>
                <c:pt idx="37">
                  <c:v>1612180.3365000002</c:v>
                </c:pt>
                <c:pt idx="38">
                  <c:v>1634581.96765</c:v>
                </c:pt>
                <c:pt idx="39">
                  <c:v>877921.13555000001</c:v>
                </c:pt>
                <c:pt idx="40">
                  <c:v>260232.21985000002</c:v>
                </c:pt>
                <c:pt idx="41">
                  <c:v>665396.17225000006</c:v>
                </c:pt>
                <c:pt idx="42">
                  <c:v>1303590.0190000001</c:v>
                </c:pt>
                <c:pt idx="43">
                  <c:v>1369439.7766499999</c:v>
                </c:pt>
                <c:pt idx="44">
                  <c:v>926456.33105000004</c:v>
                </c:pt>
                <c:pt idx="45">
                  <c:v>578532.13804999995</c:v>
                </c:pt>
                <c:pt idx="46">
                  <c:v>1215082.2826000003</c:v>
                </c:pt>
                <c:pt idx="47">
                  <c:v>1540746.2501500002</c:v>
                </c:pt>
                <c:pt idx="48">
                  <c:v>1098391.0871000001</c:v>
                </c:pt>
                <c:pt idx="49">
                  <c:v>694109.41379999998</c:v>
                </c:pt>
                <c:pt idx="50">
                  <c:v>671097.13829999999</c:v>
                </c:pt>
                <c:pt idx="51">
                  <c:v>1305868.1637500001</c:v>
                </c:pt>
                <c:pt idx="52">
                  <c:v>1630291.1457500001</c:v>
                </c:pt>
                <c:pt idx="53">
                  <c:v>1077300.9176</c:v>
                </c:pt>
                <c:pt idx="54">
                  <c:v>463816.44380000001</c:v>
                </c:pt>
                <c:pt idx="55">
                  <c:v>376000.66370000009</c:v>
                </c:pt>
                <c:pt idx="56">
                  <c:v>408966.17879999994</c:v>
                </c:pt>
                <c:pt idx="57">
                  <c:v>483836.24040000001</c:v>
                </c:pt>
                <c:pt idx="58">
                  <c:v>945622.99360000016</c:v>
                </c:pt>
                <c:pt idx="59">
                  <c:v>1094158.7448500001</c:v>
                </c:pt>
                <c:pt idx="60">
                  <c:v>793469.78934999998</c:v>
                </c:pt>
                <c:pt idx="61">
                  <c:v>370062.0392</c:v>
                </c:pt>
                <c:pt idx="62">
                  <c:v>906691.63010000018</c:v>
                </c:pt>
                <c:pt idx="63">
                  <c:v>1057655.0972</c:v>
                </c:pt>
                <c:pt idx="64">
                  <c:v>533123.23219999997</c:v>
                </c:pt>
                <c:pt idx="65">
                  <c:v>390633.83309999999</c:v>
                </c:pt>
                <c:pt idx="66">
                  <c:v>596298.27860000008</c:v>
                </c:pt>
                <c:pt idx="67">
                  <c:v>514379.20545000001</c:v>
                </c:pt>
                <c:pt idx="68">
                  <c:v>489542.53775000002</c:v>
                </c:pt>
                <c:pt idx="69">
                  <c:v>1371694.4903000002</c:v>
                </c:pt>
                <c:pt idx="70">
                  <c:v>2336123.1711500003</c:v>
                </c:pt>
                <c:pt idx="71">
                  <c:v>3283885.7180500003</c:v>
                </c:pt>
                <c:pt idx="72">
                  <c:v>2543569.95205</c:v>
                </c:pt>
                <c:pt idx="73">
                  <c:v>1187905.4193500001</c:v>
                </c:pt>
                <c:pt idx="74">
                  <c:v>315546.57935000001</c:v>
                </c:pt>
                <c:pt idx="75">
                  <c:v>288777.83134999999</c:v>
                </c:pt>
                <c:pt idx="76">
                  <c:v>192563.6355</c:v>
                </c:pt>
                <c:pt idx="77">
                  <c:v>140929.72795</c:v>
                </c:pt>
                <c:pt idx="78">
                  <c:v>530803.95819999999</c:v>
                </c:pt>
                <c:pt idx="79">
                  <c:v>872544.14515000011</c:v>
                </c:pt>
                <c:pt idx="80">
                  <c:v>661951.32614999998</c:v>
                </c:pt>
                <c:pt idx="81">
                  <c:v>797623.4791</c:v>
                </c:pt>
                <c:pt idx="82">
                  <c:v>839598.56835000007</c:v>
                </c:pt>
                <c:pt idx="83">
                  <c:v>1538203.6506000001</c:v>
                </c:pt>
                <c:pt idx="84">
                  <c:v>1520737.5952000003</c:v>
                </c:pt>
                <c:pt idx="85">
                  <c:v>2401490.49725</c:v>
                </c:pt>
                <c:pt idx="86">
                  <c:v>2501121.4813500005</c:v>
                </c:pt>
                <c:pt idx="87">
                  <c:v>1527055.6289000004</c:v>
                </c:pt>
                <c:pt idx="88">
                  <c:v>1904704.6677500003</c:v>
                </c:pt>
                <c:pt idx="89">
                  <c:v>3205562.5367999999</c:v>
                </c:pt>
                <c:pt idx="90">
                  <c:v>2902340.94405</c:v>
                </c:pt>
                <c:pt idx="91">
                  <c:v>1347400.8936000001</c:v>
                </c:pt>
                <c:pt idx="92">
                  <c:v>447023.16525000002</c:v>
                </c:pt>
                <c:pt idx="93">
                  <c:v>248967.94710000002</c:v>
                </c:pt>
                <c:pt idx="94">
                  <c:v>773399.27055000002</c:v>
                </c:pt>
                <c:pt idx="95">
                  <c:v>1673796.7800499999</c:v>
                </c:pt>
                <c:pt idx="96">
                  <c:v>1760960.5908000001</c:v>
                </c:pt>
                <c:pt idx="97">
                  <c:v>1177507.1604500001</c:v>
                </c:pt>
                <c:pt idx="98">
                  <c:v>1210411.2355</c:v>
                </c:pt>
                <c:pt idx="99">
                  <c:v>1293574.9038</c:v>
                </c:pt>
                <c:pt idx="100">
                  <c:v>1023179.55</c:v>
                </c:pt>
                <c:pt idx="101">
                  <c:v>1584668.2902500001</c:v>
                </c:pt>
                <c:pt idx="102">
                  <c:v>1718167.4334999998</c:v>
                </c:pt>
                <c:pt idx="103">
                  <c:v>1064361.6157499999</c:v>
                </c:pt>
                <c:pt idx="104">
                  <c:v>1144714.0089</c:v>
                </c:pt>
                <c:pt idx="105">
                  <c:v>1383194.4255500003</c:v>
                </c:pt>
                <c:pt idx="106">
                  <c:v>2040926.9822500001</c:v>
                </c:pt>
                <c:pt idx="107">
                  <c:v>2558277.2533999998</c:v>
                </c:pt>
                <c:pt idx="108">
                  <c:v>2589756.2952000001</c:v>
                </c:pt>
                <c:pt idx="109">
                  <c:v>1606291.2001999998</c:v>
                </c:pt>
                <c:pt idx="110">
                  <c:v>867737.23924999998</c:v>
                </c:pt>
                <c:pt idx="111">
                  <c:v>934477.66805000009</c:v>
                </c:pt>
                <c:pt idx="112">
                  <c:v>2901394.5355000002</c:v>
                </c:pt>
                <c:pt idx="113">
                  <c:v>3710284.4026000001</c:v>
                </c:pt>
                <c:pt idx="114">
                  <c:v>2250599.088</c:v>
                </c:pt>
                <c:pt idx="115">
                  <c:v>802836.34419999993</c:v>
                </c:pt>
                <c:pt idx="116">
                  <c:v>601694.59845000005</c:v>
                </c:pt>
                <c:pt idx="117">
                  <c:v>447763.76529999997</c:v>
                </c:pt>
                <c:pt idx="118">
                  <c:v>205120.05775000004</c:v>
                </c:pt>
                <c:pt idx="119">
                  <c:v>199608.41615</c:v>
                </c:pt>
                <c:pt idx="120">
                  <c:v>175014.39415000001</c:v>
                </c:pt>
                <c:pt idx="121">
                  <c:v>91668.092950000006</c:v>
                </c:pt>
                <c:pt idx="122">
                  <c:v>259671.83580000003</c:v>
                </c:pt>
                <c:pt idx="123">
                  <c:v>328122.61770000006</c:v>
                </c:pt>
                <c:pt idx="124">
                  <c:v>171322.36600000001</c:v>
                </c:pt>
                <c:pt idx="125">
                  <c:v>25315.101049999997</c:v>
                </c:pt>
                <c:pt idx="126">
                  <c:v>447793.83680000005</c:v>
                </c:pt>
                <c:pt idx="127">
                  <c:v>733785.9077000001</c:v>
                </c:pt>
                <c:pt idx="128">
                  <c:v>2420260.2933999998</c:v>
                </c:pt>
                <c:pt idx="129">
                  <c:v>2838156.4698000001</c:v>
                </c:pt>
                <c:pt idx="130">
                  <c:v>2992332.8399499999</c:v>
                </c:pt>
                <c:pt idx="131">
                  <c:v>2564893.2736500003</c:v>
                </c:pt>
                <c:pt idx="132">
                  <c:v>1644814.8000000003</c:v>
                </c:pt>
                <c:pt idx="133">
                  <c:v>943714.41100000008</c:v>
                </c:pt>
                <c:pt idx="134">
                  <c:v>836738.91214999987</c:v>
                </c:pt>
                <c:pt idx="135">
                  <c:v>625944.03555000003</c:v>
                </c:pt>
                <c:pt idx="136">
                  <c:v>783099.85360000015</c:v>
                </c:pt>
                <c:pt idx="137">
                  <c:v>863705.88435000007</c:v>
                </c:pt>
                <c:pt idx="138">
                  <c:v>466884.94474999997</c:v>
                </c:pt>
                <c:pt idx="139">
                  <c:v>289422.42350000003</c:v>
                </c:pt>
                <c:pt idx="140">
                  <c:v>331873.73450000002</c:v>
                </c:pt>
                <c:pt idx="141">
                  <c:v>412979.14620000008</c:v>
                </c:pt>
                <c:pt idx="142">
                  <c:v>341069.13945000002</c:v>
                </c:pt>
                <c:pt idx="143">
                  <c:v>168145.04855000001</c:v>
                </c:pt>
                <c:pt idx="144">
                  <c:v>248323.58920000002</c:v>
                </c:pt>
                <c:pt idx="145">
                  <c:v>695198.05370000016</c:v>
                </c:pt>
                <c:pt idx="146">
                  <c:v>783822.84985000012</c:v>
                </c:pt>
                <c:pt idx="147">
                  <c:v>435449.50090000004</c:v>
                </c:pt>
                <c:pt idx="148">
                  <c:v>492421.48660000006</c:v>
                </c:pt>
                <c:pt idx="149">
                  <c:v>539060.35290000006</c:v>
                </c:pt>
                <c:pt idx="150">
                  <c:v>275688.12839999999</c:v>
                </c:pt>
                <c:pt idx="151">
                  <c:v>37392.913950000002</c:v>
                </c:pt>
                <c:pt idx="152">
                  <c:v>1370530.5046500002</c:v>
                </c:pt>
                <c:pt idx="153">
                  <c:v>2519725.2636000002</c:v>
                </c:pt>
                <c:pt idx="154">
                  <c:v>2209213.3309499999</c:v>
                </c:pt>
                <c:pt idx="155">
                  <c:v>1112724.96985</c:v>
                </c:pt>
                <c:pt idx="156">
                  <c:v>1887744.3049500003</c:v>
                </c:pt>
                <c:pt idx="157">
                  <c:v>3787297.8017500001</c:v>
                </c:pt>
                <c:pt idx="158">
                  <c:v>3520005.7998500005</c:v>
                </c:pt>
                <c:pt idx="159">
                  <c:v>1867691.1722000001</c:v>
                </c:pt>
                <c:pt idx="160">
                  <c:v>1897394.9375499999</c:v>
                </c:pt>
                <c:pt idx="161">
                  <c:v>2852066.6377000003</c:v>
                </c:pt>
                <c:pt idx="162">
                  <c:v>2748878.6262000003</c:v>
                </c:pt>
                <c:pt idx="163">
                  <c:v>1866509.4806499998</c:v>
                </c:pt>
                <c:pt idx="164">
                  <c:v>1955902.5620000002</c:v>
                </c:pt>
                <c:pt idx="165">
                  <c:v>2038682.7134000002</c:v>
                </c:pt>
                <c:pt idx="166">
                  <c:v>1512557.6004000001</c:v>
                </c:pt>
                <c:pt idx="167">
                  <c:v>1056611.7936000002</c:v>
                </c:pt>
                <c:pt idx="168">
                  <c:v>1178668.2072000001</c:v>
                </c:pt>
                <c:pt idx="169">
                  <c:v>1648202.1284500002</c:v>
                </c:pt>
                <c:pt idx="170">
                  <c:v>2592244.0175000001</c:v>
                </c:pt>
                <c:pt idx="171">
                  <c:v>2246858.1092500002</c:v>
                </c:pt>
                <c:pt idx="172">
                  <c:v>1173664.432</c:v>
                </c:pt>
                <c:pt idx="173">
                  <c:v>745272.43849999993</c:v>
                </c:pt>
                <c:pt idx="174">
                  <c:v>839003.77070000011</c:v>
                </c:pt>
                <c:pt idx="175">
                  <c:v>1332131.21465</c:v>
                </c:pt>
                <c:pt idx="176">
                  <c:v>3156550.0341000003</c:v>
                </c:pt>
                <c:pt idx="177">
                  <c:v>3137553.5541000003</c:v>
                </c:pt>
                <c:pt idx="178">
                  <c:v>1837789.9905500002</c:v>
                </c:pt>
                <c:pt idx="179">
                  <c:v>938076.37219999998</c:v>
                </c:pt>
                <c:pt idx="180">
                  <c:v>1208009.5984</c:v>
                </c:pt>
                <c:pt idx="181">
                  <c:v>2540717.7008500001</c:v>
                </c:pt>
                <c:pt idx="182">
                  <c:v>2976289.5671000001</c:v>
                </c:pt>
                <c:pt idx="183">
                  <c:v>1705194.4845500002</c:v>
                </c:pt>
                <c:pt idx="184">
                  <c:v>388646.9779</c:v>
                </c:pt>
                <c:pt idx="185">
                  <c:v>335832.48130000004</c:v>
                </c:pt>
                <c:pt idx="186">
                  <c:v>539760.07309999992</c:v>
                </c:pt>
                <c:pt idx="187">
                  <c:v>848542.52560000005</c:v>
                </c:pt>
                <c:pt idx="188">
                  <c:v>714833.0719000001</c:v>
                </c:pt>
                <c:pt idx="189">
                  <c:v>357755.94985000003</c:v>
                </c:pt>
                <c:pt idx="190">
                  <c:v>306812.14705000009</c:v>
                </c:pt>
                <c:pt idx="191">
                  <c:v>1567392.8721000003</c:v>
                </c:pt>
                <c:pt idx="192">
                  <c:v>1809631.9475499999</c:v>
                </c:pt>
                <c:pt idx="193">
                  <c:v>1251285.3413499999</c:v>
                </c:pt>
                <c:pt idx="194">
                  <c:v>723533.20639999991</c:v>
                </c:pt>
                <c:pt idx="195">
                  <c:v>1821748.6529000003</c:v>
                </c:pt>
                <c:pt idx="196">
                  <c:v>2193872.9754000003</c:v>
                </c:pt>
                <c:pt idx="197">
                  <c:v>1450449.5388000002</c:v>
                </c:pt>
                <c:pt idx="198">
                  <c:v>617337.44250000012</c:v>
                </c:pt>
                <c:pt idx="199">
                  <c:v>383234.65765000001</c:v>
                </c:pt>
                <c:pt idx="200">
                  <c:v>531573.22275000007</c:v>
                </c:pt>
                <c:pt idx="201">
                  <c:v>820702.07900000003</c:v>
                </c:pt>
                <c:pt idx="202">
                  <c:v>934327.94889999996</c:v>
                </c:pt>
                <c:pt idx="203">
                  <c:v>594712.24280000012</c:v>
                </c:pt>
                <c:pt idx="204">
                  <c:v>230058.53295000002</c:v>
                </c:pt>
                <c:pt idx="205">
                  <c:v>543346.92195000011</c:v>
                </c:pt>
                <c:pt idx="206">
                  <c:v>873874.78470000008</c:v>
                </c:pt>
                <c:pt idx="207">
                  <c:v>675029.16390000004</c:v>
                </c:pt>
                <c:pt idx="208">
                  <c:v>1085230.4028</c:v>
                </c:pt>
                <c:pt idx="209">
                  <c:v>1189827.4009500002</c:v>
                </c:pt>
                <c:pt idx="210">
                  <c:v>645800.17365000013</c:v>
                </c:pt>
                <c:pt idx="211">
                  <c:v>117147.73680000001</c:v>
                </c:pt>
                <c:pt idx="212">
                  <c:v>881210.04330000002</c:v>
                </c:pt>
                <c:pt idx="213">
                  <c:v>1375826.1588000001</c:v>
                </c:pt>
                <c:pt idx="214">
                  <c:v>1676387.8213500001</c:v>
                </c:pt>
                <c:pt idx="215">
                  <c:v>1302913.0355500001</c:v>
                </c:pt>
                <c:pt idx="216">
                  <c:v>1299899.4024</c:v>
                </c:pt>
                <c:pt idx="217">
                  <c:v>1339739.0033499999</c:v>
                </c:pt>
                <c:pt idx="218">
                  <c:v>1071199.81165</c:v>
                </c:pt>
                <c:pt idx="219">
                  <c:v>950828.40980000002</c:v>
                </c:pt>
                <c:pt idx="220">
                  <c:v>997653.3252000002</c:v>
                </c:pt>
                <c:pt idx="221">
                  <c:v>729470.43720000004</c:v>
                </c:pt>
                <c:pt idx="222">
                  <c:v>870097.8912999999</c:v>
                </c:pt>
                <c:pt idx="223">
                  <c:v>1221642.0149999997</c:v>
                </c:pt>
                <c:pt idx="224">
                  <c:v>1018559.0510999999</c:v>
                </c:pt>
                <c:pt idx="225">
                  <c:v>1436479.2761999997</c:v>
                </c:pt>
                <c:pt idx="226">
                  <c:v>1601560.3046999997</c:v>
                </c:pt>
                <c:pt idx="227">
                  <c:v>1317861.7571999999</c:v>
                </c:pt>
                <c:pt idx="228">
                  <c:v>1190445.2681</c:v>
                </c:pt>
                <c:pt idx="229">
                  <c:v>1564028.9168000002</c:v>
                </c:pt>
                <c:pt idx="230">
                  <c:v>1171968.6983999999</c:v>
                </c:pt>
                <c:pt idx="231">
                  <c:v>539986.40039999993</c:v>
                </c:pt>
                <c:pt idx="232">
                  <c:v>170085.72580000001</c:v>
                </c:pt>
                <c:pt idx="233">
                  <c:v>693854.75629999989</c:v>
                </c:pt>
                <c:pt idx="234">
                  <c:v>2777966.1295000003</c:v>
                </c:pt>
                <c:pt idx="235">
                  <c:v>3463806.4873000002</c:v>
                </c:pt>
                <c:pt idx="236">
                  <c:v>2254099.4059000001</c:v>
                </c:pt>
                <c:pt idx="237">
                  <c:v>1080355.8907000001</c:v>
                </c:pt>
                <c:pt idx="238">
                  <c:v>648765.9828</c:v>
                </c:pt>
                <c:pt idx="239">
                  <c:v>1182424.8682499998</c:v>
                </c:pt>
                <c:pt idx="240">
                  <c:v>1381749.3820500001</c:v>
                </c:pt>
                <c:pt idx="241">
                  <c:v>770192.51685000001</c:v>
                </c:pt>
                <c:pt idx="242">
                  <c:v>1429618.4223000002</c:v>
                </c:pt>
                <c:pt idx="243">
                  <c:v>1894874.0118500001</c:v>
                </c:pt>
                <c:pt idx="244">
                  <c:v>1153617.3804000001</c:v>
                </c:pt>
                <c:pt idx="245">
                  <c:v>283636.92830000003</c:v>
                </c:pt>
                <c:pt idx="246">
                  <c:v>153427.67079999999</c:v>
                </c:pt>
                <c:pt idx="247">
                  <c:v>747984.16570000001</c:v>
                </c:pt>
                <c:pt idx="248">
                  <c:v>1192114.3319000001</c:v>
                </c:pt>
                <c:pt idx="249">
                  <c:v>1661801.31305</c:v>
                </c:pt>
                <c:pt idx="250">
                  <c:v>1426430.73765</c:v>
                </c:pt>
                <c:pt idx="251">
                  <c:v>1503971.8281999999</c:v>
                </c:pt>
                <c:pt idx="252">
                  <c:v>1595097.8260999999</c:v>
                </c:pt>
                <c:pt idx="253">
                  <c:v>1502362.1399000003</c:v>
                </c:pt>
                <c:pt idx="254">
                  <c:v>879907.44435000001</c:v>
                </c:pt>
                <c:pt idx="255">
                  <c:v>484217.46815000009</c:v>
                </c:pt>
                <c:pt idx="256">
                  <c:v>473716.57230000006</c:v>
                </c:pt>
                <c:pt idx="257">
                  <c:v>1354677.9854000001</c:v>
                </c:pt>
                <c:pt idx="258">
                  <c:v>1785761.0495500001</c:v>
                </c:pt>
                <c:pt idx="259">
                  <c:v>1282030.7183500002</c:v>
                </c:pt>
                <c:pt idx="260">
                  <c:v>600181.80275000003</c:v>
                </c:pt>
                <c:pt idx="261">
                  <c:v>320450.55654999998</c:v>
                </c:pt>
                <c:pt idx="262">
                  <c:v>267129.66000000003</c:v>
                </c:pt>
                <c:pt idx="263">
                  <c:v>1818962.8533500002</c:v>
                </c:pt>
                <c:pt idx="264">
                  <c:v>4158724.6435500002</c:v>
                </c:pt>
                <c:pt idx="265">
                  <c:v>3801701.9216999998</c:v>
                </c:pt>
                <c:pt idx="266">
                  <c:v>1977920.3012999999</c:v>
                </c:pt>
                <c:pt idx="267">
                  <c:v>2055144.2603499999</c:v>
                </c:pt>
                <c:pt idx="268">
                  <c:v>2084948.7609000001</c:v>
                </c:pt>
                <c:pt idx="269">
                  <c:v>1062716.8484499999</c:v>
                </c:pt>
                <c:pt idx="270">
                  <c:v>631406.08260000008</c:v>
                </c:pt>
                <c:pt idx="271">
                  <c:v>2175953.7140000002</c:v>
                </c:pt>
                <c:pt idx="272">
                  <c:v>2920615.3609500001</c:v>
                </c:pt>
                <c:pt idx="273">
                  <c:v>1882999.9707000002</c:v>
                </c:pt>
                <c:pt idx="274">
                  <c:v>568218.73415000003</c:v>
                </c:pt>
                <c:pt idx="275">
                  <c:v>590034.80279999995</c:v>
                </c:pt>
                <c:pt idx="276">
                  <c:v>744534.53059999982</c:v>
                </c:pt>
                <c:pt idx="277">
                  <c:v>679325.75124999997</c:v>
                </c:pt>
                <c:pt idx="278">
                  <c:v>856956.78914999997</c:v>
                </c:pt>
                <c:pt idx="279">
                  <c:v>1095322.7471999999</c:v>
                </c:pt>
                <c:pt idx="280">
                  <c:v>1302494.6708999998</c:v>
                </c:pt>
                <c:pt idx="281">
                  <c:v>1244676.5205000003</c:v>
                </c:pt>
                <c:pt idx="282">
                  <c:v>1571088.6638000002</c:v>
                </c:pt>
                <c:pt idx="283">
                  <c:v>1344480.0208500002</c:v>
                </c:pt>
                <c:pt idx="284">
                  <c:v>934105.45614999998</c:v>
                </c:pt>
                <c:pt idx="285">
                  <c:v>577761.00610000012</c:v>
                </c:pt>
                <c:pt idx="286">
                  <c:v>524145.32205000008</c:v>
                </c:pt>
                <c:pt idx="287">
                  <c:v>667766.15674999997</c:v>
                </c:pt>
                <c:pt idx="288">
                  <c:v>1017659.005</c:v>
                </c:pt>
                <c:pt idx="289">
                  <c:v>1134843.5234999999</c:v>
                </c:pt>
                <c:pt idx="290">
                  <c:v>897324.2942</c:v>
                </c:pt>
                <c:pt idx="291">
                  <c:v>486317.08940000006</c:v>
                </c:pt>
                <c:pt idx="292">
                  <c:v>212770.00630000001</c:v>
                </c:pt>
                <c:pt idx="293">
                  <c:v>899964.00655000005</c:v>
                </c:pt>
                <c:pt idx="294">
                  <c:v>1703908.85775</c:v>
                </c:pt>
                <c:pt idx="295">
                  <c:v>2702991.8854000005</c:v>
                </c:pt>
                <c:pt idx="296">
                  <c:v>3225175.7564000003</c:v>
                </c:pt>
                <c:pt idx="297">
                  <c:v>3828291.5920500001</c:v>
                </c:pt>
                <c:pt idx="298">
                  <c:v>2922626.6603500005</c:v>
                </c:pt>
                <c:pt idx="299">
                  <c:v>1270657.0767000001</c:v>
                </c:pt>
                <c:pt idx="300">
                  <c:v>320936.06410000002</c:v>
                </c:pt>
                <c:pt idx="301">
                  <c:v>1435869.5044499999</c:v>
                </c:pt>
                <c:pt idx="302">
                  <c:v>1875914.3776499999</c:v>
                </c:pt>
                <c:pt idx="303">
                  <c:v>1144413.6014999999</c:v>
                </c:pt>
                <c:pt idx="304">
                  <c:v>1372861.5918000003</c:v>
                </c:pt>
                <c:pt idx="305">
                  <c:v>1862680.1253999998</c:v>
                </c:pt>
                <c:pt idx="306">
                  <c:v>1846598.1400000001</c:v>
                </c:pt>
                <c:pt idx="307">
                  <c:v>1418529.46</c:v>
                </c:pt>
                <c:pt idx="308">
                  <c:v>911702.18515000003</c:v>
                </c:pt>
                <c:pt idx="309">
                  <c:v>606255.24904999998</c:v>
                </c:pt>
                <c:pt idx="310">
                  <c:v>474873.14544999995</c:v>
                </c:pt>
                <c:pt idx="311">
                  <c:v>460051.48089999997</c:v>
                </c:pt>
                <c:pt idx="312">
                  <c:v>389944.02175000001</c:v>
                </c:pt>
                <c:pt idx="313">
                  <c:v>314396.09724999999</c:v>
                </c:pt>
                <c:pt idx="314">
                  <c:v>327071.58375000005</c:v>
                </c:pt>
                <c:pt idx="315">
                  <c:v>494626.0174500001</c:v>
                </c:pt>
                <c:pt idx="316">
                  <c:v>614500.98665000009</c:v>
                </c:pt>
                <c:pt idx="317">
                  <c:v>690523.07590000017</c:v>
                </c:pt>
                <c:pt idx="318">
                  <c:v>1009647.0459000003</c:v>
                </c:pt>
                <c:pt idx="319">
                  <c:v>2188606.4671</c:v>
                </c:pt>
                <c:pt idx="320">
                  <c:v>2264867.1998999999</c:v>
                </c:pt>
                <c:pt idx="321">
                  <c:v>1337301.0628</c:v>
                </c:pt>
                <c:pt idx="322">
                  <c:v>524445.01399999997</c:v>
                </c:pt>
                <c:pt idx="323">
                  <c:v>1112496.4273999999</c:v>
                </c:pt>
                <c:pt idx="324">
                  <c:v>1225836.6268</c:v>
                </c:pt>
                <c:pt idx="325">
                  <c:v>732100.66630000016</c:v>
                </c:pt>
                <c:pt idx="326">
                  <c:v>403771.24890000001</c:v>
                </c:pt>
                <c:pt idx="327">
                  <c:v>1429740.7028000001</c:v>
                </c:pt>
                <c:pt idx="328">
                  <c:v>2379156.6697499999</c:v>
                </c:pt>
                <c:pt idx="329">
                  <c:v>1866134.0381499999</c:v>
                </c:pt>
                <c:pt idx="330">
                  <c:v>887118.43150000006</c:v>
                </c:pt>
                <c:pt idx="331">
                  <c:v>1418107.4862000002</c:v>
                </c:pt>
                <c:pt idx="332">
                  <c:v>1629671.3392</c:v>
                </c:pt>
                <c:pt idx="333">
                  <c:v>1939740.4912</c:v>
                </c:pt>
                <c:pt idx="334">
                  <c:v>1877229.3393000003</c:v>
                </c:pt>
                <c:pt idx="335">
                  <c:v>1400759.6040000001</c:v>
                </c:pt>
                <c:pt idx="336">
                  <c:v>532866.12315</c:v>
                </c:pt>
                <c:pt idx="337">
                  <c:v>411350.93575000006</c:v>
                </c:pt>
                <c:pt idx="338">
                  <c:v>1033898.29535</c:v>
                </c:pt>
                <c:pt idx="339">
                  <c:v>1301029.7222500001</c:v>
                </c:pt>
                <c:pt idx="340">
                  <c:v>1214739.9398000001</c:v>
                </c:pt>
                <c:pt idx="341">
                  <c:v>1270901.7996</c:v>
                </c:pt>
                <c:pt idx="342">
                  <c:v>2029748.9044999999</c:v>
                </c:pt>
                <c:pt idx="343">
                  <c:v>1890090.1842999998</c:v>
                </c:pt>
                <c:pt idx="344">
                  <c:v>953485.01659999997</c:v>
                </c:pt>
                <c:pt idx="345">
                  <c:v>220440.9498</c:v>
                </c:pt>
                <c:pt idx="346">
                  <c:v>1297576.04795</c:v>
                </c:pt>
                <c:pt idx="347">
                  <c:v>2658983.7311000004</c:v>
                </c:pt>
                <c:pt idx="348">
                  <c:v>3502635.2615499999</c:v>
                </c:pt>
                <c:pt idx="349">
                  <c:v>3120231.1570000001</c:v>
                </c:pt>
                <c:pt idx="350">
                  <c:v>1808288.6716499999</c:v>
                </c:pt>
                <c:pt idx="351">
                  <c:v>531063.66445000004</c:v>
                </c:pt>
                <c:pt idx="352">
                  <c:v>191692.03440000003</c:v>
                </c:pt>
                <c:pt idx="353">
                  <c:v>178804.72095000005</c:v>
                </c:pt>
                <c:pt idx="354">
                  <c:v>359370.59274999995</c:v>
                </c:pt>
                <c:pt idx="355">
                  <c:v>724454.17829999991</c:v>
                </c:pt>
                <c:pt idx="356">
                  <c:v>956789.12474999996</c:v>
                </c:pt>
                <c:pt idx="357">
                  <c:v>953147.74084999994</c:v>
                </c:pt>
                <c:pt idx="358">
                  <c:v>945696.81510000001</c:v>
                </c:pt>
                <c:pt idx="359">
                  <c:v>818352.22094999999</c:v>
                </c:pt>
                <c:pt idx="360">
                  <c:v>603744.05150000006</c:v>
                </c:pt>
                <c:pt idx="361">
                  <c:v>1538264.21655</c:v>
                </c:pt>
                <c:pt idx="362">
                  <c:v>1795829.0825499999</c:v>
                </c:pt>
                <c:pt idx="363">
                  <c:v>1216338.1669999999</c:v>
                </c:pt>
                <c:pt idx="364">
                  <c:v>531516.0442</c:v>
                </c:pt>
                <c:pt idx="365">
                  <c:v>479882.68675000005</c:v>
                </c:pt>
                <c:pt idx="366">
                  <c:v>2224754.1771499999</c:v>
                </c:pt>
                <c:pt idx="367">
                  <c:v>3027574.0443500001</c:v>
                </c:pt>
                <c:pt idx="368">
                  <c:v>2070184.8602</c:v>
                </c:pt>
                <c:pt idx="369">
                  <c:v>2185926.4682999998</c:v>
                </c:pt>
                <c:pt idx="370">
                  <c:v>2322442.0169000002</c:v>
                </c:pt>
                <c:pt idx="371">
                  <c:v>1722212.9961999999</c:v>
                </c:pt>
                <c:pt idx="372">
                  <c:v>994273.31355000008</c:v>
                </c:pt>
                <c:pt idx="373">
                  <c:v>761247.30935</c:v>
                </c:pt>
                <c:pt idx="374">
                  <c:v>752447.26319999993</c:v>
                </c:pt>
                <c:pt idx="375">
                  <c:v>1552545.9637</c:v>
                </c:pt>
                <c:pt idx="376">
                  <c:v>1493204.6217</c:v>
                </c:pt>
                <c:pt idx="377">
                  <c:v>1725377.3586499998</c:v>
                </c:pt>
                <c:pt idx="378">
                  <c:v>1804262.2682499997</c:v>
                </c:pt>
                <c:pt idx="379">
                  <c:v>1645823.5749000001</c:v>
                </c:pt>
                <c:pt idx="380">
                  <c:v>969025.14315000013</c:v>
                </c:pt>
                <c:pt idx="381">
                  <c:v>977819.74195000017</c:v>
                </c:pt>
                <c:pt idx="382">
                  <c:v>807693.62304999994</c:v>
                </c:pt>
                <c:pt idx="383">
                  <c:v>416491.60860000004</c:v>
                </c:pt>
                <c:pt idx="384">
                  <c:v>714382.10974999995</c:v>
                </c:pt>
                <c:pt idx="385">
                  <c:v>1095143.9026999997</c:v>
                </c:pt>
                <c:pt idx="386">
                  <c:v>880709.31545000011</c:v>
                </c:pt>
                <c:pt idx="387">
                  <c:v>538973.96590000007</c:v>
                </c:pt>
                <c:pt idx="388">
                  <c:v>608325.12295000011</c:v>
                </c:pt>
                <c:pt idx="389">
                  <c:v>1351138.5126</c:v>
                </c:pt>
                <c:pt idx="390">
                  <c:v>1614705.0955999999</c:v>
                </c:pt>
                <c:pt idx="391">
                  <c:v>943392.24</c:v>
                </c:pt>
                <c:pt idx="392">
                  <c:v>1058709.0697000001</c:v>
                </c:pt>
                <c:pt idx="393">
                  <c:v>1578916.8350000004</c:v>
                </c:pt>
                <c:pt idx="394">
                  <c:v>1334799.0733</c:v>
                </c:pt>
                <c:pt idx="395">
                  <c:v>578958.44585000002</c:v>
                </c:pt>
                <c:pt idx="396">
                  <c:v>389238.64475000004</c:v>
                </c:pt>
                <c:pt idx="397">
                  <c:v>1413526.7182500004</c:v>
                </c:pt>
                <c:pt idx="398">
                  <c:v>1694469.6553499999</c:v>
                </c:pt>
                <c:pt idx="399">
                  <c:v>1122666.6858000001</c:v>
                </c:pt>
                <c:pt idx="400">
                  <c:v>445076.25285000005</c:v>
                </c:pt>
                <c:pt idx="401">
                  <c:v>331161.89595000003</c:v>
                </c:pt>
                <c:pt idx="402">
                  <c:v>253150.35060000003</c:v>
                </c:pt>
                <c:pt idx="403">
                  <c:v>1923630.4124499999</c:v>
                </c:pt>
                <c:pt idx="404">
                  <c:v>2702481.40325</c:v>
                </c:pt>
                <c:pt idx="405">
                  <c:v>1754666.0106500001</c:v>
                </c:pt>
                <c:pt idx="406">
                  <c:v>461859.09389999998</c:v>
                </c:pt>
                <c:pt idx="407">
                  <c:v>192613.2525</c:v>
                </c:pt>
                <c:pt idx="408">
                  <c:v>115555.22185</c:v>
                </c:pt>
                <c:pt idx="409">
                  <c:v>918098.47959999996</c:v>
                </c:pt>
                <c:pt idx="410">
                  <c:v>1144493.0079000001</c:v>
                </c:pt>
                <c:pt idx="411">
                  <c:v>1616140.6124500001</c:v>
                </c:pt>
                <c:pt idx="412">
                  <c:v>2078248.5898500001</c:v>
                </c:pt>
                <c:pt idx="413">
                  <c:v>1588628.84595</c:v>
                </c:pt>
                <c:pt idx="414">
                  <c:v>474259.59575000004</c:v>
                </c:pt>
                <c:pt idx="415">
                  <c:v>198352.15400000001</c:v>
                </c:pt>
                <c:pt idx="416">
                  <c:v>529092.8308</c:v>
                </c:pt>
                <c:pt idx="417">
                  <c:v>575086.28544999997</c:v>
                </c:pt>
                <c:pt idx="418">
                  <c:v>370674.04730000003</c:v>
                </c:pt>
                <c:pt idx="419">
                  <c:v>314490.47395000001</c:v>
                </c:pt>
                <c:pt idx="420">
                  <c:v>653734.22699999996</c:v>
                </c:pt>
                <c:pt idx="421">
                  <c:v>624103.72914999991</c:v>
                </c:pt>
                <c:pt idx="422">
                  <c:v>398576.09730000002</c:v>
                </c:pt>
                <c:pt idx="423">
                  <c:v>273031.18580000004</c:v>
                </c:pt>
                <c:pt idx="424">
                  <c:v>227281.45085000002</c:v>
                </c:pt>
                <c:pt idx="425">
                  <c:v>791002.95750000014</c:v>
                </c:pt>
                <c:pt idx="426">
                  <c:v>2590055.0217000004</c:v>
                </c:pt>
                <c:pt idx="427">
                  <c:v>2910729.0005000001</c:v>
                </c:pt>
                <c:pt idx="428">
                  <c:v>1546595.466</c:v>
                </c:pt>
                <c:pt idx="429">
                  <c:v>440737.56649999996</c:v>
                </c:pt>
                <c:pt idx="430">
                  <c:v>403654.27680000005</c:v>
                </c:pt>
                <c:pt idx="431">
                  <c:v>551789.63020000013</c:v>
                </c:pt>
                <c:pt idx="432">
                  <c:v>911107.9663000002</c:v>
                </c:pt>
                <c:pt idx="433">
                  <c:v>802541.83440000005</c:v>
                </c:pt>
                <c:pt idx="434">
                  <c:v>525397.74875000003</c:v>
                </c:pt>
                <c:pt idx="435">
                  <c:v>633427.02625000011</c:v>
                </c:pt>
                <c:pt idx="436">
                  <c:v>1104426.7642000001</c:v>
                </c:pt>
                <c:pt idx="437">
                  <c:v>1115347.5597000001</c:v>
                </c:pt>
                <c:pt idx="438">
                  <c:v>930375.60750000016</c:v>
                </c:pt>
                <c:pt idx="439">
                  <c:v>1100755.105</c:v>
                </c:pt>
                <c:pt idx="440">
                  <c:v>1412718.9858499998</c:v>
                </c:pt>
                <c:pt idx="441">
                  <c:v>1298658.7643500001</c:v>
                </c:pt>
                <c:pt idx="442">
                  <c:v>1092968.2420000001</c:v>
                </c:pt>
                <c:pt idx="443">
                  <c:v>876860.13489999995</c:v>
                </c:pt>
                <c:pt idx="444">
                  <c:v>652374.72715000005</c:v>
                </c:pt>
                <c:pt idx="445">
                  <c:v>363070.26905</c:v>
                </c:pt>
                <c:pt idx="446">
                  <c:v>151354.43520000001</c:v>
                </c:pt>
                <c:pt idx="447">
                  <c:v>418805.9743</c:v>
                </c:pt>
                <c:pt idx="448">
                  <c:v>668402.29010000022</c:v>
                </c:pt>
                <c:pt idx="449">
                  <c:v>709752.23230000003</c:v>
                </c:pt>
                <c:pt idx="450">
                  <c:v>1851429.4240000003</c:v>
                </c:pt>
                <c:pt idx="451">
                  <c:v>2348578.4070000006</c:v>
                </c:pt>
                <c:pt idx="452">
                  <c:v>2086931.1462000001</c:v>
                </c:pt>
                <c:pt idx="453">
                  <c:v>1944078.3137500002</c:v>
                </c:pt>
                <c:pt idx="454">
                  <c:v>1496081.26385</c:v>
                </c:pt>
                <c:pt idx="455">
                  <c:v>1425918.0455999998</c:v>
                </c:pt>
                <c:pt idx="456">
                  <c:v>1582352.4595999999</c:v>
                </c:pt>
                <c:pt idx="457">
                  <c:v>1137222.7077000001</c:v>
                </c:pt>
                <c:pt idx="458">
                  <c:v>320275.12045000005</c:v>
                </c:pt>
                <c:pt idx="459">
                  <c:v>506460.84995000006</c:v>
                </c:pt>
                <c:pt idx="460">
                  <c:v>629686.21550000005</c:v>
                </c:pt>
                <c:pt idx="461">
                  <c:v>466487.55425000004</c:v>
                </c:pt>
                <c:pt idx="462">
                  <c:v>278685.62065000006</c:v>
                </c:pt>
                <c:pt idx="463">
                  <c:v>461467.43030000001</c:v>
                </c:pt>
                <c:pt idx="464">
                  <c:v>737795.84030000016</c:v>
                </c:pt>
                <c:pt idx="465">
                  <c:v>757242.03330000001</c:v>
                </c:pt>
                <c:pt idx="466">
                  <c:v>458122.12330000004</c:v>
                </c:pt>
                <c:pt idx="467">
                  <c:v>874007.92840000009</c:v>
                </c:pt>
                <c:pt idx="468">
                  <c:v>1715642.0460000001</c:v>
                </c:pt>
                <c:pt idx="469">
                  <c:v>1893217.7674000002</c:v>
                </c:pt>
                <c:pt idx="470">
                  <c:v>1092356.2910500001</c:v>
                </c:pt>
                <c:pt idx="471">
                  <c:v>577009.06275000004</c:v>
                </c:pt>
                <c:pt idx="472">
                  <c:v>455632.88974999997</c:v>
                </c:pt>
                <c:pt idx="473">
                  <c:v>395871.20925000007</c:v>
                </c:pt>
                <c:pt idx="474">
                  <c:v>963295.29130000016</c:v>
                </c:pt>
                <c:pt idx="475">
                  <c:v>1120174.2152</c:v>
                </c:pt>
                <c:pt idx="476">
                  <c:v>1060402.1354</c:v>
                </c:pt>
                <c:pt idx="477">
                  <c:v>2121835.6731499997</c:v>
                </c:pt>
                <c:pt idx="478">
                  <c:v>2360702.5176499998</c:v>
                </c:pt>
                <c:pt idx="479">
                  <c:v>1488758.8950999998</c:v>
                </c:pt>
                <c:pt idx="480">
                  <c:v>588777.89850000013</c:v>
                </c:pt>
                <c:pt idx="481">
                  <c:v>763795.78989999997</c:v>
                </c:pt>
                <c:pt idx="482">
                  <c:v>702185.81795000006</c:v>
                </c:pt>
                <c:pt idx="483">
                  <c:v>1343874.6926499999</c:v>
                </c:pt>
                <c:pt idx="484">
                  <c:v>1423838.4249</c:v>
                </c:pt>
                <c:pt idx="485">
                  <c:v>817658.6584999999</c:v>
                </c:pt>
                <c:pt idx="486">
                  <c:v>267533.7415</c:v>
                </c:pt>
                <c:pt idx="487">
                  <c:v>310376.70425000001</c:v>
                </c:pt>
                <c:pt idx="488">
                  <c:v>428186.42675000004</c:v>
                </c:pt>
                <c:pt idx="489">
                  <c:v>367703.01474999997</c:v>
                </c:pt>
                <c:pt idx="490">
                  <c:v>656194.67764999997</c:v>
                </c:pt>
                <c:pt idx="491">
                  <c:v>673608.12010000006</c:v>
                </c:pt>
                <c:pt idx="492">
                  <c:v>1360341.4275500001</c:v>
                </c:pt>
                <c:pt idx="493">
                  <c:v>1638065.6856500003</c:v>
                </c:pt>
                <c:pt idx="494">
                  <c:v>1407842.8249000001</c:v>
                </c:pt>
                <c:pt idx="495">
                  <c:v>734297.05995000014</c:v>
                </c:pt>
                <c:pt idx="496">
                  <c:v>638866.07975000003</c:v>
                </c:pt>
                <c:pt idx="497">
                  <c:v>790543.11710000003</c:v>
                </c:pt>
                <c:pt idx="498">
                  <c:v>753071.27430000005</c:v>
                </c:pt>
                <c:pt idx="499">
                  <c:v>1754394.1641000002</c:v>
                </c:pt>
                <c:pt idx="500">
                  <c:v>1951164.8962000001</c:v>
                </c:pt>
                <c:pt idx="501">
                  <c:v>2942787.9313999997</c:v>
                </c:pt>
                <c:pt idx="502">
                  <c:v>3191482.0181</c:v>
                </c:pt>
                <c:pt idx="503">
                  <c:v>2845365.7031</c:v>
                </c:pt>
                <c:pt idx="504">
                  <c:v>2094531.5284000002</c:v>
                </c:pt>
                <c:pt idx="505">
                  <c:v>1401426.30755</c:v>
                </c:pt>
                <c:pt idx="506">
                  <c:v>627935.89685000002</c:v>
                </c:pt>
                <c:pt idx="507">
                  <c:v>290147.35020000004</c:v>
                </c:pt>
                <c:pt idx="508">
                  <c:v>230827.85245000001</c:v>
                </c:pt>
                <c:pt idx="509">
                  <c:v>516823.67105</c:v>
                </c:pt>
                <c:pt idx="510">
                  <c:v>686032.39590000012</c:v>
                </c:pt>
                <c:pt idx="511">
                  <c:v>602053.04890000005</c:v>
                </c:pt>
                <c:pt idx="512">
                  <c:v>479613.81325000006</c:v>
                </c:pt>
                <c:pt idx="513">
                  <c:v>507502.96665000007</c:v>
                </c:pt>
                <c:pt idx="514">
                  <c:v>443115.48230000003</c:v>
                </c:pt>
                <c:pt idx="515">
                  <c:v>288605.40495</c:v>
                </c:pt>
                <c:pt idx="516">
                  <c:v>130104.7935</c:v>
                </c:pt>
                <c:pt idx="517">
                  <c:v>238486.05475000004</c:v>
                </c:pt>
                <c:pt idx="518">
                  <c:v>692332.98790000007</c:v>
                </c:pt>
                <c:pt idx="519">
                  <c:v>1881461.5384500001</c:v>
                </c:pt>
                <c:pt idx="520">
                  <c:v>2774155.3391500004</c:v>
                </c:pt>
                <c:pt idx="521">
                  <c:v>2778068.0362999998</c:v>
                </c:pt>
                <c:pt idx="522">
                  <c:v>1663944.4288000001</c:v>
                </c:pt>
                <c:pt idx="523">
                  <c:v>699958.44670000009</c:v>
                </c:pt>
                <c:pt idx="524">
                  <c:v>715920.90090000001</c:v>
                </c:pt>
                <c:pt idx="525">
                  <c:v>894590.69670000009</c:v>
                </c:pt>
                <c:pt idx="526">
                  <c:v>783374.70970000001</c:v>
                </c:pt>
                <c:pt idx="527">
                  <c:v>1029926.5423</c:v>
                </c:pt>
                <c:pt idx="528">
                  <c:v>1728843.3857999998</c:v>
                </c:pt>
                <c:pt idx="529">
                  <c:v>2248204.8469000002</c:v>
                </c:pt>
                <c:pt idx="530">
                  <c:v>1875821.8572000002</c:v>
                </c:pt>
                <c:pt idx="531">
                  <c:v>915448.09655000013</c:v>
                </c:pt>
                <c:pt idx="532">
                  <c:v>869922.10710000014</c:v>
                </c:pt>
                <c:pt idx="533">
                  <c:v>1149607.30495</c:v>
                </c:pt>
                <c:pt idx="534">
                  <c:v>1155032.5409000001</c:v>
                </c:pt>
                <c:pt idx="535">
                  <c:v>680059.48390000011</c:v>
                </c:pt>
                <c:pt idx="536">
                  <c:v>487995.23840000003</c:v>
                </c:pt>
                <c:pt idx="537">
                  <c:v>419166.50550000003</c:v>
                </c:pt>
                <c:pt idx="538">
                  <c:v>473384.2806</c:v>
                </c:pt>
                <c:pt idx="539">
                  <c:v>1362223.5042000001</c:v>
                </c:pt>
                <c:pt idx="540">
                  <c:v>1519689.94355</c:v>
                </c:pt>
                <c:pt idx="541">
                  <c:v>971916.31275000004</c:v>
                </c:pt>
                <c:pt idx="542">
                  <c:v>703452.70170000009</c:v>
                </c:pt>
                <c:pt idx="543">
                  <c:v>1052104.5723000001</c:v>
                </c:pt>
                <c:pt idx="544">
                  <c:v>1210312.9892000002</c:v>
                </c:pt>
                <c:pt idx="545">
                  <c:v>1123537.297</c:v>
                </c:pt>
                <c:pt idx="546">
                  <c:v>967801.31270000013</c:v>
                </c:pt>
                <c:pt idx="547">
                  <c:v>1881339.5919999999</c:v>
                </c:pt>
                <c:pt idx="548">
                  <c:v>2380264.1386500001</c:v>
                </c:pt>
                <c:pt idx="549">
                  <c:v>2031050.13745</c:v>
                </c:pt>
                <c:pt idx="550">
                  <c:v>1725404.3608000001</c:v>
                </c:pt>
                <c:pt idx="551">
                  <c:v>1783698.9819500002</c:v>
                </c:pt>
                <c:pt idx="552">
                  <c:v>1199306.24095</c:v>
                </c:pt>
                <c:pt idx="553">
                  <c:v>454205.87185</c:v>
                </c:pt>
                <c:pt idx="554">
                  <c:v>225471.74285000001</c:v>
                </c:pt>
                <c:pt idx="555">
                  <c:v>353949.8505</c:v>
                </c:pt>
                <c:pt idx="556">
                  <c:v>661371.76750000007</c:v>
                </c:pt>
                <c:pt idx="557">
                  <c:v>1343982.7459</c:v>
                </c:pt>
                <c:pt idx="558">
                  <c:v>1459756.4427999998</c:v>
                </c:pt>
                <c:pt idx="559">
                  <c:v>2769870.0170999998</c:v>
                </c:pt>
                <c:pt idx="560">
                  <c:v>3059104.9741000002</c:v>
                </c:pt>
                <c:pt idx="561">
                  <c:v>2258771.5011</c:v>
                </c:pt>
                <c:pt idx="562">
                  <c:v>1395747.5290000001</c:v>
                </c:pt>
                <c:pt idx="563">
                  <c:v>1789045.1483</c:v>
                </c:pt>
                <c:pt idx="564">
                  <c:v>1840361.4941000002</c:v>
                </c:pt>
                <c:pt idx="565">
                  <c:v>1172294.85935</c:v>
                </c:pt>
                <c:pt idx="566">
                  <c:v>606342.61275000009</c:v>
                </c:pt>
                <c:pt idx="567">
                  <c:v>1303657.2610000002</c:v>
                </c:pt>
                <c:pt idx="568">
                  <c:v>1536756.69325</c:v>
                </c:pt>
                <c:pt idx="569">
                  <c:v>1195431.8305500001</c:v>
                </c:pt>
                <c:pt idx="570">
                  <c:v>738333.08145000017</c:v>
                </c:pt>
                <c:pt idx="571">
                  <c:v>417800.02840000007</c:v>
                </c:pt>
                <c:pt idx="572">
                  <c:v>1439924.7259000002</c:v>
                </c:pt>
                <c:pt idx="573">
                  <c:v>2402090.6304500001</c:v>
                </c:pt>
                <c:pt idx="574">
                  <c:v>2627221.5603999998</c:v>
                </c:pt>
                <c:pt idx="575">
                  <c:v>3537120.5042500002</c:v>
                </c:pt>
                <c:pt idx="576">
                  <c:v>3356860.01425</c:v>
                </c:pt>
                <c:pt idx="577">
                  <c:v>1754584.7055000002</c:v>
                </c:pt>
                <c:pt idx="578">
                  <c:v>1400418.2656</c:v>
                </c:pt>
                <c:pt idx="579">
                  <c:v>2415819.2517499998</c:v>
                </c:pt>
                <c:pt idx="580">
                  <c:v>2219222.0749500003</c:v>
                </c:pt>
                <c:pt idx="581">
                  <c:v>2051190.7768999999</c:v>
                </c:pt>
                <c:pt idx="582">
                  <c:v>1997824.1767000004</c:v>
                </c:pt>
                <c:pt idx="583">
                  <c:v>1386998.0328500001</c:v>
                </c:pt>
                <c:pt idx="584">
                  <c:v>667317.73065000004</c:v>
                </c:pt>
                <c:pt idx="585">
                  <c:v>532578.55610000005</c:v>
                </c:pt>
                <c:pt idx="586">
                  <c:v>642588.64410000015</c:v>
                </c:pt>
                <c:pt idx="587">
                  <c:v>494830.06140000001</c:v>
                </c:pt>
                <c:pt idx="588">
                  <c:v>511607.33380000002</c:v>
                </c:pt>
                <c:pt idx="589">
                  <c:v>1470839.9271000002</c:v>
                </c:pt>
                <c:pt idx="590">
                  <c:v>2428798.6693000002</c:v>
                </c:pt>
                <c:pt idx="591">
                  <c:v>3334285.9583000001</c:v>
                </c:pt>
                <c:pt idx="592">
                  <c:v>2844154.3435</c:v>
                </c:pt>
                <c:pt idx="593">
                  <c:v>2124453.8418000001</c:v>
                </c:pt>
                <c:pt idx="594">
                  <c:v>2019679.2027999999</c:v>
                </c:pt>
                <c:pt idx="595">
                  <c:v>2338833.7475000001</c:v>
                </c:pt>
                <c:pt idx="596">
                  <c:v>1812771.7033000002</c:v>
                </c:pt>
                <c:pt idx="597">
                  <c:v>1457175.3766500002</c:v>
                </c:pt>
                <c:pt idx="598">
                  <c:v>1068713.58635</c:v>
                </c:pt>
                <c:pt idx="599">
                  <c:v>2361497.8119000001</c:v>
                </c:pt>
                <c:pt idx="600">
                  <c:v>3061514.6357000005</c:v>
                </c:pt>
                <c:pt idx="601">
                  <c:v>2290122.1176</c:v>
                </c:pt>
                <c:pt idx="602">
                  <c:v>955874.30894999998</c:v>
                </c:pt>
                <c:pt idx="603">
                  <c:v>648711.35865000007</c:v>
                </c:pt>
                <c:pt idx="604">
                  <c:v>578161.37670000002</c:v>
                </c:pt>
                <c:pt idx="605">
                  <c:v>901629.59509999992</c:v>
                </c:pt>
                <c:pt idx="606">
                  <c:v>809920.0344</c:v>
                </c:pt>
                <c:pt idx="607">
                  <c:v>514651.17839999998</c:v>
                </c:pt>
                <c:pt idx="608">
                  <c:v>468024.02929999999</c:v>
                </c:pt>
                <c:pt idx="609">
                  <c:v>1902711.8242500001</c:v>
                </c:pt>
                <c:pt idx="610">
                  <c:v>3267430.4307500003</c:v>
                </c:pt>
                <c:pt idx="611">
                  <c:v>2595134.2764500002</c:v>
                </c:pt>
                <c:pt idx="612">
                  <c:v>1871853.91475</c:v>
                </c:pt>
                <c:pt idx="613">
                  <c:v>1890428.4169000001</c:v>
                </c:pt>
                <c:pt idx="614">
                  <c:v>1581507.8752000001</c:v>
                </c:pt>
                <c:pt idx="615">
                  <c:v>875804.53235000011</c:v>
                </c:pt>
                <c:pt idx="616">
                  <c:v>444477.02600000001</c:v>
                </c:pt>
                <c:pt idx="617">
                  <c:v>967004.60914999992</c:v>
                </c:pt>
                <c:pt idx="618">
                  <c:v>1703832.9304999998</c:v>
                </c:pt>
                <c:pt idx="619">
                  <c:v>1553399.9950000001</c:v>
                </c:pt>
                <c:pt idx="620">
                  <c:v>1485324.0214</c:v>
                </c:pt>
                <c:pt idx="621">
                  <c:v>2192086.8071999997</c:v>
                </c:pt>
                <c:pt idx="622">
                  <c:v>3775210.9471500004</c:v>
                </c:pt>
                <c:pt idx="623">
                  <c:v>3233704.2573500006</c:v>
                </c:pt>
                <c:pt idx="624">
                  <c:v>1624630.8546000002</c:v>
                </c:pt>
                <c:pt idx="625">
                  <c:v>468262.38695000001</c:v>
                </c:pt>
                <c:pt idx="626">
                  <c:v>343120.59545000002</c:v>
                </c:pt>
                <c:pt idx="627">
                  <c:v>343820.53750000003</c:v>
                </c:pt>
                <c:pt idx="628">
                  <c:v>421614.52025000006</c:v>
                </c:pt>
                <c:pt idx="629">
                  <c:v>886384.89495000022</c:v>
                </c:pt>
                <c:pt idx="630">
                  <c:v>1211987.9051000001</c:v>
                </c:pt>
                <c:pt idx="631">
                  <c:v>1669676.5983</c:v>
                </c:pt>
                <c:pt idx="632">
                  <c:v>1326473.9575</c:v>
                </c:pt>
                <c:pt idx="633">
                  <c:v>2333086.1143</c:v>
                </c:pt>
                <c:pt idx="634">
                  <c:v>3754051.2591499998</c:v>
                </c:pt>
                <c:pt idx="635">
                  <c:v>4157024.6795000001</c:v>
                </c:pt>
                <c:pt idx="636">
                  <c:v>2497203.9294500002</c:v>
                </c:pt>
                <c:pt idx="637">
                  <c:v>1159227.3257500001</c:v>
                </c:pt>
                <c:pt idx="638">
                  <c:v>712001.87394999992</c:v>
                </c:pt>
                <c:pt idx="639">
                  <c:v>1407410.0636</c:v>
                </c:pt>
                <c:pt idx="640">
                  <c:v>1488186.5848000001</c:v>
                </c:pt>
                <c:pt idx="641">
                  <c:v>953715.4770500001</c:v>
                </c:pt>
                <c:pt idx="642">
                  <c:v>993355.84130000009</c:v>
                </c:pt>
                <c:pt idx="643">
                  <c:v>1129851.9230500001</c:v>
                </c:pt>
                <c:pt idx="644">
                  <c:v>1336725.949</c:v>
                </c:pt>
                <c:pt idx="645">
                  <c:v>1054841.24395</c:v>
                </c:pt>
                <c:pt idx="646">
                  <c:v>540283.81305</c:v>
                </c:pt>
                <c:pt idx="647">
                  <c:v>533815.6645500001</c:v>
                </c:pt>
                <c:pt idx="648">
                  <c:v>1883881.4821500003</c:v>
                </c:pt>
                <c:pt idx="649">
                  <c:v>2281637.1391000003</c:v>
                </c:pt>
                <c:pt idx="650">
                  <c:v>1545312.5456000001</c:v>
                </c:pt>
                <c:pt idx="651">
                  <c:v>684364.35829999996</c:v>
                </c:pt>
                <c:pt idx="652">
                  <c:v>2014170.1659500001</c:v>
                </c:pt>
                <c:pt idx="653">
                  <c:v>2963729.0355499997</c:v>
                </c:pt>
                <c:pt idx="654">
                  <c:v>3203177.3873999999</c:v>
                </c:pt>
                <c:pt idx="655">
                  <c:v>2110502.1085999999</c:v>
                </c:pt>
                <c:pt idx="656">
                  <c:v>1231936.2705000001</c:v>
                </c:pt>
                <c:pt idx="657">
                  <c:v>776019.51850000001</c:v>
                </c:pt>
                <c:pt idx="658">
                  <c:v>1187001.8360000001</c:v>
                </c:pt>
                <c:pt idx="659">
                  <c:v>1663022.8532</c:v>
                </c:pt>
                <c:pt idx="660">
                  <c:v>1563540.0336</c:v>
                </c:pt>
                <c:pt idx="661">
                  <c:v>1121262.3819000002</c:v>
                </c:pt>
                <c:pt idx="662">
                  <c:v>626461.05480000004</c:v>
                </c:pt>
                <c:pt idx="663">
                  <c:v>2366700.3530999999</c:v>
                </c:pt>
                <c:pt idx="664">
                  <c:v>3345656.6480999999</c:v>
                </c:pt>
                <c:pt idx="665">
                  <c:v>2254549.8657</c:v>
                </c:pt>
                <c:pt idx="666">
                  <c:v>1191694.1189999999</c:v>
                </c:pt>
                <c:pt idx="667">
                  <c:v>2272520.5219500004</c:v>
                </c:pt>
                <c:pt idx="668">
                  <c:v>4314706.2184000006</c:v>
                </c:pt>
                <c:pt idx="669">
                  <c:v>3905854.0876500001</c:v>
                </c:pt>
                <c:pt idx="670">
                  <c:v>3869972.2250000006</c:v>
                </c:pt>
                <c:pt idx="671">
                  <c:v>3240404.7025000001</c:v>
                </c:pt>
                <c:pt idx="672">
                  <c:v>1903397.8465</c:v>
                </c:pt>
                <c:pt idx="673">
                  <c:v>432675.57540000003</c:v>
                </c:pt>
                <c:pt idx="674">
                  <c:v>440256.4461</c:v>
                </c:pt>
                <c:pt idx="675">
                  <c:v>707475.92400000012</c:v>
                </c:pt>
                <c:pt idx="676">
                  <c:v>1448715.6753500002</c:v>
                </c:pt>
                <c:pt idx="677">
                  <c:v>1525969.8723500001</c:v>
                </c:pt>
                <c:pt idx="678">
                  <c:v>2242213.0842000004</c:v>
                </c:pt>
                <c:pt idx="679">
                  <c:v>2267431.2353000003</c:v>
                </c:pt>
                <c:pt idx="680">
                  <c:v>1425531.1348999999</c:v>
                </c:pt>
                <c:pt idx="681">
                  <c:v>396905.09870000003</c:v>
                </c:pt>
                <c:pt idx="682">
                  <c:v>1438860.1725499998</c:v>
                </c:pt>
                <c:pt idx="683">
                  <c:v>1875876.2245499999</c:v>
                </c:pt>
                <c:pt idx="684">
                  <c:v>1485413.1765000001</c:v>
                </c:pt>
                <c:pt idx="685">
                  <c:v>2374859.8846500004</c:v>
                </c:pt>
                <c:pt idx="686">
                  <c:v>4504017.0172500005</c:v>
                </c:pt>
                <c:pt idx="687">
                  <c:v>3734573.2974000005</c:v>
                </c:pt>
                <c:pt idx="688">
                  <c:v>1811225.2629000002</c:v>
                </c:pt>
                <c:pt idx="689">
                  <c:v>822066.35125000007</c:v>
                </c:pt>
                <c:pt idx="690">
                  <c:v>742063.70765</c:v>
                </c:pt>
                <c:pt idx="691">
                  <c:v>415037.00239999994</c:v>
                </c:pt>
                <c:pt idx="692">
                  <c:v>203773.9822</c:v>
                </c:pt>
                <c:pt idx="693">
                  <c:v>71068.392300000007</c:v>
                </c:pt>
                <c:pt idx="694">
                  <c:v>44506.574200000003</c:v>
                </c:pt>
                <c:pt idx="695">
                  <c:v>618469.92969999998</c:v>
                </c:pt>
                <c:pt idx="696">
                  <c:v>1178843.1842</c:v>
                </c:pt>
                <c:pt idx="697">
                  <c:v>1080074.7071</c:v>
                </c:pt>
                <c:pt idx="698">
                  <c:v>816427.9203</c:v>
                </c:pt>
                <c:pt idx="699">
                  <c:v>1036562.9836</c:v>
                </c:pt>
                <c:pt idx="700">
                  <c:v>1614730.4212000002</c:v>
                </c:pt>
                <c:pt idx="701">
                  <c:v>1952736.9646000003</c:v>
                </c:pt>
                <c:pt idx="702">
                  <c:v>1632459.6446</c:v>
                </c:pt>
                <c:pt idx="703">
                  <c:v>1152419.4275000002</c:v>
                </c:pt>
                <c:pt idx="704">
                  <c:v>1545975.9304000002</c:v>
                </c:pt>
                <c:pt idx="705">
                  <c:v>1418625.3295499999</c:v>
                </c:pt>
                <c:pt idx="706">
                  <c:v>1114249.3771500001</c:v>
                </c:pt>
                <c:pt idx="707">
                  <c:v>711071.86364999996</c:v>
                </c:pt>
                <c:pt idx="708">
                  <c:v>415595.39630000002</c:v>
                </c:pt>
                <c:pt idx="709">
                  <c:v>569031.07795000006</c:v>
                </c:pt>
                <c:pt idx="710">
                  <c:v>1866901.0946499999</c:v>
                </c:pt>
                <c:pt idx="711">
                  <c:v>1986731.5720499998</c:v>
                </c:pt>
                <c:pt idx="712">
                  <c:v>1573591.9722</c:v>
                </c:pt>
                <c:pt idx="713">
                  <c:v>967684.1666</c:v>
                </c:pt>
                <c:pt idx="714">
                  <c:v>872839.28520000004</c:v>
                </c:pt>
                <c:pt idx="715">
                  <c:v>578498.33919999993</c:v>
                </c:pt>
                <c:pt idx="716">
                  <c:v>624908.95620000002</c:v>
                </c:pt>
                <c:pt idx="717">
                  <c:v>1039742.0862</c:v>
                </c:pt>
                <c:pt idx="718">
                  <c:v>1049906.34785</c:v>
                </c:pt>
                <c:pt idx="719">
                  <c:v>1915526.0551500001</c:v>
                </c:pt>
                <c:pt idx="720">
                  <c:v>2695293.0444499999</c:v>
                </c:pt>
                <c:pt idx="721">
                  <c:v>2252007.2799499999</c:v>
                </c:pt>
                <c:pt idx="722">
                  <c:v>949787.14529999997</c:v>
                </c:pt>
                <c:pt idx="723">
                  <c:v>573670.745</c:v>
                </c:pt>
                <c:pt idx="724">
                  <c:v>462013.33990000002</c:v>
                </c:pt>
                <c:pt idx="725">
                  <c:v>344563.68000000005</c:v>
                </c:pt>
                <c:pt idx="726">
                  <c:v>517979.00840000005</c:v>
                </c:pt>
                <c:pt idx="727">
                  <c:v>689011.89440000011</c:v>
                </c:pt>
                <c:pt idx="728">
                  <c:v>640252.91560000007</c:v>
                </c:pt>
                <c:pt idx="729">
                  <c:v>516687.94520000007</c:v>
                </c:pt>
                <c:pt idx="730">
                  <c:v>559726.0904000001</c:v>
                </c:pt>
                <c:pt idx="731">
                  <c:v>1549607.8565500001</c:v>
                </c:pt>
                <c:pt idx="732">
                  <c:v>2296905.63075</c:v>
                </c:pt>
                <c:pt idx="733">
                  <c:v>1637223.4500000002</c:v>
                </c:pt>
                <c:pt idx="734">
                  <c:v>619053.12140000006</c:v>
                </c:pt>
                <c:pt idx="735">
                  <c:v>605459.58810000017</c:v>
                </c:pt>
                <c:pt idx="736">
                  <c:v>616839.91840000008</c:v>
                </c:pt>
                <c:pt idx="737">
                  <c:v>966139.75320000015</c:v>
                </c:pt>
                <c:pt idx="738">
                  <c:v>2652518.5866999999</c:v>
                </c:pt>
                <c:pt idx="739">
                  <c:v>2780728.6233000001</c:v>
                </c:pt>
                <c:pt idx="740">
                  <c:v>1479170.7920000001</c:v>
                </c:pt>
                <c:pt idx="741">
                  <c:v>613635.84030000004</c:v>
                </c:pt>
                <c:pt idx="742">
                  <c:v>2195515.0647999998</c:v>
                </c:pt>
                <c:pt idx="743">
                  <c:v>2457428.53315</c:v>
                </c:pt>
                <c:pt idx="744">
                  <c:v>1738082.1611500001</c:v>
                </c:pt>
                <c:pt idx="745">
                  <c:v>988934.28139999998</c:v>
                </c:pt>
                <c:pt idx="746">
                  <c:v>785715.4574999999</c:v>
                </c:pt>
                <c:pt idx="747">
                  <c:v>898597.21249999991</c:v>
                </c:pt>
                <c:pt idx="748">
                  <c:v>1223215.4990000001</c:v>
                </c:pt>
                <c:pt idx="749">
                  <c:v>890247.68625000003</c:v>
                </c:pt>
                <c:pt idx="750">
                  <c:v>398577.44515000004</c:v>
                </c:pt>
                <c:pt idx="751">
                  <c:v>372751.44980000006</c:v>
                </c:pt>
                <c:pt idx="752">
                  <c:v>715374.64770000021</c:v>
                </c:pt>
                <c:pt idx="753">
                  <c:v>1890404.2253</c:v>
                </c:pt>
                <c:pt idx="754">
                  <c:v>3071360.2847999996</c:v>
                </c:pt>
                <c:pt idx="755">
                  <c:v>4301078.71215</c:v>
                </c:pt>
                <c:pt idx="756">
                  <c:v>3397754.92925</c:v>
                </c:pt>
                <c:pt idx="757">
                  <c:v>1932332.6247</c:v>
                </c:pt>
                <c:pt idx="758">
                  <c:v>1055026.28055</c:v>
                </c:pt>
                <c:pt idx="759">
                  <c:v>882010.41714999988</c:v>
                </c:pt>
                <c:pt idx="760">
                  <c:v>1215320.8940500002</c:v>
                </c:pt>
                <c:pt idx="761">
                  <c:v>1317375.6165500002</c:v>
                </c:pt>
                <c:pt idx="762">
                  <c:v>754813.04560000007</c:v>
                </c:pt>
                <c:pt idx="763">
                  <c:v>1652345.4985</c:v>
                </c:pt>
                <c:pt idx="764">
                  <c:v>2868819.3662999999</c:v>
                </c:pt>
                <c:pt idx="765">
                  <c:v>2564228.9538000003</c:v>
                </c:pt>
                <c:pt idx="766">
                  <c:v>1174549.3435</c:v>
                </c:pt>
                <c:pt idx="767">
                  <c:v>417084.72590000002</c:v>
                </c:pt>
                <c:pt idx="768">
                  <c:v>329813.01160000003</c:v>
                </c:pt>
                <c:pt idx="769">
                  <c:v>347733.76319999999</c:v>
                </c:pt>
                <c:pt idx="770">
                  <c:v>275849.77864999999</c:v>
                </c:pt>
                <c:pt idx="771">
                  <c:v>250372.98315000001</c:v>
                </c:pt>
                <c:pt idx="772">
                  <c:v>253497.21040000001</c:v>
                </c:pt>
                <c:pt idx="773">
                  <c:v>250298.73300000004</c:v>
                </c:pt>
                <c:pt idx="774">
                  <c:v>1970374.7899500004</c:v>
                </c:pt>
                <c:pt idx="775">
                  <c:v>3210246.0906500001</c:v>
                </c:pt>
                <c:pt idx="776">
                  <c:v>3056788.6019000001</c:v>
                </c:pt>
                <c:pt idx="777">
                  <c:v>1925375.5766</c:v>
                </c:pt>
                <c:pt idx="778">
                  <c:v>2642554.1796500003</c:v>
                </c:pt>
                <c:pt idx="779">
                  <c:v>2970177.3258500001</c:v>
                </c:pt>
                <c:pt idx="780">
                  <c:v>2999211.1913999999</c:v>
                </c:pt>
                <c:pt idx="781">
                  <c:v>2103550.3450000002</c:v>
                </c:pt>
                <c:pt idx="782">
                  <c:v>1483375.1897999998</c:v>
                </c:pt>
                <c:pt idx="783">
                  <c:v>901470.69795000018</c:v>
                </c:pt>
                <c:pt idx="784">
                  <c:v>628641.68865000003</c:v>
                </c:pt>
                <c:pt idx="785">
                  <c:v>305347.49415000004</c:v>
                </c:pt>
                <c:pt idx="786">
                  <c:v>444238.33525000006</c:v>
                </c:pt>
                <c:pt idx="787">
                  <c:v>800433.16070000001</c:v>
                </c:pt>
                <c:pt idx="788">
                  <c:v>1094138.4294</c:v>
                </c:pt>
                <c:pt idx="789">
                  <c:v>834317.29640000011</c:v>
                </c:pt>
                <c:pt idx="790">
                  <c:v>405222.47395000001</c:v>
                </c:pt>
                <c:pt idx="791">
                  <c:v>217351.05725000001</c:v>
                </c:pt>
                <c:pt idx="792">
                  <c:v>378388.04510000005</c:v>
                </c:pt>
                <c:pt idx="793">
                  <c:v>473818.57595000003</c:v>
                </c:pt>
                <c:pt idx="794">
                  <c:v>1891677.8189500002</c:v>
                </c:pt>
                <c:pt idx="795">
                  <c:v>2294074.8342499998</c:v>
                </c:pt>
                <c:pt idx="796">
                  <c:v>1242571.0618499999</c:v>
                </c:pt>
                <c:pt idx="797">
                  <c:v>761440.53780000005</c:v>
                </c:pt>
                <c:pt idx="798">
                  <c:v>2070498.0784000002</c:v>
                </c:pt>
                <c:pt idx="799">
                  <c:v>2053200.5091000001</c:v>
                </c:pt>
                <c:pt idx="800">
                  <c:v>856439.23860000004</c:v>
                </c:pt>
                <c:pt idx="801">
                  <c:v>1253801.9015500001</c:v>
                </c:pt>
                <c:pt idx="802">
                  <c:v>2493244.8192999996</c:v>
                </c:pt>
                <c:pt idx="803">
                  <c:v>1975926.16285</c:v>
                </c:pt>
                <c:pt idx="804">
                  <c:v>778614.73119999992</c:v>
                </c:pt>
                <c:pt idx="805">
                  <c:v>288952.59525000001</c:v>
                </c:pt>
                <c:pt idx="806">
                  <c:v>2125633.4488500003</c:v>
                </c:pt>
                <c:pt idx="807">
                  <c:v>3037188.3366000005</c:v>
                </c:pt>
                <c:pt idx="808">
                  <c:v>1904402.9788500001</c:v>
                </c:pt>
                <c:pt idx="809">
                  <c:v>386857.12335000007</c:v>
                </c:pt>
                <c:pt idx="810">
                  <c:v>318934.21145000006</c:v>
                </c:pt>
                <c:pt idx="811">
                  <c:v>578125.0486000001</c:v>
                </c:pt>
                <c:pt idx="812">
                  <c:v>486396.07345000003</c:v>
                </c:pt>
                <c:pt idx="813">
                  <c:v>419281.07550000004</c:v>
                </c:pt>
                <c:pt idx="814">
                  <c:v>1615899.3808500001</c:v>
                </c:pt>
                <c:pt idx="815">
                  <c:v>2927673.7278999998</c:v>
                </c:pt>
                <c:pt idx="816">
                  <c:v>4135767.5453000003</c:v>
                </c:pt>
                <c:pt idx="817">
                  <c:v>3275462.9749500006</c:v>
                </c:pt>
                <c:pt idx="818">
                  <c:v>1351361.9378</c:v>
                </c:pt>
                <c:pt idx="819">
                  <c:v>73614.928100000005</c:v>
                </c:pt>
                <c:pt idx="820">
                  <c:v>373040.4084999999</c:v>
                </c:pt>
                <c:pt idx="821">
                  <c:v>2362607.7492499999</c:v>
                </c:pt>
                <c:pt idx="822">
                  <c:v>2807548.6566500003</c:v>
                </c:pt>
                <c:pt idx="823">
                  <c:v>2163128.6467500003</c:v>
                </c:pt>
                <c:pt idx="824">
                  <c:v>1599341.5040499999</c:v>
                </c:pt>
                <c:pt idx="825">
                  <c:v>1449147.1253</c:v>
                </c:pt>
                <c:pt idx="826">
                  <c:v>714118.93504999997</c:v>
                </c:pt>
                <c:pt idx="827">
                  <c:v>721669.51915000007</c:v>
                </c:pt>
                <c:pt idx="828">
                  <c:v>689855.19905000005</c:v>
                </c:pt>
                <c:pt idx="829">
                  <c:v>458509.53155000001</c:v>
                </c:pt>
                <c:pt idx="830">
                  <c:v>788872.29050000012</c:v>
                </c:pt>
                <c:pt idx="831">
                  <c:v>1186020.824</c:v>
                </c:pt>
                <c:pt idx="832">
                  <c:v>798375.01485000004</c:v>
                </c:pt>
                <c:pt idx="833">
                  <c:v>572705.98454999994</c:v>
                </c:pt>
                <c:pt idx="834">
                  <c:v>1638255.1635499999</c:v>
                </c:pt>
                <c:pt idx="835">
                  <c:v>2228582.6979499999</c:v>
                </c:pt>
                <c:pt idx="836">
                  <c:v>2008847.3769999999</c:v>
                </c:pt>
                <c:pt idx="837">
                  <c:v>1210760.9811</c:v>
                </c:pt>
                <c:pt idx="838">
                  <c:v>559525.26340000005</c:v>
                </c:pt>
                <c:pt idx="839">
                  <c:v>353728.98865000007</c:v>
                </c:pt>
                <c:pt idx="840">
                  <c:v>864125.51475000021</c:v>
                </c:pt>
                <c:pt idx="841">
                  <c:v>861134.29865000013</c:v>
                </c:pt>
                <c:pt idx="842">
                  <c:v>543856.56869999995</c:v>
                </c:pt>
                <c:pt idx="843">
                  <c:v>276431.24109999998</c:v>
                </c:pt>
                <c:pt idx="844">
                  <c:v>599171.62755000009</c:v>
                </c:pt>
                <c:pt idx="845">
                  <c:v>689715.45700000005</c:v>
                </c:pt>
                <c:pt idx="846">
                  <c:v>525387.57880000002</c:v>
                </c:pt>
                <c:pt idx="847">
                  <c:v>993001.8112</c:v>
                </c:pt>
                <c:pt idx="848">
                  <c:v>1562571.3964</c:v>
                </c:pt>
                <c:pt idx="849">
                  <c:v>1115313.1266000001</c:v>
                </c:pt>
                <c:pt idx="850">
                  <c:v>1217008.4318500003</c:v>
                </c:pt>
                <c:pt idx="851">
                  <c:v>1323815.2085500003</c:v>
                </c:pt>
                <c:pt idx="852">
                  <c:v>1908702.0938000001</c:v>
                </c:pt>
                <c:pt idx="853">
                  <c:v>1824802.3704000001</c:v>
                </c:pt>
                <c:pt idx="854">
                  <c:v>1736439.9931999999</c:v>
                </c:pt>
                <c:pt idx="855">
                  <c:v>1115037.26495</c:v>
                </c:pt>
                <c:pt idx="856">
                  <c:v>641234.61300000001</c:v>
                </c:pt>
                <c:pt idx="857">
                  <c:v>331268.08570000005</c:v>
                </c:pt>
                <c:pt idx="858">
                  <c:v>437573.00660000002</c:v>
                </c:pt>
                <c:pt idx="859">
                  <c:v>419379.73420000006</c:v>
                </c:pt>
                <c:pt idx="860">
                  <c:v>440890.63135000004</c:v>
                </c:pt>
                <c:pt idx="861">
                  <c:v>351801.0272500001</c:v>
                </c:pt>
                <c:pt idx="862">
                  <c:v>1786483.2274000002</c:v>
                </c:pt>
                <c:pt idx="863">
                  <c:v>2204294.2859</c:v>
                </c:pt>
                <c:pt idx="864">
                  <c:v>1993266.33495</c:v>
                </c:pt>
                <c:pt idx="865">
                  <c:v>1347352.4084000001</c:v>
                </c:pt>
                <c:pt idx="866">
                  <c:v>988890.52020000003</c:v>
                </c:pt>
                <c:pt idx="867">
                  <c:v>636669.15370000002</c:v>
                </c:pt>
                <c:pt idx="868">
                  <c:v>617026.10589999997</c:v>
                </c:pt>
                <c:pt idx="869">
                  <c:v>805912.46519999998</c:v>
                </c:pt>
                <c:pt idx="870">
                  <c:v>864467.95840000012</c:v>
                </c:pt>
                <c:pt idx="871">
                  <c:v>1518288.6145500001</c:v>
                </c:pt>
                <c:pt idx="872">
                  <c:v>1856413.0998500001</c:v>
                </c:pt>
                <c:pt idx="873">
                  <c:v>1644590.8142500003</c:v>
                </c:pt>
                <c:pt idx="874">
                  <c:v>1592514.4189500003</c:v>
                </c:pt>
                <c:pt idx="875">
                  <c:v>2240156.2113000001</c:v>
                </c:pt>
                <c:pt idx="876">
                  <c:v>3230146.2774000005</c:v>
                </c:pt>
                <c:pt idx="877">
                  <c:v>4672538.1412500013</c:v>
                </c:pt>
                <c:pt idx="878">
                  <c:v>4071618.5919500007</c:v>
                </c:pt>
                <c:pt idx="879">
                  <c:v>2055370.9691500003</c:v>
                </c:pt>
                <c:pt idx="880">
                  <c:v>547557.20635000011</c:v>
                </c:pt>
                <c:pt idx="881">
                  <c:v>388914.85590000008</c:v>
                </c:pt>
                <c:pt idx="882">
                  <c:v>929308.82295000006</c:v>
                </c:pt>
                <c:pt idx="883">
                  <c:v>1473650.7563499997</c:v>
                </c:pt>
                <c:pt idx="884">
                  <c:v>1525317.6523499999</c:v>
                </c:pt>
                <c:pt idx="885">
                  <c:v>963517.06174999999</c:v>
                </c:pt>
                <c:pt idx="886">
                  <c:v>568258.02220000001</c:v>
                </c:pt>
                <c:pt idx="887">
                  <c:v>618268.94030000002</c:v>
                </c:pt>
                <c:pt idx="888">
                  <c:v>2737325.5749500003</c:v>
                </c:pt>
                <c:pt idx="889">
                  <c:v>3238786.7805499998</c:v>
                </c:pt>
                <c:pt idx="890">
                  <c:v>1752419.3662500002</c:v>
                </c:pt>
                <c:pt idx="891">
                  <c:v>336208.77525000006</c:v>
                </c:pt>
                <c:pt idx="892">
                  <c:v>461364.92410000006</c:v>
                </c:pt>
                <c:pt idx="893">
                  <c:v>1135786.4969999997</c:v>
                </c:pt>
                <c:pt idx="894">
                  <c:v>1681833.5323000001</c:v>
                </c:pt>
                <c:pt idx="895">
                  <c:v>1832416.7424999999</c:v>
                </c:pt>
                <c:pt idx="896">
                  <c:v>1299971.2282999998</c:v>
                </c:pt>
                <c:pt idx="897">
                  <c:v>2214305.9922500006</c:v>
                </c:pt>
                <c:pt idx="898">
                  <c:v>3514009.4311500001</c:v>
                </c:pt>
                <c:pt idx="899">
                  <c:v>2749130.3409000002</c:v>
                </c:pt>
                <c:pt idx="900">
                  <c:v>2304677.0805000002</c:v>
                </c:pt>
                <c:pt idx="901">
                  <c:v>2042971.8789000004</c:v>
                </c:pt>
                <c:pt idx="902">
                  <c:v>2508172.6443000003</c:v>
                </c:pt>
                <c:pt idx="903">
                  <c:v>2501770.6285000006</c:v>
                </c:pt>
                <c:pt idx="904">
                  <c:v>1862398.5365000002</c:v>
                </c:pt>
                <c:pt idx="905">
                  <c:v>958813.77910000016</c:v>
                </c:pt>
                <c:pt idx="906">
                  <c:v>1054087.8502</c:v>
                </c:pt>
                <c:pt idx="907">
                  <c:v>2150642.2367499997</c:v>
                </c:pt>
                <c:pt idx="908">
                  <c:v>2271609.6290999996</c:v>
                </c:pt>
                <c:pt idx="909">
                  <c:v>1345830.8338500001</c:v>
                </c:pt>
                <c:pt idx="910">
                  <c:v>524081.31055000005</c:v>
                </c:pt>
                <c:pt idx="911">
                  <c:v>978178.27370000002</c:v>
                </c:pt>
                <c:pt idx="912">
                  <c:v>1226783.53865</c:v>
                </c:pt>
                <c:pt idx="913">
                  <c:v>849382.31799999997</c:v>
                </c:pt>
                <c:pt idx="914">
                  <c:v>566133.95210000011</c:v>
                </c:pt>
                <c:pt idx="915">
                  <c:v>2317155.6527</c:v>
                </c:pt>
                <c:pt idx="916">
                  <c:v>2856585.0065000001</c:v>
                </c:pt>
                <c:pt idx="917">
                  <c:v>1972648.6846</c:v>
                </c:pt>
                <c:pt idx="918">
                  <c:v>1036060.5380999999</c:v>
                </c:pt>
                <c:pt idx="919">
                  <c:v>951855.16430000006</c:v>
                </c:pt>
                <c:pt idx="920">
                  <c:v>560767.21935000003</c:v>
                </c:pt>
                <c:pt idx="921">
                  <c:v>415427.92835</c:v>
                </c:pt>
                <c:pt idx="922">
                  <c:v>407024.43815</c:v>
                </c:pt>
                <c:pt idx="923">
                  <c:v>498971.80480000004</c:v>
                </c:pt>
                <c:pt idx="924">
                  <c:v>511542.39580000006</c:v>
                </c:pt>
                <c:pt idx="925">
                  <c:v>793098.02225000004</c:v>
                </c:pt>
                <c:pt idx="926">
                  <c:v>1174962.1799000001</c:v>
                </c:pt>
                <c:pt idx="927">
                  <c:v>1008815.2609999999</c:v>
                </c:pt>
                <c:pt idx="928">
                  <c:v>447709.01070000004</c:v>
                </c:pt>
                <c:pt idx="929">
                  <c:v>227243.91015000001</c:v>
                </c:pt>
                <c:pt idx="930">
                  <c:v>395856.91664999997</c:v>
                </c:pt>
                <c:pt idx="931">
                  <c:v>403013.45854999998</c:v>
                </c:pt>
                <c:pt idx="932">
                  <c:v>204814.18315</c:v>
                </c:pt>
                <c:pt idx="933">
                  <c:v>1453714.6517</c:v>
                </c:pt>
                <c:pt idx="934">
                  <c:v>2033426.3449000001</c:v>
                </c:pt>
                <c:pt idx="935">
                  <c:v>2017744.32525</c:v>
                </c:pt>
                <c:pt idx="936">
                  <c:v>1726282.43405</c:v>
                </c:pt>
                <c:pt idx="937">
                  <c:v>1402079.1186000002</c:v>
                </c:pt>
                <c:pt idx="938">
                  <c:v>742179.11660000007</c:v>
                </c:pt>
                <c:pt idx="939">
                  <c:v>992732.69460000005</c:v>
                </c:pt>
                <c:pt idx="940">
                  <c:v>977734.51125000021</c:v>
                </c:pt>
                <c:pt idx="941">
                  <c:v>905389.23435000004</c:v>
                </c:pt>
                <c:pt idx="942">
                  <c:v>620736.79110000003</c:v>
                </c:pt>
                <c:pt idx="943">
                  <c:v>540703.0845</c:v>
                </c:pt>
                <c:pt idx="944">
                  <c:v>321547.17950000003</c:v>
                </c:pt>
                <c:pt idx="945">
                  <c:v>267840.29620000004</c:v>
                </c:pt>
                <c:pt idx="946">
                  <c:v>264420.85020000004</c:v>
                </c:pt>
                <c:pt idx="947">
                  <c:v>732321.55170000007</c:v>
                </c:pt>
                <c:pt idx="948">
                  <c:v>853322.81420000014</c:v>
                </c:pt>
                <c:pt idx="949">
                  <c:v>701751.79940000002</c:v>
                </c:pt>
                <c:pt idx="950">
                  <c:v>1341550.8961499999</c:v>
                </c:pt>
                <c:pt idx="951">
                  <c:v>1516309.6275500001</c:v>
                </c:pt>
                <c:pt idx="952">
                  <c:v>947832.98665000009</c:v>
                </c:pt>
                <c:pt idx="953">
                  <c:v>1140711.2035000001</c:v>
                </c:pt>
                <c:pt idx="954">
                  <c:v>1480640.29235</c:v>
                </c:pt>
                <c:pt idx="955">
                  <c:v>2009868.7322</c:v>
                </c:pt>
                <c:pt idx="956">
                  <c:v>1752045.3239000002</c:v>
                </c:pt>
                <c:pt idx="957">
                  <c:v>1249859.7852</c:v>
                </c:pt>
                <c:pt idx="958">
                  <c:v>911887.48334999999</c:v>
                </c:pt>
                <c:pt idx="959">
                  <c:v>789724.13615000003</c:v>
                </c:pt>
                <c:pt idx="960">
                  <c:v>2556629.0278000003</c:v>
                </c:pt>
                <c:pt idx="961">
                  <c:v>3310552.7530999999</c:v>
                </c:pt>
                <c:pt idx="962">
                  <c:v>1952119.6225000001</c:v>
                </c:pt>
                <c:pt idx="963">
                  <c:v>1122189.1492000001</c:v>
                </c:pt>
                <c:pt idx="964">
                  <c:v>1243031.6676</c:v>
                </c:pt>
                <c:pt idx="965">
                  <c:v>871957.5793000001</c:v>
                </c:pt>
                <c:pt idx="966">
                  <c:v>1149030.7411</c:v>
                </c:pt>
                <c:pt idx="967">
                  <c:v>1415949.8344000001</c:v>
                </c:pt>
                <c:pt idx="968">
                  <c:v>838460.63779999991</c:v>
                </c:pt>
                <c:pt idx="969">
                  <c:v>1067519.3770000001</c:v>
                </c:pt>
                <c:pt idx="970">
                  <c:v>2559604.6079499996</c:v>
                </c:pt>
                <c:pt idx="971">
                  <c:v>2410341.6381000001</c:v>
                </c:pt>
                <c:pt idx="972">
                  <c:v>1038607.76815</c:v>
                </c:pt>
                <c:pt idx="973">
                  <c:v>2059728.1016500001</c:v>
                </c:pt>
                <c:pt idx="974">
                  <c:v>4631446.5385000007</c:v>
                </c:pt>
                <c:pt idx="975">
                  <c:v>3970824.3846500004</c:v>
                </c:pt>
                <c:pt idx="976">
                  <c:v>2207149.3166</c:v>
                </c:pt>
                <c:pt idx="977">
                  <c:v>2070321.8295000002</c:v>
                </c:pt>
                <c:pt idx="978">
                  <c:v>1812000.1985000002</c:v>
                </c:pt>
                <c:pt idx="979">
                  <c:v>772839.69555000006</c:v>
                </c:pt>
                <c:pt idx="980">
                  <c:v>327851.00375000003</c:v>
                </c:pt>
                <c:pt idx="981">
                  <c:v>1424542.6819000002</c:v>
                </c:pt>
                <c:pt idx="982">
                  <c:v>1857728.2470000002</c:v>
                </c:pt>
                <c:pt idx="983">
                  <c:v>1439280.9542</c:v>
                </c:pt>
                <c:pt idx="984">
                  <c:v>733464.84360000002</c:v>
                </c:pt>
                <c:pt idx="985">
                  <c:v>363778.06190000003</c:v>
                </c:pt>
                <c:pt idx="986">
                  <c:v>452663.46039999998</c:v>
                </c:pt>
                <c:pt idx="987">
                  <c:v>1944002.2625000004</c:v>
                </c:pt>
                <c:pt idx="988">
                  <c:v>2557681.5385000007</c:v>
                </c:pt>
                <c:pt idx="989">
                  <c:v>1575472.5975000001</c:v>
                </c:pt>
                <c:pt idx="990">
                  <c:v>410901.97870000009</c:v>
                </c:pt>
                <c:pt idx="991">
                  <c:v>950313.62089999998</c:v>
                </c:pt>
                <c:pt idx="992">
                  <c:v>1163247.9906500001</c:v>
                </c:pt>
                <c:pt idx="993">
                  <c:v>710015.87400000007</c:v>
                </c:pt>
                <c:pt idx="994">
                  <c:v>201637.31095000001</c:v>
                </c:pt>
                <c:pt idx="995">
                  <c:v>133511.25525000002</c:v>
                </c:pt>
                <c:pt idx="996">
                  <c:v>249383.49965000001</c:v>
                </c:pt>
              </c:numCache>
            </c:numRef>
          </c:val>
          <c:smooth val="0"/>
          <c:extLst>
            <c:ext xmlns:c16="http://schemas.microsoft.com/office/drawing/2014/chart" uri="{C3380CC4-5D6E-409C-BE32-E72D297353CC}">
              <c16:uniqueId val="{00000004-C15B-4A71-A86F-119068FB3A6B}"/>
            </c:ext>
          </c:extLst>
        </c:ser>
        <c:ser>
          <c:idx val="5"/>
          <c:order val="5"/>
          <c:spPr>
            <a:ln w="34925" cap="rnd">
              <a:solidFill>
                <a:schemeClr val="accent6"/>
              </a:solidFill>
              <a:round/>
            </a:ln>
            <a:effectLst>
              <a:outerShdw blurRad="57150" dist="19050" dir="5400000" algn="ctr" rotWithShape="0">
                <a:srgbClr val="000000">
                  <a:alpha val="63000"/>
                </a:srgbClr>
              </a:outerShdw>
            </a:effectLst>
          </c:spPr>
          <c:marker>
            <c:symbol val="none"/>
          </c:marker>
          <c:val>
            <c:numRef>
              <c:f>'Medias Moviles'!$B$1:$B$1001</c:f>
              <c:numCache>
                <c:formatCode>General</c:formatCode>
                <c:ptCount val="10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pt idx="601">
                  <c:v>601</c:v>
                </c:pt>
                <c:pt idx="602">
                  <c:v>602</c:v>
                </c:pt>
                <c:pt idx="603">
                  <c:v>603</c:v>
                </c:pt>
                <c:pt idx="604">
                  <c:v>604</c:v>
                </c:pt>
                <c:pt idx="605">
                  <c:v>605</c:v>
                </c:pt>
                <c:pt idx="606">
                  <c:v>606</c:v>
                </c:pt>
                <c:pt idx="607">
                  <c:v>607</c:v>
                </c:pt>
                <c:pt idx="608">
                  <c:v>608</c:v>
                </c:pt>
                <c:pt idx="609">
                  <c:v>609</c:v>
                </c:pt>
                <c:pt idx="610">
                  <c:v>610</c:v>
                </c:pt>
                <c:pt idx="611">
                  <c:v>611</c:v>
                </c:pt>
                <c:pt idx="612">
                  <c:v>612</c:v>
                </c:pt>
                <c:pt idx="613">
                  <c:v>613</c:v>
                </c:pt>
                <c:pt idx="614">
                  <c:v>614</c:v>
                </c:pt>
                <c:pt idx="615">
                  <c:v>615</c:v>
                </c:pt>
                <c:pt idx="616">
                  <c:v>616</c:v>
                </c:pt>
                <c:pt idx="617">
                  <c:v>617</c:v>
                </c:pt>
                <c:pt idx="618">
                  <c:v>618</c:v>
                </c:pt>
                <c:pt idx="619">
                  <c:v>619</c:v>
                </c:pt>
                <c:pt idx="620">
                  <c:v>620</c:v>
                </c:pt>
                <c:pt idx="621">
                  <c:v>621</c:v>
                </c:pt>
                <c:pt idx="622">
                  <c:v>622</c:v>
                </c:pt>
                <c:pt idx="623">
                  <c:v>623</c:v>
                </c:pt>
                <c:pt idx="624">
                  <c:v>624</c:v>
                </c:pt>
                <c:pt idx="625">
                  <c:v>625</c:v>
                </c:pt>
                <c:pt idx="626">
                  <c:v>626</c:v>
                </c:pt>
                <c:pt idx="627">
                  <c:v>627</c:v>
                </c:pt>
                <c:pt idx="628">
                  <c:v>628</c:v>
                </c:pt>
                <c:pt idx="629">
                  <c:v>629</c:v>
                </c:pt>
                <c:pt idx="630">
                  <c:v>630</c:v>
                </c:pt>
                <c:pt idx="631">
                  <c:v>631</c:v>
                </c:pt>
                <c:pt idx="632">
                  <c:v>632</c:v>
                </c:pt>
                <c:pt idx="633">
                  <c:v>633</c:v>
                </c:pt>
                <c:pt idx="634">
                  <c:v>634</c:v>
                </c:pt>
                <c:pt idx="635">
                  <c:v>635</c:v>
                </c:pt>
                <c:pt idx="636">
                  <c:v>636</c:v>
                </c:pt>
                <c:pt idx="637">
                  <c:v>637</c:v>
                </c:pt>
                <c:pt idx="638">
                  <c:v>638</c:v>
                </c:pt>
                <c:pt idx="639">
                  <c:v>639</c:v>
                </c:pt>
                <c:pt idx="640">
                  <c:v>640</c:v>
                </c:pt>
                <c:pt idx="641">
                  <c:v>641</c:v>
                </c:pt>
                <c:pt idx="642">
                  <c:v>642</c:v>
                </c:pt>
                <c:pt idx="643">
                  <c:v>643</c:v>
                </c:pt>
                <c:pt idx="644">
                  <c:v>644</c:v>
                </c:pt>
                <c:pt idx="645">
                  <c:v>645</c:v>
                </c:pt>
                <c:pt idx="646">
                  <c:v>646</c:v>
                </c:pt>
                <c:pt idx="647">
                  <c:v>647</c:v>
                </c:pt>
                <c:pt idx="648">
                  <c:v>648</c:v>
                </c:pt>
                <c:pt idx="649">
                  <c:v>649</c:v>
                </c:pt>
                <c:pt idx="650">
                  <c:v>650</c:v>
                </c:pt>
                <c:pt idx="651">
                  <c:v>651</c:v>
                </c:pt>
                <c:pt idx="652">
                  <c:v>652</c:v>
                </c:pt>
                <c:pt idx="653">
                  <c:v>653</c:v>
                </c:pt>
                <c:pt idx="654">
                  <c:v>654</c:v>
                </c:pt>
                <c:pt idx="655">
                  <c:v>655</c:v>
                </c:pt>
                <c:pt idx="656">
                  <c:v>656</c:v>
                </c:pt>
                <c:pt idx="657">
                  <c:v>657</c:v>
                </c:pt>
                <c:pt idx="658">
                  <c:v>658</c:v>
                </c:pt>
                <c:pt idx="659">
                  <c:v>659</c:v>
                </c:pt>
                <c:pt idx="660">
                  <c:v>660</c:v>
                </c:pt>
                <c:pt idx="661">
                  <c:v>661</c:v>
                </c:pt>
                <c:pt idx="662">
                  <c:v>662</c:v>
                </c:pt>
                <c:pt idx="663">
                  <c:v>663</c:v>
                </c:pt>
                <c:pt idx="664">
                  <c:v>664</c:v>
                </c:pt>
                <c:pt idx="665">
                  <c:v>665</c:v>
                </c:pt>
                <c:pt idx="666">
                  <c:v>666</c:v>
                </c:pt>
                <c:pt idx="667">
                  <c:v>667</c:v>
                </c:pt>
                <c:pt idx="668">
                  <c:v>668</c:v>
                </c:pt>
                <c:pt idx="669">
                  <c:v>669</c:v>
                </c:pt>
                <c:pt idx="670">
                  <c:v>670</c:v>
                </c:pt>
                <c:pt idx="671">
                  <c:v>671</c:v>
                </c:pt>
                <c:pt idx="672">
                  <c:v>672</c:v>
                </c:pt>
                <c:pt idx="673">
                  <c:v>673</c:v>
                </c:pt>
                <c:pt idx="674">
                  <c:v>674</c:v>
                </c:pt>
                <c:pt idx="675">
                  <c:v>675</c:v>
                </c:pt>
                <c:pt idx="676">
                  <c:v>676</c:v>
                </c:pt>
                <c:pt idx="677">
                  <c:v>677</c:v>
                </c:pt>
                <c:pt idx="678">
                  <c:v>678</c:v>
                </c:pt>
                <c:pt idx="679">
                  <c:v>679</c:v>
                </c:pt>
                <c:pt idx="680">
                  <c:v>680</c:v>
                </c:pt>
                <c:pt idx="681">
                  <c:v>681</c:v>
                </c:pt>
                <c:pt idx="682">
                  <c:v>682</c:v>
                </c:pt>
                <c:pt idx="683">
                  <c:v>683</c:v>
                </c:pt>
                <c:pt idx="684">
                  <c:v>684</c:v>
                </c:pt>
                <c:pt idx="685">
                  <c:v>685</c:v>
                </c:pt>
                <c:pt idx="686">
                  <c:v>686</c:v>
                </c:pt>
                <c:pt idx="687">
                  <c:v>687</c:v>
                </c:pt>
                <c:pt idx="688">
                  <c:v>688</c:v>
                </c:pt>
                <c:pt idx="689">
                  <c:v>689</c:v>
                </c:pt>
                <c:pt idx="690">
                  <c:v>690</c:v>
                </c:pt>
                <c:pt idx="691">
                  <c:v>691</c:v>
                </c:pt>
                <c:pt idx="692">
                  <c:v>692</c:v>
                </c:pt>
                <c:pt idx="693">
                  <c:v>693</c:v>
                </c:pt>
                <c:pt idx="694">
                  <c:v>694</c:v>
                </c:pt>
                <c:pt idx="695">
                  <c:v>695</c:v>
                </c:pt>
                <c:pt idx="696">
                  <c:v>696</c:v>
                </c:pt>
                <c:pt idx="697">
                  <c:v>697</c:v>
                </c:pt>
                <c:pt idx="698">
                  <c:v>698</c:v>
                </c:pt>
                <c:pt idx="699">
                  <c:v>699</c:v>
                </c:pt>
                <c:pt idx="700">
                  <c:v>700</c:v>
                </c:pt>
                <c:pt idx="701">
                  <c:v>701</c:v>
                </c:pt>
                <c:pt idx="702">
                  <c:v>702</c:v>
                </c:pt>
                <c:pt idx="703">
                  <c:v>703</c:v>
                </c:pt>
                <c:pt idx="704">
                  <c:v>704</c:v>
                </c:pt>
                <c:pt idx="705">
                  <c:v>705</c:v>
                </c:pt>
                <c:pt idx="706">
                  <c:v>706</c:v>
                </c:pt>
                <c:pt idx="707">
                  <c:v>707</c:v>
                </c:pt>
                <c:pt idx="708">
                  <c:v>708</c:v>
                </c:pt>
                <c:pt idx="709">
                  <c:v>709</c:v>
                </c:pt>
                <c:pt idx="710">
                  <c:v>710</c:v>
                </c:pt>
                <c:pt idx="711">
                  <c:v>711</c:v>
                </c:pt>
                <c:pt idx="712">
                  <c:v>712</c:v>
                </c:pt>
                <c:pt idx="713">
                  <c:v>713</c:v>
                </c:pt>
                <c:pt idx="714">
                  <c:v>714</c:v>
                </c:pt>
                <c:pt idx="715">
                  <c:v>715</c:v>
                </c:pt>
                <c:pt idx="716">
                  <c:v>716</c:v>
                </c:pt>
                <c:pt idx="717">
                  <c:v>717</c:v>
                </c:pt>
                <c:pt idx="718">
                  <c:v>718</c:v>
                </c:pt>
                <c:pt idx="719">
                  <c:v>719</c:v>
                </c:pt>
                <c:pt idx="720">
                  <c:v>720</c:v>
                </c:pt>
                <c:pt idx="721">
                  <c:v>721</c:v>
                </c:pt>
                <c:pt idx="722">
                  <c:v>722</c:v>
                </c:pt>
                <c:pt idx="723">
                  <c:v>723</c:v>
                </c:pt>
                <c:pt idx="724">
                  <c:v>724</c:v>
                </c:pt>
                <c:pt idx="725">
                  <c:v>725</c:v>
                </c:pt>
                <c:pt idx="726">
                  <c:v>726</c:v>
                </c:pt>
                <c:pt idx="727">
                  <c:v>727</c:v>
                </c:pt>
                <c:pt idx="728">
                  <c:v>728</c:v>
                </c:pt>
                <c:pt idx="729">
                  <c:v>729</c:v>
                </c:pt>
                <c:pt idx="730">
                  <c:v>730</c:v>
                </c:pt>
                <c:pt idx="731">
                  <c:v>731</c:v>
                </c:pt>
                <c:pt idx="732">
                  <c:v>732</c:v>
                </c:pt>
                <c:pt idx="733">
                  <c:v>733</c:v>
                </c:pt>
                <c:pt idx="734">
                  <c:v>734</c:v>
                </c:pt>
                <c:pt idx="735">
                  <c:v>735</c:v>
                </c:pt>
                <c:pt idx="736">
                  <c:v>736</c:v>
                </c:pt>
                <c:pt idx="737">
                  <c:v>737</c:v>
                </c:pt>
                <c:pt idx="738">
                  <c:v>738</c:v>
                </c:pt>
                <c:pt idx="739">
                  <c:v>739</c:v>
                </c:pt>
                <c:pt idx="740">
                  <c:v>740</c:v>
                </c:pt>
                <c:pt idx="741">
                  <c:v>741</c:v>
                </c:pt>
                <c:pt idx="742">
                  <c:v>742</c:v>
                </c:pt>
                <c:pt idx="743">
                  <c:v>743</c:v>
                </c:pt>
                <c:pt idx="744">
                  <c:v>744</c:v>
                </c:pt>
                <c:pt idx="745">
                  <c:v>745</c:v>
                </c:pt>
                <c:pt idx="746">
                  <c:v>746</c:v>
                </c:pt>
                <c:pt idx="747">
                  <c:v>747</c:v>
                </c:pt>
                <c:pt idx="748">
                  <c:v>748</c:v>
                </c:pt>
                <c:pt idx="749">
                  <c:v>749</c:v>
                </c:pt>
                <c:pt idx="750">
                  <c:v>750</c:v>
                </c:pt>
                <c:pt idx="751">
                  <c:v>751</c:v>
                </c:pt>
                <c:pt idx="752">
                  <c:v>752</c:v>
                </c:pt>
                <c:pt idx="753">
                  <c:v>753</c:v>
                </c:pt>
                <c:pt idx="754">
                  <c:v>754</c:v>
                </c:pt>
                <c:pt idx="755">
                  <c:v>755</c:v>
                </c:pt>
                <c:pt idx="756">
                  <c:v>756</c:v>
                </c:pt>
                <c:pt idx="757">
                  <c:v>757</c:v>
                </c:pt>
                <c:pt idx="758">
                  <c:v>758</c:v>
                </c:pt>
                <c:pt idx="759">
                  <c:v>759</c:v>
                </c:pt>
                <c:pt idx="760">
                  <c:v>760</c:v>
                </c:pt>
                <c:pt idx="761">
                  <c:v>761</c:v>
                </c:pt>
                <c:pt idx="762">
                  <c:v>762</c:v>
                </c:pt>
                <c:pt idx="763">
                  <c:v>763</c:v>
                </c:pt>
                <c:pt idx="764">
                  <c:v>764</c:v>
                </c:pt>
                <c:pt idx="765">
                  <c:v>765</c:v>
                </c:pt>
                <c:pt idx="766">
                  <c:v>766</c:v>
                </c:pt>
                <c:pt idx="767">
                  <c:v>767</c:v>
                </c:pt>
                <c:pt idx="768">
                  <c:v>768</c:v>
                </c:pt>
                <c:pt idx="769">
                  <c:v>769</c:v>
                </c:pt>
                <c:pt idx="770">
                  <c:v>770</c:v>
                </c:pt>
                <c:pt idx="771">
                  <c:v>771</c:v>
                </c:pt>
                <c:pt idx="772">
                  <c:v>772</c:v>
                </c:pt>
                <c:pt idx="773">
                  <c:v>773</c:v>
                </c:pt>
                <c:pt idx="774">
                  <c:v>774</c:v>
                </c:pt>
                <c:pt idx="775">
                  <c:v>775</c:v>
                </c:pt>
                <c:pt idx="776">
                  <c:v>776</c:v>
                </c:pt>
                <c:pt idx="777">
                  <c:v>777</c:v>
                </c:pt>
                <c:pt idx="778">
                  <c:v>778</c:v>
                </c:pt>
                <c:pt idx="779">
                  <c:v>779</c:v>
                </c:pt>
                <c:pt idx="780">
                  <c:v>780</c:v>
                </c:pt>
                <c:pt idx="781">
                  <c:v>781</c:v>
                </c:pt>
                <c:pt idx="782">
                  <c:v>782</c:v>
                </c:pt>
                <c:pt idx="783">
                  <c:v>783</c:v>
                </c:pt>
                <c:pt idx="784">
                  <c:v>784</c:v>
                </c:pt>
                <c:pt idx="785">
                  <c:v>785</c:v>
                </c:pt>
                <c:pt idx="786">
                  <c:v>786</c:v>
                </c:pt>
                <c:pt idx="787">
                  <c:v>787</c:v>
                </c:pt>
                <c:pt idx="788">
                  <c:v>788</c:v>
                </c:pt>
                <c:pt idx="789">
                  <c:v>789</c:v>
                </c:pt>
                <c:pt idx="790">
                  <c:v>790</c:v>
                </c:pt>
                <c:pt idx="791">
                  <c:v>791</c:v>
                </c:pt>
                <c:pt idx="792">
                  <c:v>792</c:v>
                </c:pt>
                <c:pt idx="793">
                  <c:v>793</c:v>
                </c:pt>
                <c:pt idx="794">
                  <c:v>794</c:v>
                </c:pt>
                <c:pt idx="795">
                  <c:v>795</c:v>
                </c:pt>
                <c:pt idx="796">
                  <c:v>796</c:v>
                </c:pt>
                <c:pt idx="797">
                  <c:v>797</c:v>
                </c:pt>
                <c:pt idx="798">
                  <c:v>798</c:v>
                </c:pt>
                <c:pt idx="799">
                  <c:v>799</c:v>
                </c:pt>
                <c:pt idx="800">
                  <c:v>800</c:v>
                </c:pt>
                <c:pt idx="801">
                  <c:v>801</c:v>
                </c:pt>
                <c:pt idx="802">
                  <c:v>802</c:v>
                </c:pt>
                <c:pt idx="803">
                  <c:v>803</c:v>
                </c:pt>
                <c:pt idx="804">
                  <c:v>804</c:v>
                </c:pt>
                <c:pt idx="805">
                  <c:v>805</c:v>
                </c:pt>
                <c:pt idx="806">
                  <c:v>806</c:v>
                </c:pt>
                <c:pt idx="807">
                  <c:v>807</c:v>
                </c:pt>
                <c:pt idx="808">
                  <c:v>808</c:v>
                </c:pt>
                <c:pt idx="809">
                  <c:v>809</c:v>
                </c:pt>
                <c:pt idx="810">
                  <c:v>810</c:v>
                </c:pt>
                <c:pt idx="811">
                  <c:v>811</c:v>
                </c:pt>
                <c:pt idx="812">
                  <c:v>812</c:v>
                </c:pt>
                <c:pt idx="813">
                  <c:v>813</c:v>
                </c:pt>
                <c:pt idx="814">
                  <c:v>814</c:v>
                </c:pt>
                <c:pt idx="815">
                  <c:v>815</c:v>
                </c:pt>
                <c:pt idx="816">
                  <c:v>816</c:v>
                </c:pt>
                <c:pt idx="817">
                  <c:v>817</c:v>
                </c:pt>
                <c:pt idx="818">
                  <c:v>818</c:v>
                </c:pt>
                <c:pt idx="819">
                  <c:v>819</c:v>
                </c:pt>
                <c:pt idx="820">
                  <c:v>820</c:v>
                </c:pt>
                <c:pt idx="821">
                  <c:v>821</c:v>
                </c:pt>
                <c:pt idx="822">
                  <c:v>822</c:v>
                </c:pt>
                <c:pt idx="823">
                  <c:v>823</c:v>
                </c:pt>
                <c:pt idx="824">
                  <c:v>824</c:v>
                </c:pt>
                <c:pt idx="825">
                  <c:v>825</c:v>
                </c:pt>
                <c:pt idx="826">
                  <c:v>826</c:v>
                </c:pt>
                <c:pt idx="827">
                  <c:v>827</c:v>
                </c:pt>
                <c:pt idx="828">
                  <c:v>828</c:v>
                </c:pt>
                <c:pt idx="829">
                  <c:v>829</c:v>
                </c:pt>
                <c:pt idx="830">
                  <c:v>830</c:v>
                </c:pt>
                <c:pt idx="831">
                  <c:v>831</c:v>
                </c:pt>
                <c:pt idx="832">
                  <c:v>832</c:v>
                </c:pt>
                <c:pt idx="833">
                  <c:v>833</c:v>
                </c:pt>
                <c:pt idx="834">
                  <c:v>834</c:v>
                </c:pt>
                <c:pt idx="835">
                  <c:v>835</c:v>
                </c:pt>
                <c:pt idx="836">
                  <c:v>836</c:v>
                </c:pt>
                <c:pt idx="837">
                  <c:v>837</c:v>
                </c:pt>
                <c:pt idx="838">
                  <c:v>838</c:v>
                </c:pt>
                <c:pt idx="839">
                  <c:v>839</c:v>
                </c:pt>
                <c:pt idx="840">
                  <c:v>840</c:v>
                </c:pt>
                <c:pt idx="841">
                  <c:v>841</c:v>
                </c:pt>
                <c:pt idx="842">
                  <c:v>842</c:v>
                </c:pt>
                <c:pt idx="843">
                  <c:v>843</c:v>
                </c:pt>
                <c:pt idx="844">
                  <c:v>844</c:v>
                </c:pt>
                <c:pt idx="845">
                  <c:v>845</c:v>
                </c:pt>
                <c:pt idx="846">
                  <c:v>846</c:v>
                </c:pt>
                <c:pt idx="847">
                  <c:v>847</c:v>
                </c:pt>
                <c:pt idx="848">
                  <c:v>848</c:v>
                </c:pt>
                <c:pt idx="849">
                  <c:v>849</c:v>
                </c:pt>
                <c:pt idx="850">
                  <c:v>850</c:v>
                </c:pt>
                <c:pt idx="851">
                  <c:v>851</c:v>
                </c:pt>
                <c:pt idx="852">
                  <c:v>852</c:v>
                </c:pt>
                <c:pt idx="853">
                  <c:v>853</c:v>
                </c:pt>
                <c:pt idx="854">
                  <c:v>854</c:v>
                </c:pt>
                <c:pt idx="855">
                  <c:v>855</c:v>
                </c:pt>
                <c:pt idx="856">
                  <c:v>856</c:v>
                </c:pt>
                <c:pt idx="857">
                  <c:v>857</c:v>
                </c:pt>
                <c:pt idx="858">
                  <c:v>858</c:v>
                </c:pt>
                <c:pt idx="859">
                  <c:v>859</c:v>
                </c:pt>
                <c:pt idx="860">
                  <c:v>860</c:v>
                </c:pt>
                <c:pt idx="861">
                  <c:v>861</c:v>
                </c:pt>
                <c:pt idx="862">
                  <c:v>862</c:v>
                </c:pt>
                <c:pt idx="863">
                  <c:v>863</c:v>
                </c:pt>
                <c:pt idx="864">
                  <c:v>864</c:v>
                </c:pt>
                <c:pt idx="865">
                  <c:v>865</c:v>
                </c:pt>
                <c:pt idx="866">
                  <c:v>866</c:v>
                </c:pt>
                <c:pt idx="867">
                  <c:v>867</c:v>
                </c:pt>
                <c:pt idx="868">
                  <c:v>868</c:v>
                </c:pt>
                <c:pt idx="869">
                  <c:v>869</c:v>
                </c:pt>
                <c:pt idx="870">
                  <c:v>870</c:v>
                </c:pt>
                <c:pt idx="871">
                  <c:v>871</c:v>
                </c:pt>
                <c:pt idx="872">
                  <c:v>872</c:v>
                </c:pt>
                <c:pt idx="873">
                  <c:v>873</c:v>
                </c:pt>
                <c:pt idx="874">
                  <c:v>874</c:v>
                </c:pt>
                <c:pt idx="875">
                  <c:v>875</c:v>
                </c:pt>
                <c:pt idx="876">
                  <c:v>876</c:v>
                </c:pt>
                <c:pt idx="877">
                  <c:v>877</c:v>
                </c:pt>
                <c:pt idx="878">
                  <c:v>878</c:v>
                </c:pt>
                <c:pt idx="879">
                  <c:v>879</c:v>
                </c:pt>
                <c:pt idx="880">
                  <c:v>880</c:v>
                </c:pt>
                <c:pt idx="881">
                  <c:v>881</c:v>
                </c:pt>
                <c:pt idx="882">
                  <c:v>882</c:v>
                </c:pt>
                <c:pt idx="883">
                  <c:v>883</c:v>
                </c:pt>
                <c:pt idx="884">
                  <c:v>884</c:v>
                </c:pt>
                <c:pt idx="885">
                  <c:v>885</c:v>
                </c:pt>
                <c:pt idx="886">
                  <c:v>886</c:v>
                </c:pt>
                <c:pt idx="887">
                  <c:v>887</c:v>
                </c:pt>
                <c:pt idx="888">
                  <c:v>888</c:v>
                </c:pt>
                <c:pt idx="889">
                  <c:v>889</c:v>
                </c:pt>
                <c:pt idx="890">
                  <c:v>890</c:v>
                </c:pt>
                <c:pt idx="891">
                  <c:v>891</c:v>
                </c:pt>
                <c:pt idx="892">
                  <c:v>892</c:v>
                </c:pt>
                <c:pt idx="893">
                  <c:v>893</c:v>
                </c:pt>
                <c:pt idx="894">
                  <c:v>894</c:v>
                </c:pt>
                <c:pt idx="895">
                  <c:v>895</c:v>
                </c:pt>
                <c:pt idx="896">
                  <c:v>896</c:v>
                </c:pt>
                <c:pt idx="897">
                  <c:v>897</c:v>
                </c:pt>
                <c:pt idx="898">
                  <c:v>898</c:v>
                </c:pt>
                <c:pt idx="899">
                  <c:v>899</c:v>
                </c:pt>
                <c:pt idx="900">
                  <c:v>900</c:v>
                </c:pt>
                <c:pt idx="901">
                  <c:v>901</c:v>
                </c:pt>
                <c:pt idx="902">
                  <c:v>902</c:v>
                </c:pt>
                <c:pt idx="903">
                  <c:v>903</c:v>
                </c:pt>
                <c:pt idx="904">
                  <c:v>904</c:v>
                </c:pt>
                <c:pt idx="905">
                  <c:v>905</c:v>
                </c:pt>
                <c:pt idx="906">
                  <c:v>906</c:v>
                </c:pt>
                <c:pt idx="907">
                  <c:v>907</c:v>
                </c:pt>
                <c:pt idx="908">
                  <c:v>908</c:v>
                </c:pt>
                <c:pt idx="909">
                  <c:v>909</c:v>
                </c:pt>
                <c:pt idx="910">
                  <c:v>910</c:v>
                </c:pt>
                <c:pt idx="911">
                  <c:v>911</c:v>
                </c:pt>
                <c:pt idx="912">
                  <c:v>912</c:v>
                </c:pt>
                <c:pt idx="913">
                  <c:v>913</c:v>
                </c:pt>
                <c:pt idx="914">
                  <c:v>914</c:v>
                </c:pt>
                <c:pt idx="915">
                  <c:v>915</c:v>
                </c:pt>
                <c:pt idx="916">
                  <c:v>916</c:v>
                </c:pt>
                <c:pt idx="917">
                  <c:v>917</c:v>
                </c:pt>
                <c:pt idx="918">
                  <c:v>918</c:v>
                </c:pt>
                <c:pt idx="919">
                  <c:v>919</c:v>
                </c:pt>
                <c:pt idx="920">
                  <c:v>920</c:v>
                </c:pt>
                <c:pt idx="921">
                  <c:v>921</c:v>
                </c:pt>
                <c:pt idx="922">
                  <c:v>922</c:v>
                </c:pt>
                <c:pt idx="923">
                  <c:v>923</c:v>
                </c:pt>
                <c:pt idx="924">
                  <c:v>924</c:v>
                </c:pt>
                <c:pt idx="925">
                  <c:v>925</c:v>
                </c:pt>
                <c:pt idx="926">
                  <c:v>926</c:v>
                </c:pt>
                <c:pt idx="927">
                  <c:v>927</c:v>
                </c:pt>
                <c:pt idx="928">
                  <c:v>928</c:v>
                </c:pt>
                <c:pt idx="929">
                  <c:v>929</c:v>
                </c:pt>
                <c:pt idx="930">
                  <c:v>930</c:v>
                </c:pt>
                <c:pt idx="931">
                  <c:v>931</c:v>
                </c:pt>
                <c:pt idx="932">
                  <c:v>932</c:v>
                </c:pt>
                <c:pt idx="933">
                  <c:v>933</c:v>
                </c:pt>
                <c:pt idx="934">
                  <c:v>934</c:v>
                </c:pt>
                <c:pt idx="935">
                  <c:v>935</c:v>
                </c:pt>
                <c:pt idx="936">
                  <c:v>936</c:v>
                </c:pt>
                <c:pt idx="937">
                  <c:v>937</c:v>
                </c:pt>
                <c:pt idx="938">
                  <c:v>938</c:v>
                </c:pt>
                <c:pt idx="939">
                  <c:v>939</c:v>
                </c:pt>
                <c:pt idx="940">
                  <c:v>940</c:v>
                </c:pt>
                <c:pt idx="941">
                  <c:v>941</c:v>
                </c:pt>
                <c:pt idx="942">
                  <c:v>942</c:v>
                </c:pt>
                <c:pt idx="943">
                  <c:v>943</c:v>
                </c:pt>
                <c:pt idx="944">
                  <c:v>944</c:v>
                </c:pt>
                <c:pt idx="945">
                  <c:v>945</c:v>
                </c:pt>
                <c:pt idx="946">
                  <c:v>946</c:v>
                </c:pt>
                <c:pt idx="947">
                  <c:v>947</c:v>
                </c:pt>
                <c:pt idx="948">
                  <c:v>948</c:v>
                </c:pt>
                <c:pt idx="949">
                  <c:v>949</c:v>
                </c:pt>
                <c:pt idx="950">
                  <c:v>950</c:v>
                </c:pt>
                <c:pt idx="951">
                  <c:v>951</c:v>
                </c:pt>
                <c:pt idx="952">
                  <c:v>952</c:v>
                </c:pt>
                <c:pt idx="953">
                  <c:v>953</c:v>
                </c:pt>
                <c:pt idx="954">
                  <c:v>954</c:v>
                </c:pt>
                <c:pt idx="955">
                  <c:v>955</c:v>
                </c:pt>
                <c:pt idx="956">
                  <c:v>956</c:v>
                </c:pt>
                <c:pt idx="957">
                  <c:v>957</c:v>
                </c:pt>
                <c:pt idx="958">
                  <c:v>958</c:v>
                </c:pt>
                <c:pt idx="959">
                  <c:v>959</c:v>
                </c:pt>
                <c:pt idx="960">
                  <c:v>960</c:v>
                </c:pt>
                <c:pt idx="961">
                  <c:v>961</c:v>
                </c:pt>
                <c:pt idx="962">
                  <c:v>962</c:v>
                </c:pt>
                <c:pt idx="963">
                  <c:v>963</c:v>
                </c:pt>
                <c:pt idx="964">
                  <c:v>964</c:v>
                </c:pt>
                <c:pt idx="965">
                  <c:v>965</c:v>
                </c:pt>
                <c:pt idx="966">
                  <c:v>966</c:v>
                </c:pt>
                <c:pt idx="967">
                  <c:v>967</c:v>
                </c:pt>
                <c:pt idx="968">
                  <c:v>968</c:v>
                </c:pt>
                <c:pt idx="969">
                  <c:v>969</c:v>
                </c:pt>
                <c:pt idx="970">
                  <c:v>970</c:v>
                </c:pt>
                <c:pt idx="971">
                  <c:v>971</c:v>
                </c:pt>
                <c:pt idx="972">
                  <c:v>972</c:v>
                </c:pt>
                <c:pt idx="973">
                  <c:v>973</c:v>
                </c:pt>
                <c:pt idx="974">
                  <c:v>974</c:v>
                </c:pt>
                <c:pt idx="975">
                  <c:v>975</c:v>
                </c:pt>
                <c:pt idx="976">
                  <c:v>976</c:v>
                </c:pt>
                <c:pt idx="977">
                  <c:v>977</c:v>
                </c:pt>
                <c:pt idx="978">
                  <c:v>978</c:v>
                </c:pt>
                <c:pt idx="979">
                  <c:v>979</c:v>
                </c:pt>
                <c:pt idx="980">
                  <c:v>980</c:v>
                </c:pt>
                <c:pt idx="981">
                  <c:v>981</c:v>
                </c:pt>
                <c:pt idx="982">
                  <c:v>982</c:v>
                </c:pt>
                <c:pt idx="983">
                  <c:v>983</c:v>
                </c:pt>
                <c:pt idx="984">
                  <c:v>984</c:v>
                </c:pt>
                <c:pt idx="985">
                  <c:v>985</c:v>
                </c:pt>
                <c:pt idx="986">
                  <c:v>986</c:v>
                </c:pt>
                <c:pt idx="987">
                  <c:v>987</c:v>
                </c:pt>
                <c:pt idx="988">
                  <c:v>988</c:v>
                </c:pt>
                <c:pt idx="989">
                  <c:v>989</c:v>
                </c:pt>
                <c:pt idx="990">
                  <c:v>990</c:v>
                </c:pt>
                <c:pt idx="991">
                  <c:v>991</c:v>
                </c:pt>
                <c:pt idx="992">
                  <c:v>992</c:v>
                </c:pt>
                <c:pt idx="993">
                  <c:v>993</c:v>
                </c:pt>
                <c:pt idx="994">
                  <c:v>994</c:v>
                </c:pt>
                <c:pt idx="995">
                  <c:v>995</c:v>
                </c:pt>
                <c:pt idx="996">
                  <c:v>996</c:v>
                </c:pt>
                <c:pt idx="997">
                  <c:v>997</c:v>
                </c:pt>
                <c:pt idx="998">
                  <c:v>998</c:v>
                </c:pt>
                <c:pt idx="999">
                  <c:v>999</c:v>
                </c:pt>
                <c:pt idx="1000">
                  <c:v>1000</c:v>
                </c:pt>
              </c:numCache>
            </c:numRef>
          </c:val>
          <c:smooth val="0"/>
          <c:extLst>
            <c:ext xmlns:c16="http://schemas.microsoft.com/office/drawing/2014/chart" uri="{C3380CC4-5D6E-409C-BE32-E72D297353CC}">
              <c16:uniqueId val="{00000005-C15B-4A71-A86F-119068FB3A6B}"/>
            </c:ext>
          </c:extLst>
        </c:ser>
        <c:dLbls>
          <c:showLegendKey val="0"/>
          <c:showVal val="0"/>
          <c:showCatName val="0"/>
          <c:showSerName val="0"/>
          <c:showPercent val="0"/>
          <c:showBubbleSize val="0"/>
        </c:dLbls>
        <c:smooth val="0"/>
        <c:axId val="623592000"/>
        <c:axId val="623592480"/>
      </c:lineChart>
      <c:catAx>
        <c:axId val="623592000"/>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623592480"/>
        <c:crosses val="autoZero"/>
        <c:auto val="1"/>
        <c:lblAlgn val="ctr"/>
        <c:lblOffset val="100"/>
        <c:noMultiLvlLbl val="0"/>
      </c:catAx>
      <c:valAx>
        <c:axId val="623592480"/>
        <c:scaling>
          <c:orientation val="minMax"/>
        </c:scaling>
        <c:delete val="0"/>
        <c:axPos val="l"/>
        <c:majorGridlines>
          <c:spPr>
            <a:ln w="9525" cap="flat" cmpd="sng" algn="ctr">
              <a:solidFill>
                <a:schemeClr val="lt1">
                  <a:lumMod val="95000"/>
                  <a:alpha val="10000"/>
                </a:schemeClr>
              </a:solidFill>
              <a:round/>
            </a:ln>
            <a:effectLst/>
          </c:spPr>
        </c:majorGridlines>
        <c:numFmt formatCode="_-* #,##0.00\ [$€-C0A]_-;\-* #,##0.00\ [$€-C0A]_-;_-* &quot;-&quot;??\ [$€-C0A]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62359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785813</xdr:colOff>
      <xdr:row>1010</xdr:row>
      <xdr:rowOff>166688</xdr:rowOff>
    </xdr:from>
    <xdr:to>
      <xdr:col>11</xdr:col>
      <xdr:colOff>0</xdr:colOff>
      <xdr:row>1040</xdr:row>
      <xdr:rowOff>19050</xdr:rowOff>
    </xdr:to>
    <xdr:graphicFrame macro="">
      <xdr:nvGraphicFramePr>
        <xdr:cNvPr id="2" name="Gráfico 1">
          <a:extLst>
            <a:ext uri="{FF2B5EF4-FFF2-40B4-BE49-F238E27FC236}">
              <a16:creationId xmlns:a16="http://schemas.microsoft.com/office/drawing/2014/main" id="{03EB14A6-1FFF-3A1B-9B07-72BF3B1DC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732148</xdr:colOff>
      <xdr:row>36</xdr:row>
      <xdr:rowOff>101919</xdr:rowOff>
    </xdr:from>
    <xdr:to>
      <xdr:col>60</xdr:col>
      <xdr:colOff>670560</xdr:colOff>
      <xdr:row>140</xdr:row>
      <xdr:rowOff>160421</xdr:rowOff>
    </xdr:to>
    <xdr:graphicFrame macro="">
      <xdr:nvGraphicFramePr>
        <xdr:cNvPr id="4" name="Gráfico 3">
          <a:extLst>
            <a:ext uri="{FF2B5EF4-FFF2-40B4-BE49-F238E27FC236}">
              <a16:creationId xmlns:a16="http://schemas.microsoft.com/office/drawing/2014/main" id="{89A17C3A-63A4-462E-57C0-E3F04A2AD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7</xdr:row>
      <xdr:rowOff>80010</xdr:rowOff>
    </xdr:from>
    <xdr:to>
      <xdr:col>13</xdr:col>
      <xdr:colOff>769620</xdr:colOff>
      <xdr:row>33</xdr:row>
      <xdr:rowOff>0</xdr:rowOff>
    </xdr:to>
    <xdr:graphicFrame macro="">
      <xdr:nvGraphicFramePr>
        <xdr:cNvPr id="2" name="Gráfico 1">
          <a:extLst>
            <a:ext uri="{FF2B5EF4-FFF2-40B4-BE49-F238E27FC236}">
              <a16:creationId xmlns:a16="http://schemas.microsoft.com/office/drawing/2014/main" id="{D8385969-822F-4AFF-D2CF-9A01AC5C3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336142</xdr:colOff>
      <xdr:row>3</xdr:row>
      <xdr:rowOff>58330</xdr:rowOff>
    </xdr:from>
    <xdr:to>
      <xdr:col>107</xdr:col>
      <xdr:colOff>195384</xdr:colOff>
      <xdr:row>77</xdr:row>
      <xdr:rowOff>80210</xdr:rowOff>
    </xdr:to>
    <xdr:graphicFrame macro="">
      <xdr:nvGraphicFramePr>
        <xdr:cNvPr id="3" name="Gráfico 2">
          <a:extLst>
            <a:ext uri="{FF2B5EF4-FFF2-40B4-BE49-F238E27FC236}">
              <a16:creationId xmlns:a16="http://schemas.microsoft.com/office/drawing/2014/main" id="{2203F362-648B-194B-B2BD-18B67BF15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C809-62DF-4158-92DA-6D13A8745957}">
  <sheetPr>
    <tabColor theme="4"/>
  </sheetPr>
  <dimension ref="A1:AL1010"/>
  <sheetViews>
    <sheetView tabSelected="1" topLeftCell="Y1" zoomScale="45" zoomScaleNormal="45" workbookViewId="0">
      <selection activeCell="D1007" sqref="D1007"/>
    </sheetView>
  </sheetViews>
  <sheetFormatPr baseColWidth="10" defaultRowHeight="14.4" x14ac:dyDescent="0.3"/>
  <cols>
    <col min="1" max="1" width="11.5546875" customWidth="1"/>
    <col min="4" max="4" width="14.88671875" bestFit="1" customWidth="1"/>
    <col min="5" max="5" width="24.88671875" bestFit="1" customWidth="1"/>
    <col min="6" max="6" width="16.109375" bestFit="1" customWidth="1"/>
    <col min="7" max="7" width="21.77734375" bestFit="1" customWidth="1"/>
    <col min="9" max="9" width="14.88671875" bestFit="1" customWidth="1"/>
    <col min="10" max="10" width="17.77734375" bestFit="1" customWidth="1"/>
    <col min="11" max="11" width="21.77734375" bestFit="1" customWidth="1"/>
    <col min="12" max="12" width="18.33203125" bestFit="1" customWidth="1"/>
    <col min="13" max="13" width="11.5546875" customWidth="1"/>
    <col min="14" max="14" width="14.88671875" bestFit="1" customWidth="1"/>
    <col min="15" max="15" width="28.5546875" bestFit="1" customWidth="1"/>
    <col min="16" max="16" width="14.77734375" bestFit="1" customWidth="1"/>
    <col min="17" max="17" width="23.5546875" bestFit="1" customWidth="1"/>
    <col min="18" max="18" width="39" customWidth="1"/>
    <col min="19" max="19" width="27.88671875" customWidth="1"/>
    <col min="20" max="21" width="14.88671875" bestFit="1" customWidth="1"/>
    <col min="22" max="22" width="15.5546875" bestFit="1" customWidth="1"/>
    <col min="23" max="23" width="14.88671875" bestFit="1" customWidth="1"/>
    <col min="33" max="33" width="22" bestFit="1" customWidth="1"/>
    <col min="35" max="35" width="35.6640625" customWidth="1"/>
    <col min="37" max="37" width="19.109375" customWidth="1"/>
    <col min="38" max="38" width="27.6640625" customWidth="1"/>
  </cols>
  <sheetData>
    <row r="1" spans="1:38" ht="14.4" customHeight="1" x14ac:dyDescent="0.3">
      <c r="A1" s="57" t="s">
        <v>46</v>
      </c>
      <c r="B1" s="57"/>
      <c r="C1" s="57"/>
      <c r="D1" s="57"/>
      <c r="E1" s="57"/>
      <c r="F1" s="57"/>
      <c r="G1" s="57"/>
      <c r="H1" s="57"/>
      <c r="I1" s="57"/>
      <c r="J1" s="57"/>
      <c r="K1" s="57"/>
      <c r="L1" s="57"/>
      <c r="M1" s="57"/>
    </row>
    <row r="2" spans="1:38" x14ac:dyDescent="0.3">
      <c r="A2" s="57"/>
      <c r="B2" s="57"/>
      <c r="C2" s="57"/>
      <c r="D2" s="57"/>
      <c r="E2" s="57"/>
      <c r="F2" s="57"/>
      <c r="G2" s="57"/>
      <c r="H2" s="57"/>
      <c r="I2" s="57"/>
      <c r="J2" s="57"/>
      <c r="K2" s="57"/>
      <c r="L2" s="57"/>
      <c r="M2" s="57"/>
    </row>
    <row r="3" spans="1:38" x14ac:dyDescent="0.3">
      <c r="A3" s="57"/>
      <c r="B3" s="57"/>
      <c r="C3" s="57"/>
      <c r="D3" s="57"/>
      <c r="E3" s="57"/>
      <c r="F3" s="57"/>
      <c r="G3" s="57"/>
      <c r="H3" s="57"/>
      <c r="I3" s="57"/>
      <c r="J3" s="57"/>
      <c r="K3" s="57"/>
      <c r="L3" s="57"/>
      <c r="M3" s="57"/>
    </row>
    <row r="4" spans="1:38" x14ac:dyDescent="0.3">
      <c r="A4" s="57"/>
      <c r="B4" s="57"/>
      <c r="C4" s="57"/>
      <c r="D4" s="57"/>
      <c r="E4" s="57"/>
      <c r="F4" s="57"/>
      <c r="G4" s="57"/>
      <c r="H4" s="57"/>
      <c r="I4" s="57"/>
      <c r="J4" s="57"/>
      <c r="K4" s="57"/>
      <c r="L4" s="57"/>
      <c r="M4" s="57"/>
    </row>
    <row r="5" spans="1:38" x14ac:dyDescent="0.3">
      <c r="A5" s="57"/>
      <c r="B5" s="57"/>
      <c r="C5" s="57"/>
      <c r="D5" s="57"/>
      <c r="E5" s="57"/>
      <c r="F5" s="57"/>
      <c r="G5" s="57"/>
      <c r="H5" s="57"/>
      <c r="I5" s="57"/>
      <c r="J5" s="57"/>
      <c r="K5" s="57"/>
      <c r="L5" s="57"/>
      <c r="M5" s="57"/>
    </row>
    <row r="6" spans="1:38" ht="15" thickBot="1" x14ac:dyDescent="0.35"/>
    <row r="7" spans="1:38" ht="43.2" x14ac:dyDescent="0.3">
      <c r="B7" s="20" t="s">
        <v>10</v>
      </c>
      <c r="C7" s="20" t="s">
        <v>47</v>
      </c>
      <c r="D7" s="20" t="s">
        <v>48</v>
      </c>
      <c r="E7" s="20" t="s">
        <v>11</v>
      </c>
      <c r="F7" s="20" t="s">
        <v>12</v>
      </c>
      <c r="G7" s="20" t="s">
        <v>13</v>
      </c>
      <c r="H7" s="20"/>
      <c r="I7" s="20" t="s">
        <v>14</v>
      </c>
      <c r="J7" s="20" t="s">
        <v>15</v>
      </c>
      <c r="K7" s="20" t="s">
        <v>16</v>
      </c>
      <c r="L7" s="20" t="s">
        <v>15</v>
      </c>
      <c r="M7" s="6"/>
      <c r="N7" s="20" t="s">
        <v>17</v>
      </c>
      <c r="O7" s="20" t="s">
        <v>18</v>
      </c>
      <c r="P7" s="20" t="s">
        <v>19</v>
      </c>
      <c r="Q7" s="20" t="s">
        <v>20</v>
      </c>
      <c r="R7" s="20" t="s">
        <v>21</v>
      </c>
      <c r="S7" s="20" t="s">
        <v>22</v>
      </c>
      <c r="T7" s="55" t="s">
        <v>23</v>
      </c>
      <c r="U7" s="56"/>
      <c r="V7" s="55" t="s">
        <v>24</v>
      </c>
      <c r="W7" s="56"/>
      <c r="Y7" s="58" t="s">
        <v>49</v>
      </c>
      <c r="Z7" s="59"/>
      <c r="AA7" s="59"/>
      <c r="AB7" s="59"/>
      <c r="AC7" s="59" t="s">
        <v>50</v>
      </c>
      <c r="AD7" s="59"/>
      <c r="AE7" s="59"/>
      <c r="AF7" s="59"/>
      <c r="AG7" s="24" t="s">
        <v>51</v>
      </c>
    </row>
    <row r="8" spans="1:38" ht="28.8" x14ac:dyDescent="0.3">
      <c r="B8" s="21" t="s">
        <v>25</v>
      </c>
      <c r="C8" s="21" t="s">
        <v>26</v>
      </c>
      <c r="D8" s="21" t="s">
        <v>27</v>
      </c>
      <c r="E8" s="21" t="s">
        <v>28</v>
      </c>
      <c r="F8" s="21" t="s">
        <v>29</v>
      </c>
      <c r="G8" s="21" t="s">
        <v>30</v>
      </c>
      <c r="H8" s="21" t="s">
        <v>31</v>
      </c>
      <c r="I8" s="21" t="s">
        <v>32</v>
      </c>
      <c r="J8" s="21" t="s">
        <v>33</v>
      </c>
      <c r="K8" s="21" t="s">
        <v>34</v>
      </c>
      <c r="L8" s="21" t="s">
        <v>35</v>
      </c>
      <c r="M8" s="7"/>
      <c r="N8" s="21" t="s">
        <v>36</v>
      </c>
      <c r="O8" s="21" t="s">
        <v>37</v>
      </c>
      <c r="P8" s="21" t="s">
        <v>38</v>
      </c>
      <c r="Q8" s="21" t="s">
        <v>39</v>
      </c>
      <c r="R8" s="22" t="s">
        <v>40</v>
      </c>
      <c r="S8" s="21" t="s">
        <v>41</v>
      </c>
      <c r="T8" s="21" t="s">
        <v>42</v>
      </c>
      <c r="U8" s="21" t="s">
        <v>43</v>
      </c>
      <c r="V8" s="21" t="s">
        <v>44</v>
      </c>
      <c r="W8" s="21" t="s">
        <v>45</v>
      </c>
      <c r="Y8" s="51" t="s">
        <v>52</v>
      </c>
      <c r="Z8" s="52"/>
      <c r="AA8" s="52"/>
      <c r="AB8" s="52"/>
      <c r="AC8" s="52" t="s">
        <v>25</v>
      </c>
      <c r="AD8" s="52"/>
      <c r="AE8" s="52"/>
      <c r="AF8" s="52"/>
      <c r="AG8" s="49">
        <f>COUNT(B9:B1008)</f>
        <v>1000</v>
      </c>
      <c r="AI8" s="27" t="s">
        <v>100</v>
      </c>
    </row>
    <row r="9" spans="1:38" x14ac:dyDescent="0.3">
      <c r="B9" s="2">
        <v>1</v>
      </c>
      <c r="C9" s="2">
        <v>5530</v>
      </c>
      <c r="D9" s="4">
        <v>843767.4</v>
      </c>
      <c r="E9" s="4">
        <f>C9*D9</f>
        <v>4666033722</v>
      </c>
      <c r="F9" s="2">
        <f>POWER(C9,2)</f>
        <v>30580900</v>
      </c>
      <c r="G9" s="2">
        <f>POWER(D9,2)</f>
        <v>711943425302.76001</v>
      </c>
      <c r="H9" s="42">
        <f>C9-$AG$9</f>
        <v>505.51900000000023</v>
      </c>
      <c r="I9" s="2">
        <f>POWER(H9,2)</f>
        <v>255549.45936100025</v>
      </c>
      <c r="J9" s="4">
        <f>D9-$AG$10</f>
        <v>-445334.49680999911</v>
      </c>
      <c r="K9" s="2">
        <f>POWER(J9,2)</f>
        <v>198322814049.01511</v>
      </c>
      <c r="L9" s="2">
        <f>H9*J9</f>
        <v>-225125049.49289405</v>
      </c>
      <c r="N9" s="42">
        <f>$AG$18+$AG$17*C9</f>
        <v>1417117.1759471046</v>
      </c>
      <c r="O9" s="42">
        <f>(N9-$AG$10)^2</f>
        <v>16387911692.551025</v>
      </c>
      <c r="P9" s="4">
        <f>D9-N9</f>
        <v>-573349.77594710456</v>
      </c>
      <c r="Q9" s="4">
        <f>P9^2</f>
        <v>328729965578.59497</v>
      </c>
      <c r="R9" s="43">
        <f>(1/$AG$8)+((I9)/($I$1009))</f>
        <v>1.032193153607513E-3</v>
      </c>
      <c r="S9" s="4">
        <f>P9 / ($AG$19*SQRT(1-R9))</f>
        <v>-0.47142427205311632</v>
      </c>
      <c r="T9" s="30">
        <f>N9-$AK$16*SQRT($AG$25*((1/$AG$8)+((C9-$AG$9)^2)/$I$1009))</f>
        <v>1340324.0607067773</v>
      </c>
      <c r="U9" s="31">
        <f>N9+$AK$16*SQRT($AG$25*((1/$AG$8)+((C9-$AG$9)^2)/$I$1009))</f>
        <v>1493910.2911874319</v>
      </c>
      <c r="V9" s="31">
        <f>N9+$AK$16*SQRT($AG$25*(1+(1/$AG$8)-((C9-$AG$9)^2)/$I$1009))</f>
        <v>3808515.1320110005</v>
      </c>
      <c r="W9" s="42">
        <f>N9+$AK$16*SQRT($AG$25*(1+(1/$AG$8)+((C9-$AG$9)^2)/$I$1009))</f>
        <v>3808592.0429797918</v>
      </c>
      <c r="Y9" s="51" t="s">
        <v>53</v>
      </c>
      <c r="Z9" s="52"/>
      <c r="AA9" s="52"/>
      <c r="AB9" s="52"/>
      <c r="AC9" s="52" t="s">
        <v>54</v>
      </c>
      <c r="AD9" s="52"/>
      <c r="AE9" s="52"/>
      <c r="AF9" s="52"/>
      <c r="AG9" s="9">
        <f>AVERAGE(C9:C1008)</f>
        <v>5024.4809999999998</v>
      </c>
    </row>
    <row r="10" spans="1:38" ht="28.8" x14ac:dyDescent="0.3">
      <c r="B10" s="2">
        <v>2</v>
      </c>
      <c r="C10" s="2">
        <v>994</v>
      </c>
      <c r="D10" s="4">
        <v>419358.66</v>
      </c>
      <c r="E10" s="4">
        <f t="shared" ref="E10:E73" si="0">C10*D10</f>
        <v>416842508.03999996</v>
      </c>
      <c r="F10" s="2">
        <f t="shared" ref="F10:F73" si="1">POWER(C10,2)</f>
        <v>988036</v>
      </c>
      <c r="G10" s="2">
        <f t="shared" ref="G10:G73" si="2">POWER(D10,2)</f>
        <v>175861685716.99557</v>
      </c>
      <c r="H10" s="42">
        <f t="shared" ref="H10:H73" si="3">C10-$AG$9</f>
        <v>-4030.4809999999998</v>
      </c>
      <c r="I10" s="2">
        <f t="shared" ref="I10:I73" si="4">POWER(H10,2)</f>
        <v>16244777.091360997</v>
      </c>
      <c r="J10" s="4">
        <f t="shared" ref="J10:J73" si="5">D10-$AG$10</f>
        <v>-869743.23680999922</v>
      </c>
      <c r="K10" s="2">
        <f t="shared" ref="K10:K73" si="6">POWER(J10,2)</f>
        <v>756453297976.73438</v>
      </c>
      <c r="L10" s="2">
        <f t="shared" ref="L10:L73" si="7">H10*J10</f>
        <v>3505483590.8412023</v>
      </c>
      <c r="N10" s="42">
        <f t="shared" ref="N10:N73" si="8">$AG$18+$AG$17*C10</f>
        <v>268441.64413542335</v>
      </c>
      <c r="O10" s="42">
        <f t="shared" ref="O10:O73" si="9">(N10-$AG$10)^2</f>
        <v>1041747351389.7289</v>
      </c>
      <c r="P10" s="4">
        <f t="shared" ref="P10:P73" si="10">D10-N10</f>
        <v>150917.01586457662</v>
      </c>
      <c r="Q10" s="4">
        <f t="shared" ref="Q10:Q73" si="11">P10^2</f>
        <v>22775945677.468872</v>
      </c>
      <c r="R10" s="43">
        <f t="shared" ref="R10:R73" si="12">(1/$AG$8)+((I10)/($I$1009))</f>
        <v>3.0464555297032461E-3</v>
      </c>
      <c r="S10" s="4">
        <f t="shared" ref="S10:S73" si="13">P10 / ($AG$19*SQRT(1-R10))</f>
        <v>0.12421349640446241</v>
      </c>
      <c r="T10" s="30">
        <f t="shared" ref="T10:T73" si="14">N10-$AK$16*SQRT($AG$25*((1/$AG$8)+((C10-$AG$9)^2)/$I$1009))</f>
        <v>136512.96320508758</v>
      </c>
      <c r="U10" s="31">
        <f t="shared" ref="U10:U73" si="15">N10+$AK$16*SQRT($AG$25*((1/$AG$8)+((C10-$AG$9)^2)/$I$1009))</f>
        <v>400370.32506575913</v>
      </c>
      <c r="V10" s="31">
        <f t="shared" ref="V10:V73" si="16">N10+$AK$16*SQRT($AG$25*(1+(1/$AG$8)-((C10-$AG$9)^2)/$I$1009))</f>
        <v>2657432.2657082407</v>
      </c>
      <c r="W10" s="42">
        <f t="shared" ref="W10:W73" si="17">N10+$AK$16*SQRT($AG$25*(1+(1/$AG$8)+((C10-$AG$9)^2)/$I$1009))</f>
        <v>2662321.3474523453</v>
      </c>
      <c r="Y10" s="51" t="s">
        <v>55</v>
      </c>
      <c r="Z10" s="52"/>
      <c r="AA10" s="52"/>
      <c r="AB10" s="52"/>
      <c r="AC10" s="52" t="s">
        <v>56</v>
      </c>
      <c r="AD10" s="52"/>
      <c r="AE10" s="52"/>
      <c r="AF10" s="52"/>
      <c r="AG10" s="9">
        <f>AVERAGE(D9:D1008)</f>
        <v>1289101.8968099991</v>
      </c>
      <c r="AI10" s="26" t="s">
        <v>101</v>
      </c>
    </row>
    <row r="11" spans="1:38" ht="43.2" x14ac:dyDescent="0.3">
      <c r="B11" s="2">
        <v>3</v>
      </c>
      <c r="C11" s="2">
        <v>6845</v>
      </c>
      <c r="D11" s="4">
        <v>1408016.5</v>
      </c>
      <c r="E11" s="4">
        <f t="shared" si="0"/>
        <v>9637872942.5</v>
      </c>
      <c r="F11" s="2">
        <f t="shared" si="1"/>
        <v>46854025</v>
      </c>
      <c r="G11" s="2">
        <f t="shared" si="2"/>
        <v>1982510464272.25</v>
      </c>
      <c r="H11" s="42">
        <f t="shared" si="3"/>
        <v>1820.5190000000002</v>
      </c>
      <c r="I11" s="2">
        <f t="shared" si="4"/>
        <v>3314289.4293610007</v>
      </c>
      <c r="J11" s="4">
        <f t="shared" si="5"/>
        <v>118914.60319000087</v>
      </c>
      <c r="K11" s="2">
        <f t="shared" si="6"/>
        <v>14140682851.835365</v>
      </c>
      <c r="L11" s="2">
        <f t="shared" si="7"/>
        <v>216486294.48485723</v>
      </c>
      <c r="N11" s="42">
        <f t="shared" si="8"/>
        <v>1750121.6566200235</v>
      </c>
      <c r="O11" s="42">
        <f t="shared" si="9"/>
        <v>212539218935.2926</v>
      </c>
      <c r="P11" s="4">
        <f t="shared" si="10"/>
        <v>-342105.15662002354</v>
      </c>
      <c r="Q11" s="4">
        <f t="shared" si="11"/>
        <v>117035938186.01083</v>
      </c>
      <c r="R11" s="43">
        <f t="shared" si="12"/>
        <v>1.417521637361205E-3</v>
      </c>
      <c r="S11" s="4">
        <f t="shared" si="13"/>
        <v>-0.28134272401849153</v>
      </c>
      <c r="T11" s="30">
        <f t="shared" si="14"/>
        <v>1660129.0881507369</v>
      </c>
      <c r="U11" s="31">
        <f t="shared" si="15"/>
        <v>1840114.2250893102</v>
      </c>
      <c r="V11" s="31">
        <f t="shared" si="16"/>
        <v>4141059.2769763544</v>
      </c>
      <c r="W11" s="42">
        <f t="shared" si="17"/>
        <v>4142056.7559654033</v>
      </c>
      <c r="Y11" s="51" t="s">
        <v>57</v>
      </c>
      <c r="Z11" s="52"/>
      <c r="AA11" s="52"/>
      <c r="AB11" s="52"/>
      <c r="AC11" s="52" t="s">
        <v>58</v>
      </c>
      <c r="AD11" s="52"/>
      <c r="AE11" s="52"/>
      <c r="AF11" s="52"/>
      <c r="AG11" s="9">
        <f>SQRT((1/(AG8-1))*I1009)</f>
        <v>2818.8565681834534</v>
      </c>
      <c r="AI11" s="5" t="s">
        <v>102</v>
      </c>
    </row>
    <row r="12" spans="1:38" ht="30" x14ac:dyDescent="0.3">
      <c r="B12" s="2">
        <v>4</v>
      </c>
      <c r="C12" s="2">
        <v>9806</v>
      </c>
      <c r="D12" s="4">
        <v>91489.98</v>
      </c>
      <c r="E12" s="4">
        <f t="shared" si="0"/>
        <v>897150743.88</v>
      </c>
      <c r="F12" s="2">
        <f t="shared" si="1"/>
        <v>96157636</v>
      </c>
      <c r="G12" s="2">
        <f t="shared" si="2"/>
        <v>8370416440.4003992</v>
      </c>
      <c r="H12" s="42">
        <f t="shared" si="3"/>
        <v>4781.5190000000002</v>
      </c>
      <c r="I12" s="2">
        <f t="shared" si="4"/>
        <v>22862923.947361004</v>
      </c>
      <c r="J12" s="4">
        <f t="shared" si="5"/>
        <v>-1197611.9168099992</v>
      </c>
      <c r="K12" s="2">
        <f t="shared" si="6"/>
        <v>1434274303285.3203</v>
      </c>
      <c r="L12" s="2">
        <f t="shared" si="7"/>
        <v>-5726404134.8534307</v>
      </c>
      <c r="N12" s="42">
        <f t="shared" si="8"/>
        <v>2499951.5176637596</v>
      </c>
      <c r="O12" s="42">
        <f t="shared" si="9"/>
        <v>1466156804321.6956</v>
      </c>
      <c r="P12" s="4">
        <f t="shared" si="10"/>
        <v>-2408461.5376637597</v>
      </c>
      <c r="Q12" s="4">
        <f t="shared" si="11"/>
        <v>5800686978405.6816</v>
      </c>
      <c r="R12" s="43">
        <f t="shared" si="12"/>
        <v>3.8801846202090157E-3</v>
      </c>
      <c r="S12" s="4">
        <f t="shared" si="13"/>
        <v>-1.9831335589326311</v>
      </c>
      <c r="T12" s="30">
        <f t="shared" si="14"/>
        <v>2351060.6729893587</v>
      </c>
      <c r="U12" s="31">
        <f t="shared" si="15"/>
        <v>2648842.3623381606</v>
      </c>
      <c r="V12" s="31">
        <f t="shared" si="16"/>
        <v>4887945.0024092766</v>
      </c>
      <c r="W12" s="42">
        <f t="shared" si="17"/>
        <v>4894825.907006247</v>
      </c>
      <c r="Y12" s="51" t="s">
        <v>57</v>
      </c>
      <c r="Z12" s="52"/>
      <c r="AA12" s="52"/>
      <c r="AB12" s="52"/>
      <c r="AC12" s="52" t="s">
        <v>59</v>
      </c>
      <c r="AD12" s="52"/>
      <c r="AE12" s="52"/>
      <c r="AF12" s="52"/>
      <c r="AG12" s="9">
        <f>_xlfn.STDEV.S(C9:C1008)</f>
        <v>2818.8565681834525</v>
      </c>
      <c r="AI12" s="27" t="s">
        <v>103</v>
      </c>
    </row>
    <row r="13" spans="1:38" ht="28.8" x14ac:dyDescent="0.3">
      <c r="B13" s="2">
        <v>5</v>
      </c>
      <c r="C13" s="2">
        <v>3633</v>
      </c>
      <c r="D13" s="4">
        <v>927432.24</v>
      </c>
      <c r="E13" s="4">
        <f t="shared" si="0"/>
        <v>3369361327.9200001</v>
      </c>
      <c r="F13" s="2">
        <f t="shared" si="1"/>
        <v>13198689</v>
      </c>
      <c r="G13" s="2">
        <f t="shared" si="2"/>
        <v>860130559791.4176</v>
      </c>
      <c r="H13" s="42">
        <f t="shared" si="3"/>
        <v>-1391.4809999999998</v>
      </c>
      <c r="I13" s="2">
        <f t="shared" si="4"/>
        <v>1936219.3733609994</v>
      </c>
      <c r="J13" s="4">
        <f t="shared" si="5"/>
        <v>-361669.65680999914</v>
      </c>
      <c r="K13" s="2">
        <f t="shared" si="6"/>
        <v>130804940657.06256</v>
      </c>
      <c r="L13" s="2">
        <f t="shared" si="7"/>
        <v>503256455.72763431</v>
      </c>
      <c r="N13" s="42">
        <f t="shared" si="8"/>
        <v>936729.72359993542</v>
      </c>
      <c r="O13" s="42">
        <f t="shared" si="9"/>
        <v>124166148452.78314</v>
      </c>
      <c r="P13" s="4">
        <f t="shared" si="10"/>
        <v>-9297.4835999354254</v>
      </c>
      <c r="Q13" s="4">
        <f t="shared" si="11"/>
        <v>86443201.291068196</v>
      </c>
      <c r="R13" s="43">
        <f t="shared" si="12"/>
        <v>1.2439175878529215E-3</v>
      </c>
      <c r="S13" s="4">
        <f t="shared" si="13"/>
        <v>-7.6454621168249772E-3</v>
      </c>
      <c r="T13" s="30">
        <f t="shared" si="14"/>
        <v>852427.77699943469</v>
      </c>
      <c r="U13" s="31">
        <f t="shared" si="15"/>
        <v>1021031.6702004361</v>
      </c>
      <c r="V13" s="31">
        <f t="shared" si="16"/>
        <v>3327874.7523705158</v>
      </c>
      <c r="W13" s="42">
        <f t="shared" si="17"/>
        <v>3328457.4830452548</v>
      </c>
      <c r="Y13" s="51" t="s">
        <v>60</v>
      </c>
      <c r="Z13" s="52"/>
      <c r="AA13" s="52"/>
      <c r="AB13" s="52"/>
      <c r="AC13" s="52" t="s">
        <v>61</v>
      </c>
      <c r="AD13" s="52"/>
      <c r="AE13" s="52"/>
      <c r="AF13" s="52"/>
      <c r="AG13" s="9">
        <f>SQRT((1/(AG8-1))*K1009)</f>
        <v>1411286.8496075626</v>
      </c>
      <c r="AI13" s="25" t="s">
        <v>104</v>
      </c>
      <c r="AK13">
        <v>0.05</v>
      </c>
      <c r="AL13" s="27" t="s">
        <v>108</v>
      </c>
    </row>
    <row r="14" spans="1:38" ht="15.6" x14ac:dyDescent="0.3">
      <c r="B14" s="2">
        <v>6</v>
      </c>
      <c r="C14" s="2">
        <v>4110</v>
      </c>
      <c r="D14" s="4">
        <v>195019.5</v>
      </c>
      <c r="E14" s="4">
        <f t="shared" si="0"/>
        <v>801530145</v>
      </c>
      <c r="F14" s="2">
        <f t="shared" si="1"/>
        <v>16892100</v>
      </c>
      <c r="G14" s="2">
        <f t="shared" si="2"/>
        <v>38032605380.25</v>
      </c>
      <c r="H14" s="42">
        <f t="shared" si="3"/>
        <v>-914.48099999999977</v>
      </c>
      <c r="I14" s="2">
        <f t="shared" si="4"/>
        <v>836275.49936099956</v>
      </c>
      <c r="J14" s="4">
        <f t="shared" si="5"/>
        <v>-1094082.3968099991</v>
      </c>
      <c r="K14" s="2">
        <f t="shared" si="6"/>
        <v>1197016291009.5125</v>
      </c>
      <c r="L14" s="2">
        <f t="shared" si="7"/>
        <v>1000517564.3172046</v>
      </c>
      <c r="N14" s="42">
        <f t="shared" si="8"/>
        <v>1057522.9838896557</v>
      </c>
      <c r="O14" s="42">
        <f t="shared" si="9"/>
        <v>53628792909.368019</v>
      </c>
      <c r="P14" s="4">
        <f t="shared" si="10"/>
        <v>-862503.48388965568</v>
      </c>
      <c r="Q14" s="4">
        <f t="shared" si="11"/>
        <v>743912259721.79358</v>
      </c>
      <c r="R14" s="43">
        <f t="shared" si="12"/>
        <v>1.1053508220148361E-3</v>
      </c>
      <c r="S14" s="4">
        <f t="shared" si="13"/>
        <v>-0.70920053241424186</v>
      </c>
      <c r="T14" s="30">
        <f t="shared" si="14"/>
        <v>978055.05984053691</v>
      </c>
      <c r="U14" s="31">
        <f t="shared" si="15"/>
        <v>1136990.9079387744</v>
      </c>
      <c r="V14" s="31">
        <f t="shared" si="16"/>
        <v>3448833.5483839912</v>
      </c>
      <c r="W14" s="42">
        <f t="shared" si="17"/>
        <v>3449085.2364880214</v>
      </c>
      <c r="Y14" s="51" t="s">
        <v>60</v>
      </c>
      <c r="Z14" s="52"/>
      <c r="AA14" s="52"/>
      <c r="AB14" s="52"/>
      <c r="AC14" s="52" t="s">
        <v>62</v>
      </c>
      <c r="AD14" s="52"/>
      <c r="AE14" s="52"/>
      <c r="AF14" s="52"/>
      <c r="AG14" s="9">
        <f>_xlfn.STDEV.S(D9:D1008)</f>
        <v>1411286.8496075629</v>
      </c>
      <c r="AI14" s="25" t="s">
        <v>105</v>
      </c>
      <c r="AK14">
        <v>2.5000000000000001E-2</v>
      </c>
    </row>
    <row r="15" spans="1:38" x14ac:dyDescent="0.3">
      <c r="B15" s="2">
        <v>7</v>
      </c>
      <c r="C15" s="2">
        <v>4056</v>
      </c>
      <c r="D15" s="4">
        <v>618864.4800000001</v>
      </c>
      <c r="E15" s="4">
        <f t="shared" si="0"/>
        <v>2510114330.8800006</v>
      </c>
      <c r="F15" s="2">
        <f t="shared" si="1"/>
        <v>16451136</v>
      </c>
      <c r="G15" s="2">
        <f t="shared" si="2"/>
        <v>382993244605.67053</v>
      </c>
      <c r="H15" s="42">
        <f t="shared" si="3"/>
        <v>-968.48099999999977</v>
      </c>
      <c r="I15" s="2">
        <f t="shared" si="4"/>
        <v>937955.44736099953</v>
      </c>
      <c r="J15" s="4">
        <f t="shared" si="5"/>
        <v>-670237.41680999903</v>
      </c>
      <c r="K15" s="2">
        <f t="shared" si="6"/>
        <v>449218194892.14038</v>
      </c>
      <c r="L15" s="2">
        <f t="shared" si="7"/>
        <v>649112203.66956449</v>
      </c>
      <c r="N15" s="42">
        <f t="shared" si="8"/>
        <v>1043848.275177612</v>
      </c>
      <c r="O15" s="42">
        <f t="shared" si="9"/>
        <v>60149338923.802124</v>
      </c>
      <c r="P15" s="4">
        <f t="shared" si="10"/>
        <v>-424983.79517761187</v>
      </c>
      <c r="Q15" s="4">
        <f t="shared" si="11"/>
        <v>180611226163.56635</v>
      </c>
      <c r="R15" s="43">
        <f t="shared" si="12"/>
        <v>1.1181600769940995E-3</v>
      </c>
      <c r="S15" s="4">
        <f t="shared" si="13"/>
        <v>-0.34944863636889412</v>
      </c>
      <c r="T15" s="30">
        <f t="shared" si="14"/>
        <v>963921.22411914601</v>
      </c>
      <c r="U15" s="31">
        <f t="shared" si="15"/>
        <v>1123775.326236078</v>
      </c>
      <c r="V15" s="31">
        <f t="shared" si="16"/>
        <v>3435143.5378593225</v>
      </c>
      <c r="W15" s="42">
        <f t="shared" si="17"/>
        <v>3435425.8278803458</v>
      </c>
      <c r="Y15" s="51" t="s">
        <v>63</v>
      </c>
      <c r="Z15" s="52"/>
      <c r="AA15" s="52"/>
      <c r="AB15" s="52"/>
      <c r="AC15" s="52" t="s">
        <v>64</v>
      </c>
      <c r="AD15" s="52"/>
      <c r="AE15" s="52"/>
      <c r="AF15" s="52"/>
      <c r="AG15" s="9">
        <f>L1009/(AG8-1)</f>
        <v>2012195997.2825255</v>
      </c>
      <c r="AI15" t="s">
        <v>106</v>
      </c>
      <c r="AK15">
        <v>998</v>
      </c>
    </row>
    <row r="16" spans="1:38" x14ac:dyDescent="0.3">
      <c r="B16" s="2">
        <v>8</v>
      </c>
      <c r="C16" s="2">
        <v>8319</v>
      </c>
      <c r="D16" s="4">
        <v>3637066.8</v>
      </c>
      <c r="E16" s="4">
        <f t="shared" si="0"/>
        <v>30256758709.199997</v>
      </c>
      <c r="F16" s="2">
        <f t="shared" si="1"/>
        <v>69205761</v>
      </c>
      <c r="G16" s="2">
        <f t="shared" si="2"/>
        <v>13228254907662.238</v>
      </c>
      <c r="H16" s="42">
        <f t="shared" si="3"/>
        <v>3294.5190000000002</v>
      </c>
      <c r="I16" s="2">
        <f t="shared" si="4"/>
        <v>10853855.441361001</v>
      </c>
      <c r="J16" s="4">
        <f t="shared" si="5"/>
        <v>2347964.9031900009</v>
      </c>
      <c r="K16" s="2">
        <f t="shared" si="6"/>
        <v>5512939186612.0303</v>
      </c>
      <c r="L16" s="2">
        <f t="shared" si="7"/>
        <v>7735414984.8926191</v>
      </c>
      <c r="N16" s="42">
        <f t="shared" si="8"/>
        <v>2123390.5573895159</v>
      </c>
      <c r="O16" s="42">
        <f t="shared" si="9"/>
        <v>696037569171.56421</v>
      </c>
      <c r="P16" s="4">
        <f t="shared" si="10"/>
        <v>1513676.2426104839</v>
      </c>
      <c r="Q16" s="4">
        <f t="shared" si="11"/>
        <v>2291215767443.3926</v>
      </c>
      <c r="R16" s="43">
        <f t="shared" si="12"/>
        <v>2.3673276254670946E-3</v>
      </c>
      <c r="S16" s="4">
        <f t="shared" si="13"/>
        <v>1.2454196139974485</v>
      </c>
      <c r="T16" s="30">
        <f t="shared" si="14"/>
        <v>2007092.8959575312</v>
      </c>
      <c r="U16" s="31">
        <f t="shared" si="15"/>
        <v>2239688.2188215004</v>
      </c>
      <c r="V16" s="31">
        <f t="shared" si="16"/>
        <v>4513193.1058776435</v>
      </c>
      <c r="W16" s="42">
        <f t="shared" si="17"/>
        <v>4516459.7170995399</v>
      </c>
      <c r="Y16" s="51" t="s">
        <v>63</v>
      </c>
      <c r="Z16" s="52"/>
      <c r="AA16" s="52"/>
      <c r="AB16" s="52"/>
      <c r="AC16" s="52" t="s">
        <v>65</v>
      </c>
      <c r="AD16" s="52"/>
      <c r="AE16" s="52"/>
      <c r="AF16" s="52"/>
      <c r="AG16" s="9">
        <f>_xlfn.COVARIANCE.S(C9:C1008,D9:D1008)</f>
        <v>2012195997.2825255</v>
      </c>
      <c r="AI16" t="s">
        <v>107</v>
      </c>
      <c r="AK16">
        <f>TINV(AK13,AK15)</f>
        <v>1.9623438462163374</v>
      </c>
    </row>
    <row r="17" spans="2:38" x14ac:dyDescent="0.3">
      <c r="B17" s="2">
        <v>9</v>
      </c>
      <c r="C17" s="2">
        <v>8779</v>
      </c>
      <c r="D17" s="4">
        <v>717507.67</v>
      </c>
      <c r="E17" s="4">
        <f t="shared" si="0"/>
        <v>6298999834.9300003</v>
      </c>
      <c r="F17" s="2">
        <f t="shared" si="1"/>
        <v>77070841</v>
      </c>
      <c r="G17" s="2">
        <f t="shared" si="2"/>
        <v>514817256508.82898</v>
      </c>
      <c r="H17" s="42">
        <f t="shared" si="3"/>
        <v>3754.5190000000002</v>
      </c>
      <c r="I17" s="2">
        <f t="shared" si="4"/>
        <v>14096412.921361001</v>
      </c>
      <c r="J17" s="4">
        <f t="shared" si="5"/>
        <v>-571594.22680999909</v>
      </c>
      <c r="K17" s="2">
        <f t="shared" si="6"/>
        <v>326719960122.52069</v>
      </c>
      <c r="L17" s="2">
        <f t="shared" si="7"/>
        <v>-2146061384.8484511</v>
      </c>
      <c r="N17" s="42">
        <f t="shared" si="8"/>
        <v>2239878.816788408</v>
      </c>
      <c r="O17" s="42">
        <f t="shared" si="9"/>
        <v>903976751563.62964</v>
      </c>
      <c r="P17" s="4">
        <f t="shared" si="10"/>
        <v>-1522371.146788408</v>
      </c>
      <c r="Q17" s="4">
        <f t="shared" si="11"/>
        <v>2317613908573.8525</v>
      </c>
      <c r="R17" s="43">
        <f t="shared" si="12"/>
        <v>2.7758127433611113E-3</v>
      </c>
      <c r="S17" s="4">
        <f t="shared" si="13"/>
        <v>-1.2528301051348514</v>
      </c>
      <c r="T17" s="30">
        <f t="shared" si="14"/>
        <v>2113946.5904187853</v>
      </c>
      <c r="U17" s="31">
        <f t="shared" si="15"/>
        <v>2365811.0431580306</v>
      </c>
      <c r="V17" s="31">
        <f t="shared" si="16"/>
        <v>4629193.0366382133</v>
      </c>
      <c r="W17" s="42">
        <f t="shared" si="17"/>
        <v>4633435.5390615826</v>
      </c>
      <c r="Y17" s="51" t="s">
        <v>66</v>
      </c>
      <c r="Z17" s="52"/>
      <c r="AA17" s="52"/>
      <c r="AB17" s="52"/>
      <c r="AC17" s="52" t="s">
        <v>67</v>
      </c>
      <c r="AD17" s="52"/>
      <c r="AE17" s="52"/>
      <c r="AF17" s="52"/>
      <c r="AG17" s="9">
        <f>L1009/I1009</f>
        <v>253.23534651933005</v>
      </c>
    </row>
    <row r="18" spans="2:38" ht="72" x14ac:dyDescent="0.3">
      <c r="B18" s="2">
        <v>10</v>
      </c>
      <c r="C18" s="2">
        <v>9347</v>
      </c>
      <c r="D18" s="4">
        <v>6086859.8700000001</v>
      </c>
      <c r="E18" s="4">
        <f t="shared" si="0"/>
        <v>56893879204.889999</v>
      </c>
      <c r="F18" s="2">
        <f t="shared" si="1"/>
        <v>87366409</v>
      </c>
      <c r="G18" s="2">
        <f t="shared" si="2"/>
        <v>37049863077016.422</v>
      </c>
      <c r="H18" s="42">
        <f t="shared" si="3"/>
        <v>4322.5190000000002</v>
      </c>
      <c r="I18" s="2">
        <f t="shared" si="4"/>
        <v>18684170.505361002</v>
      </c>
      <c r="J18" s="4">
        <f t="shared" si="5"/>
        <v>4797757.9731900012</v>
      </c>
      <c r="K18" s="2">
        <f t="shared" si="6"/>
        <v>23018481569308.227</v>
      </c>
      <c r="L18" s="2">
        <f t="shared" si="7"/>
        <v>20738399996.51527</v>
      </c>
      <c r="N18" s="42">
        <f t="shared" si="8"/>
        <v>2383716.4936113874</v>
      </c>
      <c r="O18" s="42">
        <f t="shared" si="9"/>
        <v>1198181115530.666</v>
      </c>
      <c r="P18" s="4">
        <f t="shared" si="10"/>
        <v>3703143.3763886127</v>
      </c>
      <c r="Q18" s="4">
        <f t="shared" si="11"/>
        <v>13713270866090.854</v>
      </c>
      <c r="R18" s="43">
        <f t="shared" si="12"/>
        <v>3.3537610786268323E-3</v>
      </c>
      <c r="S18" s="4">
        <f t="shared" si="13"/>
        <v>3.0483726004117346</v>
      </c>
      <c r="T18" s="30">
        <f t="shared" si="14"/>
        <v>2245293.6206025528</v>
      </c>
      <c r="U18" s="31">
        <f t="shared" si="15"/>
        <v>2522139.3666202221</v>
      </c>
      <c r="V18" s="31">
        <f t="shared" si="16"/>
        <v>4772339.6273524296</v>
      </c>
      <c r="W18" s="42">
        <f t="shared" si="17"/>
        <v>4777962.877940434</v>
      </c>
      <c r="Y18" s="51" t="s">
        <v>66</v>
      </c>
      <c r="Z18" s="52"/>
      <c r="AA18" s="52"/>
      <c r="AB18" s="52"/>
      <c r="AC18" s="52" t="s">
        <v>68</v>
      </c>
      <c r="AD18" s="52"/>
      <c r="AE18" s="52"/>
      <c r="AF18" s="52"/>
      <c r="AG18" s="9">
        <f>(AG10 - (AG17* AG9))</f>
        <v>16725.709695209283</v>
      </c>
      <c r="AK18">
        <f>(AG17-0)/((AG25)*I1009)</f>
        <v>2.1502031688253588E-20</v>
      </c>
      <c r="AL18" s="27" t="s">
        <v>109</v>
      </c>
    </row>
    <row r="19" spans="2:38" x14ac:dyDescent="0.3">
      <c r="B19" s="2">
        <v>11</v>
      </c>
      <c r="C19" s="2">
        <v>966</v>
      </c>
      <c r="D19" s="4">
        <v>422335.2</v>
      </c>
      <c r="E19" s="4">
        <f t="shared" si="0"/>
        <v>407975803.19999999</v>
      </c>
      <c r="F19" s="2">
        <f t="shared" si="1"/>
        <v>933156</v>
      </c>
      <c r="G19" s="2">
        <f t="shared" si="2"/>
        <v>178367021159.04001</v>
      </c>
      <c r="H19" s="42">
        <f t="shared" si="3"/>
        <v>-4058.4809999999998</v>
      </c>
      <c r="I19" s="2">
        <f t="shared" si="4"/>
        <v>16471268.027360998</v>
      </c>
      <c r="J19" s="4">
        <f t="shared" si="5"/>
        <v>-866766.69680999918</v>
      </c>
      <c r="K19" s="2">
        <f t="shared" si="6"/>
        <v>751284506698.91699</v>
      </c>
      <c r="L19" s="2">
        <f t="shared" si="7"/>
        <v>3517756170.436142</v>
      </c>
      <c r="N19" s="42">
        <f t="shared" si="8"/>
        <v>261351.05443288211</v>
      </c>
      <c r="O19" s="42">
        <f t="shared" si="9"/>
        <v>1056271794006.8737</v>
      </c>
      <c r="P19" s="4">
        <f t="shared" si="10"/>
        <v>160984.1455671179</v>
      </c>
      <c r="Q19" s="4">
        <f t="shared" si="11"/>
        <v>25915895123.975006</v>
      </c>
      <c r="R19" s="43">
        <f t="shared" si="12"/>
        <v>3.0749880005274447E-3</v>
      </c>
      <c r="S19" s="4">
        <f t="shared" si="13"/>
        <v>0.13250122673901774</v>
      </c>
      <c r="T19" s="30">
        <f t="shared" si="14"/>
        <v>128806.00499858684</v>
      </c>
      <c r="U19" s="31">
        <f t="shared" si="15"/>
        <v>393896.10386717739</v>
      </c>
      <c r="V19" s="31">
        <f t="shared" si="16"/>
        <v>2650307.558156915</v>
      </c>
      <c r="W19" s="42">
        <f t="shared" si="17"/>
        <v>2655264.8054335802</v>
      </c>
      <c r="Y19" s="51" t="s">
        <v>69</v>
      </c>
      <c r="Z19" s="52"/>
      <c r="AA19" s="52"/>
      <c r="AB19" s="52"/>
      <c r="AC19" s="52" t="s">
        <v>70</v>
      </c>
      <c r="AD19" s="52"/>
      <c r="AE19" s="52"/>
      <c r="AF19" s="52"/>
      <c r="AG19" s="9">
        <f>SQRT(((G1009 -(D1009*AG18)-(E1009*AG17))/AG8-1))</f>
        <v>1216835.7530153152</v>
      </c>
      <c r="AK19" t="str">
        <f>"|Tc= " &amp;ROUND( AK18,5)&amp;" | &gt; To = "&amp;ROUND(AK15,5)</f>
        <v>|Tc= 0 | &gt; To = 998</v>
      </c>
    </row>
    <row r="20" spans="2:38" x14ac:dyDescent="0.3">
      <c r="B20" s="2">
        <v>12</v>
      </c>
      <c r="C20" s="2">
        <v>6609</v>
      </c>
      <c r="D20" s="4">
        <v>1008401.2200000001</v>
      </c>
      <c r="E20" s="4">
        <f t="shared" si="0"/>
        <v>6664523662.9800005</v>
      </c>
      <c r="F20" s="2">
        <f t="shared" si="1"/>
        <v>43678881</v>
      </c>
      <c r="G20" s="2">
        <f t="shared" si="2"/>
        <v>1016873020497.4885</v>
      </c>
      <c r="H20" s="42">
        <f t="shared" si="3"/>
        <v>1584.5190000000002</v>
      </c>
      <c r="I20" s="2">
        <f t="shared" si="4"/>
        <v>2510700.4613610008</v>
      </c>
      <c r="J20" s="4">
        <f t="shared" si="5"/>
        <v>-280700.67680999904</v>
      </c>
      <c r="K20" s="2">
        <f t="shared" si="6"/>
        <v>78792869961.591537</v>
      </c>
      <c r="L20" s="2">
        <f t="shared" si="7"/>
        <v>-444775555.71830297</v>
      </c>
      <c r="N20" s="42">
        <f t="shared" si="8"/>
        <v>1690358.1148414616</v>
      </c>
      <c r="O20" s="42">
        <f t="shared" si="9"/>
        <v>161006552508.9126</v>
      </c>
      <c r="P20" s="4">
        <f t="shared" si="10"/>
        <v>-681956.89484146156</v>
      </c>
      <c r="Q20" s="4">
        <f t="shared" si="11"/>
        <v>465065206421.80829</v>
      </c>
      <c r="R20" s="43">
        <f t="shared" si="12"/>
        <v>1.3162885408451144E-3</v>
      </c>
      <c r="S20" s="4">
        <f t="shared" si="13"/>
        <v>-0.5608038412320453</v>
      </c>
      <c r="T20" s="30">
        <f t="shared" si="14"/>
        <v>1603638.4982640727</v>
      </c>
      <c r="U20" s="31">
        <f t="shared" si="15"/>
        <v>1777077.7314188506</v>
      </c>
      <c r="V20" s="31">
        <f t="shared" si="16"/>
        <v>4081416.6826970391</v>
      </c>
      <c r="W20" s="42">
        <f t="shared" si="17"/>
        <v>4082172.3110113945</v>
      </c>
      <c r="Y20" s="51" t="s">
        <v>71</v>
      </c>
      <c r="Z20" s="52"/>
      <c r="AA20" s="52"/>
      <c r="AB20" s="52"/>
      <c r="AC20" s="52" t="s">
        <v>72</v>
      </c>
      <c r="AD20" s="52"/>
      <c r="AE20" s="52"/>
      <c r="AF20" s="52"/>
      <c r="AG20" s="10">
        <f>SQRT(F1009/(AG8*I1009))*AG19</f>
        <v>78675.005735467174</v>
      </c>
    </row>
    <row r="21" spans="2:38" ht="31.2" x14ac:dyDescent="0.3">
      <c r="B21" s="2">
        <v>13</v>
      </c>
      <c r="C21" s="2">
        <v>6281</v>
      </c>
      <c r="D21" s="4">
        <v>298033.45</v>
      </c>
      <c r="E21" s="4">
        <f t="shared" si="0"/>
        <v>1871948099.45</v>
      </c>
      <c r="F21" s="2">
        <f t="shared" si="1"/>
        <v>39450961</v>
      </c>
      <c r="G21" s="2">
        <f t="shared" si="2"/>
        <v>88823937318.902512</v>
      </c>
      <c r="H21" s="42">
        <f t="shared" si="3"/>
        <v>1256.5190000000002</v>
      </c>
      <c r="I21" s="2">
        <f t="shared" si="4"/>
        <v>1578839.9973610006</v>
      </c>
      <c r="J21" s="4">
        <f t="shared" si="5"/>
        <v>-991068.44680999918</v>
      </c>
      <c r="K21" s="2">
        <f t="shared" si="6"/>
        <v>982216666262.38416</v>
      </c>
      <c r="L21" s="2">
        <f t="shared" si="7"/>
        <v>-1245296333.7172537</v>
      </c>
      <c r="N21" s="42">
        <f t="shared" si="8"/>
        <v>1607296.9211831214</v>
      </c>
      <c r="O21" s="42">
        <f t="shared" si="9"/>
        <v>101248073535.81187</v>
      </c>
      <c r="P21" s="4">
        <f t="shared" si="10"/>
        <v>-1309263.4711831214</v>
      </c>
      <c r="Q21" s="4">
        <f t="shared" si="11"/>
        <v>1714170836974.4763</v>
      </c>
      <c r="R21" s="43">
        <f t="shared" si="12"/>
        <v>1.1988962867846519E-3</v>
      </c>
      <c r="S21" s="4">
        <f t="shared" si="13"/>
        <v>-1.0766029925583269</v>
      </c>
      <c r="T21" s="30">
        <f t="shared" si="14"/>
        <v>1524534.610717352</v>
      </c>
      <c r="U21" s="31">
        <f t="shared" si="15"/>
        <v>1690059.2316488908</v>
      </c>
      <c r="V21" s="31">
        <f t="shared" si="16"/>
        <v>3998495.7349125994</v>
      </c>
      <c r="W21" s="42">
        <f t="shared" si="17"/>
        <v>3998970.907564695</v>
      </c>
      <c r="Y21" s="51" t="s">
        <v>73</v>
      </c>
      <c r="Z21" s="52"/>
      <c r="AA21" s="52"/>
      <c r="AB21" s="52"/>
      <c r="AC21" s="52" t="s">
        <v>74</v>
      </c>
      <c r="AD21" s="52"/>
      <c r="AE21" s="52"/>
      <c r="AF21" s="52"/>
      <c r="AG21" s="9">
        <f>AG19/SQRT(I1009)</f>
        <v>13.657658185807028</v>
      </c>
      <c r="AI21" s="28" t="s">
        <v>110</v>
      </c>
    </row>
    <row r="22" spans="2:38" ht="46.8" x14ac:dyDescent="0.3">
      <c r="B22" s="2">
        <v>14</v>
      </c>
      <c r="C22" s="2">
        <v>2018</v>
      </c>
      <c r="D22" s="4">
        <v>310893.08</v>
      </c>
      <c r="E22" s="4">
        <f t="shared" si="0"/>
        <v>627382235.44000006</v>
      </c>
      <c r="F22" s="2">
        <f t="shared" si="1"/>
        <v>4072324</v>
      </c>
      <c r="G22" s="2">
        <f t="shared" si="2"/>
        <v>96654507191.886414</v>
      </c>
      <c r="H22" s="42">
        <f t="shared" si="3"/>
        <v>-3006.4809999999998</v>
      </c>
      <c r="I22" s="2">
        <f t="shared" si="4"/>
        <v>9038928.0033609979</v>
      </c>
      <c r="J22" s="4">
        <f t="shared" si="5"/>
        <v>-978208.81680999906</v>
      </c>
      <c r="K22" s="2">
        <f t="shared" si="6"/>
        <v>956892489284.81824</v>
      </c>
      <c r="L22" s="2">
        <f t="shared" si="7"/>
        <v>2940966221.7717423</v>
      </c>
      <c r="N22" s="42">
        <f t="shared" si="8"/>
        <v>527754.63897121733</v>
      </c>
      <c r="O22" s="42">
        <f t="shared" si="9"/>
        <v>579649647018.63245</v>
      </c>
      <c r="P22" s="4">
        <f t="shared" si="10"/>
        <v>-216861.55897121731</v>
      </c>
      <c r="Q22" s="4">
        <f t="shared" si="11"/>
        <v>47028935759.426765</v>
      </c>
      <c r="R22" s="43">
        <f t="shared" si="12"/>
        <v>2.1386899365276476E-3</v>
      </c>
      <c r="S22" s="4">
        <f t="shared" si="13"/>
        <v>-0.17840849176702323</v>
      </c>
      <c r="T22" s="30">
        <f t="shared" si="14"/>
        <v>417215.59307476063</v>
      </c>
      <c r="U22" s="31">
        <f t="shared" si="15"/>
        <v>638293.68486767402</v>
      </c>
      <c r="V22" s="31">
        <f t="shared" si="16"/>
        <v>2917830.47169017</v>
      </c>
      <c r="W22" s="42">
        <f t="shared" si="17"/>
        <v>2920550.8563220375</v>
      </c>
      <c r="Y22" s="51" t="s">
        <v>75</v>
      </c>
      <c r="Z22" s="52"/>
      <c r="AA22" s="52"/>
      <c r="AB22" s="52"/>
      <c r="AC22" s="52" t="str">
        <f>"Y = " &amp; AG17 &amp; "+ " &amp; AG18 &amp; "x"</f>
        <v>Y = 253.23534651933+ 16725.7096952093x</v>
      </c>
      <c r="AD22" s="52"/>
      <c r="AE22" s="52"/>
      <c r="AF22" s="52"/>
      <c r="AG22" s="9"/>
      <c r="AI22" s="28" t="s">
        <v>111</v>
      </c>
    </row>
    <row r="23" spans="2:38" ht="15.6" x14ac:dyDescent="0.3">
      <c r="B23" s="2">
        <v>15</v>
      </c>
      <c r="C23" s="2">
        <v>2888</v>
      </c>
      <c r="D23" s="4">
        <v>26945.040000000001</v>
      </c>
      <c r="E23" s="4">
        <f t="shared" si="0"/>
        <v>77817275.519999996</v>
      </c>
      <c r="F23" s="2">
        <f t="shared" si="1"/>
        <v>8340544</v>
      </c>
      <c r="G23" s="2">
        <f t="shared" si="2"/>
        <v>726035180.60160005</v>
      </c>
      <c r="H23" s="42">
        <f t="shared" si="3"/>
        <v>-2136.4809999999998</v>
      </c>
      <c r="I23" s="2">
        <f t="shared" si="4"/>
        <v>4564551.0633609993</v>
      </c>
      <c r="J23" s="4">
        <f t="shared" si="5"/>
        <v>-1262156.8568099991</v>
      </c>
      <c r="K23" s="2">
        <f t="shared" si="6"/>
        <v>1593039931192.4966</v>
      </c>
      <c r="L23" s="2">
        <f t="shared" si="7"/>
        <v>2696574143.5942836</v>
      </c>
      <c r="N23" s="42">
        <f t="shared" si="8"/>
        <v>748069.39044303447</v>
      </c>
      <c r="O23" s="42">
        <f t="shared" si="9"/>
        <v>292716172945.71967</v>
      </c>
      <c r="P23" s="4">
        <f t="shared" si="10"/>
        <v>-721124.35044303443</v>
      </c>
      <c r="Q23" s="4">
        <f t="shared" si="11"/>
        <v>520020328801.88831</v>
      </c>
      <c r="R23" s="43">
        <f t="shared" si="12"/>
        <v>1.5750248656348502E-3</v>
      </c>
      <c r="S23" s="4">
        <f t="shared" si="13"/>
        <v>-0.59308983547188265</v>
      </c>
      <c r="T23" s="30">
        <f t="shared" si="14"/>
        <v>653208.8693415632</v>
      </c>
      <c r="U23" s="31">
        <f t="shared" si="15"/>
        <v>842929.91154450574</v>
      </c>
      <c r="V23" s="31">
        <f t="shared" si="16"/>
        <v>3138818.8228075495</v>
      </c>
      <c r="W23" s="42">
        <f t="shared" si="17"/>
        <v>3140192.5845039794</v>
      </c>
      <c r="Y23" s="51" t="s">
        <v>76</v>
      </c>
      <c r="Z23" s="52"/>
      <c r="AA23" s="52"/>
      <c r="AB23" s="52"/>
      <c r="AC23" s="52" t="s">
        <v>77</v>
      </c>
      <c r="AD23" s="52"/>
      <c r="AE23" s="52"/>
      <c r="AF23" s="52"/>
      <c r="AG23" s="9">
        <f>(K1009-Q1009)/K1009</f>
        <v>0.25583738977149661</v>
      </c>
      <c r="AI23" s="28" t="s">
        <v>112</v>
      </c>
    </row>
    <row r="24" spans="2:38" ht="15.6" x14ac:dyDescent="0.3">
      <c r="B24" s="2">
        <v>16</v>
      </c>
      <c r="C24" s="2">
        <v>9989</v>
      </c>
      <c r="D24" s="4">
        <v>816400.97000000009</v>
      </c>
      <c r="E24" s="4">
        <f t="shared" si="0"/>
        <v>8155029289.3300009</v>
      </c>
      <c r="F24" s="2">
        <f t="shared" si="1"/>
        <v>99780121</v>
      </c>
      <c r="G24" s="2">
        <f t="shared" si="2"/>
        <v>666510543816.94104</v>
      </c>
      <c r="H24" s="42">
        <f t="shared" si="3"/>
        <v>4964.5190000000002</v>
      </c>
      <c r="I24" s="2">
        <f t="shared" si="4"/>
        <v>24646448.901361004</v>
      </c>
      <c r="J24" s="4">
        <f t="shared" si="5"/>
        <v>-472700.92680999904</v>
      </c>
      <c r="K24" s="2">
        <f t="shared" si="6"/>
        <v>223446166207.03207</v>
      </c>
      <c r="L24" s="2">
        <f t="shared" si="7"/>
        <v>-2346732732.4658499</v>
      </c>
      <c r="N24" s="42">
        <f t="shared" si="8"/>
        <v>2546293.586076797</v>
      </c>
      <c r="O24" s="42">
        <f t="shared" si="9"/>
        <v>1580530943561.5049</v>
      </c>
      <c r="P24" s="4">
        <f t="shared" si="10"/>
        <v>-1729892.6160767968</v>
      </c>
      <c r="Q24" s="4">
        <f t="shared" si="11"/>
        <v>2992528463157.0239</v>
      </c>
      <c r="R24" s="43">
        <f t="shared" si="12"/>
        <v>4.1048663430759951E-3</v>
      </c>
      <c r="S24" s="4">
        <f t="shared" si="13"/>
        <v>-1.4245587944038662</v>
      </c>
      <c r="T24" s="30">
        <f t="shared" si="14"/>
        <v>2393152.6458539809</v>
      </c>
      <c r="U24" s="31">
        <f t="shared" si="15"/>
        <v>2699434.5262996131</v>
      </c>
      <c r="V24" s="31">
        <f t="shared" si="16"/>
        <v>4934018.2811039612</v>
      </c>
      <c r="W24" s="42">
        <f t="shared" si="17"/>
        <v>4941435.9627786539</v>
      </c>
      <c r="Y24" s="51" t="s">
        <v>78</v>
      </c>
      <c r="Z24" s="52"/>
      <c r="AA24" s="52"/>
      <c r="AB24" s="52"/>
      <c r="AC24" s="52" t="s">
        <v>79</v>
      </c>
      <c r="AD24" s="52"/>
      <c r="AE24" s="52"/>
      <c r="AF24" s="52"/>
      <c r="AG24" s="9">
        <f>SQRT((K1009-Q1009)/(K1009))</f>
        <v>0.50580370675934816</v>
      </c>
      <c r="AI24" s="28" t="s">
        <v>113</v>
      </c>
    </row>
    <row r="25" spans="2:38" ht="31.2" x14ac:dyDescent="0.3">
      <c r="B25" s="2">
        <v>17</v>
      </c>
      <c r="C25" s="2">
        <v>1451</v>
      </c>
      <c r="D25" s="4">
        <v>634377.19999999995</v>
      </c>
      <c r="E25" s="4">
        <f t="shared" si="0"/>
        <v>920481317.19999993</v>
      </c>
      <c r="F25" s="2">
        <f t="shared" si="1"/>
        <v>2105401</v>
      </c>
      <c r="G25" s="2">
        <f t="shared" si="2"/>
        <v>402434431879.83997</v>
      </c>
      <c r="H25" s="42">
        <f t="shared" si="3"/>
        <v>-3573.4809999999998</v>
      </c>
      <c r="I25" s="2">
        <f t="shared" si="4"/>
        <v>12769766.457360998</v>
      </c>
      <c r="J25" s="4">
        <f t="shared" si="5"/>
        <v>-654724.69680999918</v>
      </c>
      <c r="K25" s="2">
        <f t="shared" si="6"/>
        <v>428664428612.94537</v>
      </c>
      <c r="L25" s="2">
        <f t="shared" si="7"/>
        <v>2339646264.2812924</v>
      </c>
      <c r="N25" s="42">
        <f t="shared" si="8"/>
        <v>384170.19749475719</v>
      </c>
      <c r="O25" s="42">
        <f t="shared" si="9"/>
        <v>818901380425.57153</v>
      </c>
      <c r="P25" s="4">
        <f t="shared" si="10"/>
        <v>250207.00250524277</v>
      </c>
      <c r="Q25" s="4">
        <f t="shared" si="11"/>
        <v>62603544102.658562</v>
      </c>
      <c r="R25" s="43">
        <f t="shared" si="12"/>
        <v>2.608686843329041E-3</v>
      </c>
      <c r="S25" s="4">
        <f t="shared" si="13"/>
        <v>0.20588974120264403</v>
      </c>
      <c r="T25" s="30">
        <f t="shared" si="14"/>
        <v>262087.87781535267</v>
      </c>
      <c r="U25" s="31">
        <f t="shared" si="15"/>
        <v>506252.51717416174</v>
      </c>
      <c r="V25" s="31">
        <f t="shared" si="16"/>
        <v>2773684.2221526145</v>
      </c>
      <c r="W25" s="42">
        <f t="shared" si="17"/>
        <v>2777527.4524567067</v>
      </c>
      <c r="Y25" s="51" t="s">
        <v>80</v>
      </c>
      <c r="Z25" s="52"/>
      <c r="AA25" s="52"/>
      <c r="AB25" s="52"/>
      <c r="AC25" s="52" t="s">
        <v>81</v>
      </c>
      <c r="AD25" s="52"/>
      <c r="AE25" s="52"/>
      <c r="AF25" s="52"/>
      <c r="AG25" s="9">
        <f>Q1009/(AG8-COUNT(AG17:AG18))</f>
        <v>1483656562943.2358</v>
      </c>
      <c r="AI25" s="28" t="s">
        <v>114</v>
      </c>
      <c r="AK25">
        <f>(Q28*SQRT((AG8-2)))</f>
        <v>69612536157414.656</v>
      </c>
    </row>
    <row r="26" spans="2:38" ht="72" x14ac:dyDescent="0.3">
      <c r="B26" s="2">
        <v>18</v>
      </c>
      <c r="C26" s="2">
        <v>7436</v>
      </c>
      <c r="D26" s="4">
        <v>1134584.8800000001</v>
      </c>
      <c r="E26" s="4">
        <f t="shared" si="0"/>
        <v>8436773167.6800013</v>
      </c>
      <c r="F26" s="2">
        <f t="shared" si="1"/>
        <v>55294096</v>
      </c>
      <c r="G26" s="2">
        <f t="shared" si="2"/>
        <v>1287282849924.6147</v>
      </c>
      <c r="H26" s="42">
        <f t="shared" si="3"/>
        <v>2411.5190000000002</v>
      </c>
      <c r="I26" s="2">
        <f t="shared" si="4"/>
        <v>5815423.8873610012</v>
      </c>
      <c r="J26" s="4">
        <f t="shared" si="5"/>
        <v>-154517.01680999901</v>
      </c>
      <c r="K26" s="2">
        <f t="shared" si="6"/>
        <v>23875508483.861519</v>
      </c>
      <c r="L26" s="2">
        <f t="shared" si="7"/>
        <v>-372620721.86063206</v>
      </c>
      <c r="N26" s="42">
        <f t="shared" si="8"/>
        <v>1899783.7464129475</v>
      </c>
      <c r="O26" s="42">
        <f t="shared" si="9"/>
        <v>372932321434.47809</v>
      </c>
      <c r="P26" s="4">
        <f t="shared" si="10"/>
        <v>-765198.86641294742</v>
      </c>
      <c r="Q26" s="4">
        <f t="shared" si="11"/>
        <v>585529305159.65979</v>
      </c>
      <c r="R26" s="43">
        <f t="shared" si="12"/>
        <v>1.7326050893112744E-3</v>
      </c>
      <c r="S26" s="4">
        <f t="shared" si="13"/>
        <v>-0.6293886589752764</v>
      </c>
      <c r="T26" s="30">
        <f t="shared" si="14"/>
        <v>1800290.9605340457</v>
      </c>
      <c r="U26" s="31">
        <f t="shared" si="15"/>
        <v>1999276.5322918494</v>
      </c>
      <c r="V26" s="31">
        <f t="shared" si="16"/>
        <v>4290344.8839647463</v>
      </c>
      <c r="W26" s="42">
        <f t="shared" si="17"/>
        <v>4292095.1123397658</v>
      </c>
      <c r="Y26" s="51" t="s">
        <v>82</v>
      </c>
      <c r="Z26" s="52"/>
      <c r="AA26" s="52"/>
      <c r="AB26" s="52"/>
      <c r="AC26" s="52" t="s">
        <v>83</v>
      </c>
      <c r="AD26" s="52"/>
      <c r="AE26" s="52"/>
      <c r="AF26" s="52"/>
      <c r="AG26" s="9">
        <f>SQRT(AG25)</f>
        <v>1218054.4170697941</v>
      </c>
      <c r="AI26" s="29" t="s">
        <v>115</v>
      </c>
      <c r="AK26" s="8" t="str">
        <f>IF(AND(-AK14&lt;AK25,AK25&lt;AK14),"Se acepta ","Se rechaza H0, La hipotesis de que |xy Y sean linealmente independientes es falsa")</f>
        <v>Se rechaza H0, La hipotesis de que |xy Y sean linealmente independientes es falsa</v>
      </c>
    </row>
    <row r="27" spans="2:38" ht="15" thickBot="1" x14ac:dyDescent="0.35">
      <c r="B27" s="2">
        <v>19</v>
      </c>
      <c r="C27" s="2">
        <v>5135</v>
      </c>
      <c r="D27" s="4">
        <v>3343963.35</v>
      </c>
      <c r="E27" s="4">
        <f t="shared" si="0"/>
        <v>17171251802.25</v>
      </c>
      <c r="F27" s="2">
        <f t="shared" si="1"/>
        <v>26368225</v>
      </c>
      <c r="G27" s="2">
        <f t="shared" si="2"/>
        <v>11182090886143.223</v>
      </c>
      <c r="H27" s="42">
        <f t="shared" si="3"/>
        <v>110.51900000000023</v>
      </c>
      <c r="I27" s="2">
        <f t="shared" si="4"/>
        <v>12214.449361000052</v>
      </c>
      <c r="J27" s="4">
        <f t="shared" si="5"/>
        <v>2054861.453190001</v>
      </c>
      <c r="K27" s="2">
        <f t="shared" si="6"/>
        <v>4222455591806.1226</v>
      </c>
      <c r="L27" s="2">
        <f t="shared" si="7"/>
        <v>227101232.94510621</v>
      </c>
      <c r="N27" s="42">
        <f t="shared" si="8"/>
        <v>1317089.214071969</v>
      </c>
      <c r="O27" s="42">
        <f t="shared" si="9"/>
        <v>783289927.5221585</v>
      </c>
      <c r="P27" s="4">
        <f t="shared" si="10"/>
        <v>2026874.1359280311</v>
      </c>
      <c r="Q27" s="4">
        <f t="shared" si="11"/>
        <v>4108218762894.0024</v>
      </c>
      <c r="R27" s="43">
        <f t="shared" si="12"/>
        <v>1.0015387300974657E-3</v>
      </c>
      <c r="S27" s="4">
        <f t="shared" si="13"/>
        <v>1.6665272124299464</v>
      </c>
      <c r="T27" s="30">
        <f t="shared" si="14"/>
        <v>1241445.0073254916</v>
      </c>
      <c r="U27" s="31">
        <f t="shared" si="15"/>
        <v>1392733.4208184464</v>
      </c>
      <c r="V27" s="31">
        <f t="shared" si="16"/>
        <v>3708523.7878792039</v>
      </c>
      <c r="W27" s="42">
        <f t="shared" si="17"/>
        <v>3708527.4639782878</v>
      </c>
      <c r="Y27" s="53" t="s">
        <v>84</v>
      </c>
      <c r="Z27" s="54"/>
      <c r="AA27" s="54"/>
      <c r="AB27" s="54"/>
      <c r="AC27" s="54" t="s">
        <v>85</v>
      </c>
      <c r="AD27" s="54"/>
      <c r="AE27" s="54"/>
      <c r="AF27" s="54"/>
      <c r="AG27" s="11">
        <f>AG10 - AG17*AG9</f>
        <v>16725.709695209283</v>
      </c>
    </row>
    <row r="28" spans="2:38" x14ac:dyDescent="0.3">
      <c r="B28" s="2">
        <v>20</v>
      </c>
      <c r="C28" s="2">
        <v>3772</v>
      </c>
      <c r="D28" s="4">
        <v>2456364.12</v>
      </c>
      <c r="E28" s="4">
        <f t="shared" si="0"/>
        <v>9265405460.6400013</v>
      </c>
      <c r="F28" s="2">
        <f t="shared" si="1"/>
        <v>14227984</v>
      </c>
      <c r="G28" s="2">
        <f t="shared" si="2"/>
        <v>6033724690023.375</v>
      </c>
      <c r="H28" s="42">
        <f t="shared" si="3"/>
        <v>-1252.4809999999998</v>
      </c>
      <c r="I28" s="2">
        <f t="shared" si="4"/>
        <v>1568708.6553609995</v>
      </c>
      <c r="J28" s="4">
        <f t="shared" si="5"/>
        <v>1167262.223190001</v>
      </c>
      <c r="K28" s="2">
        <f t="shared" si="6"/>
        <v>1362501097686.4636</v>
      </c>
      <c r="L28" s="2">
        <f t="shared" si="7"/>
        <v>-1461973756.5632353</v>
      </c>
      <c r="N28" s="42">
        <f t="shared" si="8"/>
        <v>971929.43676612223</v>
      </c>
      <c r="O28" s="42">
        <f t="shared" si="9"/>
        <v>100598369410.28468</v>
      </c>
      <c r="P28" s="4">
        <f t="shared" si="10"/>
        <v>1484434.6832338779</v>
      </c>
      <c r="Q28" s="4">
        <f t="shared" si="11"/>
        <v>2203546328787.6636</v>
      </c>
      <c r="R28" s="43">
        <f t="shared" si="12"/>
        <v>1.1976199786677346E-3</v>
      </c>
      <c r="S28" s="4">
        <f t="shared" si="13"/>
        <v>1.2206449170201878</v>
      </c>
      <c r="T28" s="30">
        <f t="shared" si="14"/>
        <v>889211.19113624771</v>
      </c>
      <c r="U28" s="31">
        <f t="shared" si="15"/>
        <v>1054647.6823959968</v>
      </c>
      <c r="V28" s="31">
        <f t="shared" si="16"/>
        <v>3363129.7752268733</v>
      </c>
      <c r="W28" s="42">
        <f t="shared" si="17"/>
        <v>3363601.8987183813</v>
      </c>
    </row>
    <row r="29" spans="2:38" x14ac:dyDescent="0.3">
      <c r="B29" s="2">
        <v>21</v>
      </c>
      <c r="C29" s="2">
        <v>9602</v>
      </c>
      <c r="D29" s="4">
        <v>784771.46000000008</v>
      </c>
      <c r="E29" s="4">
        <f t="shared" si="0"/>
        <v>7535375558.920001</v>
      </c>
      <c r="F29" s="2">
        <f t="shared" si="1"/>
        <v>92198404</v>
      </c>
      <c r="G29" s="2">
        <f t="shared" si="2"/>
        <v>615866244430.53174</v>
      </c>
      <c r="H29" s="42">
        <f t="shared" si="3"/>
        <v>4577.5190000000002</v>
      </c>
      <c r="I29" s="2">
        <f t="shared" si="4"/>
        <v>20953680.195361003</v>
      </c>
      <c r="J29" s="4">
        <f t="shared" si="5"/>
        <v>-504330.43680999905</v>
      </c>
      <c r="K29" s="2">
        <f t="shared" si="6"/>
        <v>254349189492.96445</v>
      </c>
      <c r="L29" s="2">
        <f t="shared" si="7"/>
        <v>-2308582156.7760701</v>
      </c>
      <c r="N29" s="42">
        <f t="shared" si="8"/>
        <v>2448291.5069738165</v>
      </c>
      <c r="O29" s="42">
        <f t="shared" si="9"/>
        <v>1343720552311.7429</v>
      </c>
      <c r="P29" s="4">
        <f t="shared" si="10"/>
        <v>-1663520.0469738166</v>
      </c>
      <c r="Q29" s="4">
        <f t="shared" si="11"/>
        <v>2767298946683.769</v>
      </c>
      <c r="R29" s="43">
        <f t="shared" si="12"/>
        <v>3.639665319029462E-3</v>
      </c>
      <c r="S29" s="4">
        <f t="shared" si="13"/>
        <v>-1.3695814410005371</v>
      </c>
      <c r="T29" s="30">
        <f t="shared" si="14"/>
        <v>2304089.095197293</v>
      </c>
      <c r="U29" s="31">
        <f t="shared" si="15"/>
        <v>2592493.9187503401</v>
      </c>
      <c r="V29" s="31">
        <f t="shared" si="16"/>
        <v>4836572.6946175015</v>
      </c>
      <c r="W29" s="42">
        <f t="shared" si="17"/>
        <v>4842878.9855727628</v>
      </c>
    </row>
    <row r="30" spans="2:38" x14ac:dyDescent="0.3">
      <c r="B30" s="2">
        <v>22</v>
      </c>
      <c r="C30" s="2">
        <v>912</v>
      </c>
      <c r="D30" s="4">
        <v>398726.39999999997</v>
      </c>
      <c r="E30" s="4">
        <f t="shared" si="0"/>
        <v>363638476.79999995</v>
      </c>
      <c r="F30" s="2">
        <f t="shared" si="1"/>
        <v>831744</v>
      </c>
      <c r="G30" s="2">
        <f t="shared" si="2"/>
        <v>158982742056.95996</v>
      </c>
      <c r="H30" s="42">
        <f t="shared" si="3"/>
        <v>-4112.4809999999998</v>
      </c>
      <c r="I30" s="2">
        <f t="shared" si="4"/>
        <v>16912499.975360997</v>
      </c>
      <c r="J30" s="4">
        <f t="shared" si="5"/>
        <v>-890375.49680999923</v>
      </c>
      <c r="K30" s="2">
        <f t="shared" si="6"/>
        <v>792768525319.65295</v>
      </c>
      <c r="L30" s="2">
        <f t="shared" si="7"/>
        <v>3661652313.4966822</v>
      </c>
      <c r="N30" s="42">
        <f t="shared" si="8"/>
        <v>247676.34572083829</v>
      </c>
      <c r="O30" s="42">
        <f t="shared" si="9"/>
        <v>1084567178461.3623</v>
      </c>
      <c r="P30" s="4">
        <f t="shared" si="10"/>
        <v>151050.05427916168</v>
      </c>
      <c r="Q30" s="4">
        <f t="shared" si="11"/>
        <v>22816118897.73769</v>
      </c>
      <c r="R30" s="43">
        <f t="shared" si="12"/>
        <v>3.1305727312250747E-3</v>
      </c>
      <c r="S30" s="4">
        <f t="shared" si="13"/>
        <v>0.12432823993167721</v>
      </c>
      <c r="T30" s="30">
        <f t="shared" si="14"/>
        <v>113938.69260034032</v>
      </c>
      <c r="U30" s="31">
        <f t="shared" si="15"/>
        <v>381413.99884133623</v>
      </c>
      <c r="V30" s="31">
        <f t="shared" si="16"/>
        <v>2636566.3823179011</v>
      </c>
      <c r="W30" s="42">
        <f t="shared" si="17"/>
        <v>2641656.4243687107</v>
      </c>
    </row>
    <row r="31" spans="2:38" x14ac:dyDescent="0.3">
      <c r="B31" s="2">
        <v>23</v>
      </c>
      <c r="C31" s="2">
        <v>3019</v>
      </c>
      <c r="D31" s="4">
        <v>460639.02</v>
      </c>
      <c r="E31" s="4">
        <f t="shared" si="0"/>
        <v>1390669201.3800001</v>
      </c>
      <c r="F31" s="2">
        <f t="shared" si="1"/>
        <v>9114361</v>
      </c>
      <c r="G31" s="2">
        <f t="shared" si="2"/>
        <v>212188306746.56042</v>
      </c>
      <c r="H31" s="42">
        <f t="shared" si="3"/>
        <v>-2005.4809999999998</v>
      </c>
      <c r="I31" s="2">
        <f t="shared" si="4"/>
        <v>4021954.041360999</v>
      </c>
      <c r="J31" s="4">
        <f t="shared" si="5"/>
        <v>-828462.87680999911</v>
      </c>
      <c r="K31" s="2">
        <f t="shared" si="6"/>
        <v>686350738252.2998</v>
      </c>
      <c r="L31" s="2">
        <f t="shared" si="7"/>
        <v>1661466558.6477935</v>
      </c>
      <c r="N31" s="42">
        <f t="shared" si="8"/>
        <v>781243.22083706665</v>
      </c>
      <c r="O31" s="42">
        <f t="shared" si="9"/>
        <v>257920434760.98004</v>
      </c>
      <c r="P31" s="4">
        <f t="shared" si="10"/>
        <v>-320604.20083706663</v>
      </c>
      <c r="Q31" s="4">
        <f t="shared" si="11"/>
        <v>102787053594.37416</v>
      </c>
      <c r="R31" s="43">
        <f t="shared" si="12"/>
        <v>1.5066705465926439E-3</v>
      </c>
      <c r="S31" s="4">
        <f t="shared" si="13"/>
        <v>-0.26367239437160239</v>
      </c>
      <c r="T31" s="30">
        <f t="shared" si="14"/>
        <v>688463.95150188066</v>
      </c>
      <c r="U31" s="31">
        <f t="shared" si="15"/>
        <v>874022.49017225264</v>
      </c>
      <c r="V31" s="31">
        <f t="shared" si="16"/>
        <v>3172074.3261216963</v>
      </c>
      <c r="W31" s="42">
        <f t="shared" si="17"/>
        <v>3173284.7860944644</v>
      </c>
    </row>
    <row r="32" spans="2:38" x14ac:dyDescent="0.3">
      <c r="B32" s="2">
        <v>24</v>
      </c>
      <c r="C32" s="2">
        <v>3270</v>
      </c>
      <c r="D32" s="4">
        <v>357345.6</v>
      </c>
      <c r="E32" s="4">
        <f t="shared" si="0"/>
        <v>1168520112</v>
      </c>
      <c r="F32" s="2">
        <f t="shared" si="1"/>
        <v>10692900</v>
      </c>
      <c r="G32" s="2">
        <f t="shared" si="2"/>
        <v>127695877839.35999</v>
      </c>
      <c r="H32" s="42">
        <f t="shared" si="3"/>
        <v>-1754.4809999999998</v>
      </c>
      <c r="I32" s="2">
        <f t="shared" si="4"/>
        <v>3078203.5793609992</v>
      </c>
      <c r="J32" s="4">
        <f t="shared" si="5"/>
        <v>-931756.29680999916</v>
      </c>
      <c r="K32" s="2">
        <f t="shared" si="6"/>
        <v>868169796645.08325</v>
      </c>
      <c r="L32" s="2">
        <f t="shared" si="7"/>
        <v>1634748719.3835039</v>
      </c>
      <c r="N32" s="42">
        <f t="shared" si="8"/>
        <v>844805.29281341855</v>
      </c>
      <c r="O32" s="42">
        <f t="shared" si="9"/>
        <v>197399472322.89435</v>
      </c>
      <c r="P32" s="4">
        <f t="shared" si="10"/>
        <v>-487459.69281341857</v>
      </c>
      <c r="Q32" s="4">
        <f t="shared" si="11"/>
        <v>237616952117.75241</v>
      </c>
      <c r="R32" s="43">
        <f t="shared" si="12"/>
        <v>1.3877804355890903E-3</v>
      </c>
      <c r="S32" s="4">
        <f t="shared" si="13"/>
        <v>-0.40087438882405191</v>
      </c>
      <c r="T32" s="30">
        <f t="shared" si="14"/>
        <v>755761.80167443247</v>
      </c>
      <c r="U32" s="31">
        <f t="shared" si="15"/>
        <v>933848.78395240463</v>
      </c>
      <c r="V32" s="31">
        <f t="shared" si="16"/>
        <v>3235778.4468870219</v>
      </c>
      <c r="W32" s="42">
        <f t="shared" si="17"/>
        <v>3236704.872732047</v>
      </c>
    </row>
    <row r="33" spans="2:23" x14ac:dyDescent="0.3">
      <c r="B33" s="2">
        <v>25</v>
      </c>
      <c r="C33" s="2">
        <v>6047</v>
      </c>
      <c r="D33" s="4">
        <v>931600.82000000007</v>
      </c>
      <c r="E33" s="4">
        <f t="shared" si="0"/>
        <v>5633390158.54</v>
      </c>
      <c r="F33" s="2">
        <f t="shared" si="1"/>
        <v>36566209</v>
      </c>
      <c r="G33" s="2">
        <f t="shared" si="2"/>
        <v>867880087824.67249</v>
      </c>
      <c r="H33" s="42">
        <f t="shared" si="3"/>
        <v>1022.5190000000002</v>
      </c>
      <c r="I33" s="2">
        <f t="shared" si="4"/>
        <v>1045545.1053610005</v>
      </c>
      <c r="J33" s="4">
        <f t="shared" si="5"/>
        <v>-357501.07680999907</v>
      </c>
      <c r="K33" s="2">
        <f t="shared" si="6"/>
        <v>127807019920.30885</v>
      </c>
      <c r="L33" s="2">
        <f t="shared" si="7"/>
        <v>-365551643.55868351</v>
      </c>
      <c r="N33" s="42">
        <f t="shared" si="8"/>
        <v>1548039.850097598</v>
      </c>
      <c r="O33" s="42">
        <f t="shared" si="9"/>
        <v>67048863652.770752</v>
      </c>
      <c r="P33" s="4">
        <f t="shared" si="10"/>
        <v>-616439.03009759798</v>
      </c>
      <c r="Q33" s="4">
        <f t="shared" si="11"/>
        <v>379997077827.6673</v>
      </c>
      <c r="R33" s="43">
        <f t="shared" si="12"/>
        <v>1.1317138148702612E-3</v>
      </c>
      <c r="S33" s="4">
        <f t="shared" si="13"/>
        <v>-0.506878714898084</v>
      </c>
      <c r="T33" s="30">
        <f t="shared" si="14"/>
        <v>1467629.8417052624</v>
      </c>
      <c r="U33" s="31">
        <f t="shared" si="15"/>
        <v>1628449.8584899337</v>
      </c>
      <c r="V33" s="31">
        <f t="shared" si="16"/>
        <v>3939318.9215079676</v>
      </c>
      <c r="W33" s="42">
        <f t="shared" si="17"/>
        <v>3939633.5920509319</v>
      </c>
    </row>
    <row r="34" spans="2:23" x14ac:dyDescent="0.3">
      <c r="B34" s="2">
        <v>26</v>
      </c>
      <c r="C34" s="2">
        <v>7761</v>
      </c>
      <c r="D34" s="4">
        <v>634306.53</v>
      </c>
      <c r="E34" s="4">
        <f t="shared" si="0"/>
        <v>4922852979.3299999</v>
      </c>
      <c r="F34" s="2">
        <f t="shared" si="1"/>
        <v>60233121</v>
      </c>
      <c r="G34" s="2">
        <f t="shared" si="2"/>
        <v>402344774000.64093</v>
      </c>
      <c r="H34" s="42">
        <f t="shared" si="3"/>
        <v>2736.5190000000002</v>
      </c>
      <c r="I34" s="2">
        <f t="shared" si="4"/>
        <v>7488536.2373610009</v>
      </c>
      <c r="J34" s="4">
        <f t="shared" si="5"/>
        <v>-654795.3668099991</v>
      </c>
      <c r="K34" s="2">
        <f t="shared" si="6"/>
        <v>428756972395.84125</v>
      </c>
      <c r="L34" s="2">
        <f t="shared" si="7"/>
        <v>-1791859962.387532</v>
      </c>
      <c r="N34" s="42">
        <f t="shared" si="8"/>
        <v>1982085.2340317299</v>
      </c>
      <c r="O34" s="42">
        <f t="shared" si="9"/>
        <v>480225905666.96698</v>
      </c>
      <c r="P34" s="4">
        <f t="shared" si="10"/>
        <v>-1347778.7040317298</v>
      </c>
      <c r="Q34" s="4">
        <f t="shared" si="11"/>
        <v>1816507435041.4492</v>
      </c>
      <c r="R34" s="43">
        <f t="shared" si="12"/>
        <v>1.9433774502501731E-3</v>
      </c>
      <c r="S34" s="4">
        <f t="shared" si="13"/>
        <v>-1.1086872110491479</v>
      </c>
      <c r="T34" s="30">
        <f t="shared" si="14"/>
        <v>1876714.4095269279</v>
      </c>
      <c r="U34" s="31">
        <f t="shared" si="15"/>
        <v>2087456.0585365319</v>
      </c>
      <c r="V34" s="31">
        <f t="shared" si="16"/>
        <v>4372394.4935540352</v>
      </c>
      <c r="W34" s="42">
        <f t="shared" si="17"/>
        <v>4374648.2672154978</v>
      </c>
    </row>
    <row r="35" spans="2:23" x14ac:dyDescent="0.3">
      <c r="B35" s="2">
        <v>27</v>
      </c>
      <c r="C35" s="2">
        <v>1852</v>
      </c>
      <c r="D35" s="4">
        <v>202386.56</v>
      </c>
      <c r="E35" s="4">
        <f t="shared" si="0"/>
        <v>374819909.12</v>
      </c>
      <c r="F35" s="2">
        <f t="shared" si="1"/>
        <v>3429904</v>
      </c>
      <c r="G35" s="2">
        <f t="shared" si="2"/>
        <v>40960319668.633598</v>
      </c>
      <c r="H35" s="42">
        <f t="shared" si="3"/>
        <v>-3172.4809999999998</v>
      </c>
      <c r="I35" s="2">
        <f t="shared" si="4"/>
        <v>10064635.695360998</v>
      </c>
      <c r="J35" s="4">
        <f t="shared" si="5"/>
        <v>-1086715.3368099991</v>
      </c>
      <c r="K35" s="2">
        <f t="shared" si="6"/>
        <v>1180950223258.0698</v>
      </c>
      <c r="L35" s="2">
        <f t="shared" si="7"/>
        <v>3447583758.4383225</v>
      </c>
      <c r="N35" s="42">
        <f t="shared" si="8"/>
        <v>485717.57144900854</v>
      </c>
      <c r="O35" s="42">
        <f t="shared" si="9"/>
        <v>645426374235.73401</v>
      </c>
      <c r="P35" s="4">
        <f t="shared" si="10"/>
        <v>-283331.01144900854</v>
      </c>
      <c r="Q35" s="4">
        <f t="shared" si="11"/>
        <v>80276462048.718201</v>
      </c>
      <c r="R35" s="43">
        <f t="shared" si="12"/>
        <v>2.2679047091494794E-3</v>
      </c>
      <c r="S35" s="4">
        <f t="shared" si="13"/>
        <v>-0.23310692682182513</v>
      </c>
      <c r="T35" s="30">
        <f t="shared" si="14"/>
        <v>371888.23606049898</v>
      </c>
      <c r="U35" s="31">
        <f t="shared" si="15"/>
        <v>599546.90683751809</v>
      </c>
      <c r="V35" s="31">
        <f t="shared" si="16"/>
        <v>2875638.9612064008</v>
      </c>
      <c r="W35" s="42">
        <f t="shared" si="17"/>
        <v>2878668.0462176958</v>
      </c>
    </row>
    <row r="36" spans="2:23" x14ac:dyDescent="0.3">
      <c r="B36" s="2">
        <v>28</v>
      </c>
      <c r="C36" s="2">
        <v>3797</v>
      </c>
      <c r="D36" s="4">
        <v>414936.16000000003</v>
      </c>
      <c r="E36" s="4">
        <f t="shared" si="0"/>
        <v>1575512599.5200002</v>
      </c>
      <c r="F36" s="2">
        <f t="shared" si="1"/>
        <v>14417209</v>
      </c>
      <c r="G36" s="2">
        <f t="shared" si="2"/>
        <v>172172016875.54562</v>
      </c>
      <c r="H36" s="42">
        <f t="shared" si="3"/>
        <v>-1227.4809999999998</v>
      </c>
      <c r="I36" s="2">
        <f t="shared" si="4"/>
        <v>1506709.6053609995</v>
      </c>
      <c r="J36" s="4">
        <f t="shared" si="5"/>
        <v>-874165.7368099991</v>
      </c>
      <c r="K36" s="2">
        <f t="shared" si="6"/>
        <v>764165735412.5686</v>
      </c>
      <c r="L36" s="2">
        <f t="shared" si="7"/>
        <v>1073021832.7852743</v>
      </c>
      <c r="N36" s="42">
        <f t="shared" si="8"/>
        <v>978260.32042910554</v>
      </c>
      <c r="O36" s="42">
        <f t="shared" si="9"/>
        <v>96622485606.958908</v>
      </c>
      <c r="P36" s="4">
        <f t="shared" si="10"/>
        <v>-563324.16042910551</v>
      </c>
      <c r="Q36" s="4">
        <f t="shared" si="11"/>
        <v>317334109723.15662</v>
      </c>
      <c r="R36" s="43">
        <f t="shared" si="12"/>
        <v>1.1898095730219517E-3</v>
      </c>
      <c r="S36" s="4">
        <f t="shared" si="13"/>
        <v>-0.46321747419000187</v>
      </c>
      <c r="T36" s="30">
        <f t="shared" si="14"/>
        <v>895812.24390762101</v>
      </c>
      <c r="U36" s="31">
        <f t="shared" si="15"/>
        <v>1060708.39695059</v>
      </c>
      <c r="V36" s="31">
        <f t="shared" si="16"/>
        <v>3369469.9895072486</v>
      </c>
      <c r="W36" s="42">
        <f t="shared" si="17"/>
        <v>3369923.45356947</v>
      </c>
    </row>
    <row r="37" spans="2:23" x14ac:dyDescent="0.3">
      <c r="B37" s="2">
        <v>29</v>
      </c>
      <c r="C37" s="2">
        <v>6098</v>
      </c>
      <c r="D37" s="4">
        <v>4075110.46</v>
      </c>
      <c r="E37" s="4">
        <f t="shared" si="0"/>
        <v>24850023585.079998</v>
      </c>
      <c r="F37" s="2">
        <f t="shared" si="1"/>
        <v>37185604</v>
      </c>
      <c r="G37" s="2">
        <f t="shared" si="2"/>
        <v>16606525261201.412</v>
      </c>
      <c r="H37" s="42">
        <f t="shared" si="3"/>
        <v>1073.5190000000002</v>
      </c>
      <c r="I37" s="2">
        <f t="shared" si="4"/>
        <v>1152443.0433610005</v>
      </c>
      <c r="J37" s="4">
        <f t="shared" si="5"/>
        <v>2786008.5631900011</v>
      </c>
      <c r="K37" s="2">
        <f t="shared" si="6"/>
        <v>7761843714168.0137</v>
      </c>
      <c r="L37" s="2">
        <f t="shared" si="7"/>
        <v>2990833126.7471676</v>
      </c>
      <c r="N37" s="42">
        <f t="shared" si="8"/>
        <v>1560954.852770084</v>
      </c>
      <c r="O37" s="42">
        <f t="shared" si="9"/>
        <v>73904029664.23587</v>
      </c>
      <c r="P37" s="4">
        <f t="shared" si="10"/>
        <v>2514155.6072299159</v>
      </c>
      <c r="Q37" s="4">
        <f t="shared" si="11"/>
        <v>6320978417365.627</v>
      </c>
      <c r="R37" s="43">
        <f t="shared" si="12"/>
        <v>1.1451804124790589E-3</v>
      </c>
      <c r="S37" s="4">
        <f t="shared" si="13"/>
        <v>2.0673261937693233</v>
      </c>
      <c r="T37" s="30">
        <f t="shared" si="14"/>
        <v>1480067.8479185472</v>
      </c>
      <c r="U37" s="31">
        <f t="shared" si="15"/>
        <v>1641841.8576216209</v>
      </c>
      <c r="V37" s="31">
        <f t="shared" si="16"/>
        <v>3952217.8368981457</v>
      </c>
      <c r="W37" s="42">
        <f t="shared" si="17"/>
        <v>3952564.679780867</v>
      </c>
    </row>
    <row r="38" spans="2:23" x14ac:dyDescent="0.3">
      <c r="B38" s="2">
        <v>30</v>
      </c>
      <c r="C38" s="2">
        <v>3293</v>
      </c>
      <c r="D38" s="4">
        <v>1439699.5999999999</v>
      </c>
      <c r="E38" s="4">
        <f t="shared" si="0"/>
        <v>4740930782.7999992</v>
      </c>
      <c r="F38" s="2">
        <f t="shared" si="1"/>
        <v>10843849</v>
      </c>
      <c r="G38" s="2">
        <f t="shared" si="2"/>
        <v>2072734938240.1597</v>
      </c>
      <c r="H38" s="42">
        <f t="shared" si="3"/>
        <v>-1731.4809999999998</v>
      </c>
      <c r="I38" s="2">
        <f t="shared" si="4"/>
        <v>2998026.453360999</v>
      </c>
      <c r="J38" s="4">
        <f t="shared" si="5"/>
        <v>150597.70319000073</v>
      </c>
      <c r="K38" s="2">
        <f t="shared" si="6"/>
        <v>22679668206.103554</v>
      </c>
      <c r="L38" s="2">
        <f t="shared" si="7"/>
        <v>-260757061.71712562</v>
      </c>
      <c r="N38" s="42">
        <f t="shared" si="8"/>
        <v>850629.7057833632</v>
      </c>
      <c r="O38" s="42">
        <f t="shared" si="9"/>
        <v>192257862303.6987</v>
      </c>
      <c r="P38" s="4">
        <f t="shared" si="10"/>
        <v>589069.89421663666</v>
      </c>
      <c r="Q38" s="4">
        <f t="shared" si="11"/>
        <v>347003340272.39954</v>
      </c>
      <c r="R38" s="43">
        <f t="shared" si="12"/>
        <v>1.3776800247348427E-3</v>
      </c>
      <c r="S38" s="4">
        <f t="shared" si="13"/>
        <v>0.4844335707773712</v>
      </c>
      <c r="T38" s="30">
        <f t="shared" si="14"/>
        <v>761910.84029891877</v>
      </c>
      <c r="U38" s="31">
        <f t="shared" si="15"/>
        <v>939348.57126780762</v>
      </c>
      <c r="V38" s="31">
        <f t="shared" si="16"/>
        <v>3241614.9273441425</v>
      </c>
      <c r="W38" s="42">
        <f t="shared" si="17"/>
        <v>3242517.2228279132</v>
      </c>
    </row>
    <row r="39" spans="2:23" x14ac:dyDescent="0.3">
      <c r="B39" s="2">
        <v>31</v>
      </c>
      <c r="C39" s="2">
        <v>6948</v>
      </c>
      <c r="D39" s="4">
        <v>1070408.8800000001</v>
      </c>
      <c r="E39" s="4">
        <f t="shared" si="0"/>
        <v>7437200898.2400007</v>
      </c>
      <c r="F39" s="2">
        <f t="shared" si="1"/>
        <v>48274704</v>
      </c>
      <c r="G39" s="2">
        <f t="shared" si="2"/>
        <v>1145775170382.8547</v>
      </c>
      <c r="H39" s="42">
        <f t="shared" si="3"/>
        <v>1923.5190000000002</v>
      </c>
      <c r="I39" s="2">
        <f t="shared" si="4"/>
        <v>3699925.343361001</v>
      </c>
      <c r="J39" s="4">
        <f t="shared" si="5"/>
        <v>-218693.01680999901</v>
      </c>
      <c r="K39" s="2">
        <f t="shared" si="6"/>
        <v>47826635601.458511</v>
      </c>
      <c r="L39" s="2">
        <f t="shared" si="7"/>
        <v>-420660173.00135255</v>
      </c>
      <c r="N39" s="42">
        <f t="shared" si="8"/>
        <v>1776204.8973115145</v>
      </c>
      <c r="O39" s="42">
        <f t="shared" si="9"/>
        <v>237269333097.57925</v>
      </c>
      <c r="P39" s="4">
        <f t="shared" si="10"/>
        <v>-705796.01731151436</v>
      </c>
      <c r="Q39" s="4">
        <f t="shared" si="11"/>
        <v>498148018052.79547</v>
      </c>
      <c r="R39" s="43">
        <f t="shared" si="12"/>
        <v>1.4661025901326133E-3</v>
      </c>
      <c r="S39" s="4">
        <f t="shared" si="13"/>
        <v>-0.58045136317373625</v>
      </c>
      <c r="T39" s="30">
        <f t="shared" si="14"/>
        <v>1684683.2182180721</v>
      </c>
      <c r="U39" s="31">
        <f t="shared" si="15"/>
        <v>1867726.5764049569</v>
      </c>
      <c r="V39" s="31">
        <f t="shared" si="16"/>
        <v>4167084.4737583939</v>
      </c>
      <c r="W39" s="42">
        <f t="shared" si="17"/>
        <v>4168198.0149531132</v>
      </c>
    </row>
    <row r="40" spans="2:23" x14ac:dyDescent="0.3">
      <c r="B40" s="2">
        <v>32</v>
      </c>
      <c r="C40" s="2">
        <v>663</v>
      </c>
      <c r="D40" s="4">
        <v>54186.990000000005</v>
      </c>
      <c r="E40" s="4">
        <f t="shared" si="0"/>
        <v>35925974.370000005</v>
      </c>
      <c r="F40" s="2">
        <f t="shared" si="1"/>
        <v>439569</v>
      </c>
      <c r="G40" s="2">
        <f t="shared" si="2"/>
        <v>2936229885.2601004</v>
      </c>
      <c r="H40" s="42">
        <f t="shared" si="3"/>
        <v>-4361.4809999999998</v>
      </c>
      <c r="I40" s="2">
        <f t="shared" si="4"/>
        <v>19022516.513361</v>
      </c>
      <c r="J40" s="4">
        <f t="shared" si="5"/>
        <v>-1234914.9068099991</v>
      </c>
      <c r="K40" s="2">
        <f t="shared" si="6"/>
        <v>1525014827061.5488</v>
      </c>
      <c r="L40" s="2">
        <f t="shared" si="7"/>
        <v>5386057902.668582</v>
      </c>
      <c r="N40" s="42">
        <f t="shared" si="8"/>
        <v>184620.74443752511</v>
      </c>
      <c r="O40" s="42">
        <f t="shared" si="9"/>
        <v>1219878615946.0283</v>
      </c>
      <c r="P40" s="4">
        <f t="shared" si="10"/>
        <v>-130433.7544375251</v>
      </c>
      <c r="Q40" s="4">
        <f t="shared" si="11"/>
        <v>17012964296.6686</v>
      </c>
      <c r="R40" s="43">
        <f t="shared" si="12"/>
        <v>3.3963846280378514E-3</v>
      </c>
      <c r="S40" s="4">
        <f t="shared" si="13"/>
        <v>-0.10737342450960437</v>
      </c>
      <c r="T40" s="30">
        <f t="shared" si="14"/>
        <v>45321.02809639473</v>
      </c>
      <c r="U40" s="31">
        <f t="shared" si="15"/>
        <v>323920.46077865548</v>
      </c>
      <c r="V40" s="31">
        <f t="shared" si="16"/>
        <v>2573192.9028288466</v>
      </c>
      <c r="W40" s="42">
        <f t="shared" si="17"/>
        <v>2578917.9833102203</v>
      </c>
    </row>
    <row r="41" spans="2:23" x14ac:dyDescent="0.3">
      <c r="B41" s="2">
        <v>33</v>
      </c>
      <c r="C41" s="2">
        <v>5067</v>
      </c>
      <c r="D41" s="4">
        <v>553721.76</v>
      </c>
      <c r="E41" s="4">
        <f t="shared" si="0"/>
        <v>2805708157.9200001</v>
      </c>
      <c r="F41" s="2">
        <f t="shared" si="1"/>
        <v>25674489</v>
      </c>
      <c r="G41" s="2">
        <f t="shared" si="2"/>
        <v>306607787497.49762</v>
      </c>
      <c r="H41" s="42">
        <f t="shared" si="3"/>
        <v>42.519000000000233</v>
      </c>
      <c r="I41" s="2">
        <f t="shared" si="4"/>
        <v>1807.8653610000199</v>
      </c>
      <c r="J41" s="4">
        <f t="shared" si="5"/>
        <v>-735380.13680999912</v>
      </c>
      <c r="K41" s="2">
        <f t="shared" si="6"/>
        <v>540783945614.69305</v>
      </c>
      <c r="L41" s="2">
        <f t="shared" si="7"/>
        <v>-31267628.037024524</v>
      </c>
      <c r="N41" s="42">
        <f t="shared" si="8"/>
        <v>1299869.2105086546</v>
      </c>
      <c r="O41" s="42">
        <f t="shared" si="9"/>
        <v>115935044.28525352</v>
      </c>
      <c r="P41" s="4">
        <f t="shared" si="10"/>
        <v>-746147.45050865458</v>
      </c>
      <c r="Q41" s="4">
        <f t="shared" si="11"/>
        <v>556736017900.56519</v>
      </c>
      <c r="R41" s="43">
        <f t="shared" si="12"/>
        <v>1.0002277480352097E-3</v>
      </c>
      <c r="S41" s="4">
        <f t="shared" si="13"/>
        <v>-0.61349355286211293</v>
      </c>
      <c r="T41" s="30">
        <f t="shared" si="14"/>
        <v>1224274.5278936117</v>
      </c>
      <c r="U41" s="31">
        <f t="shared" si="15"/>
        <v>1375463.8931236975</v>
      </c>
      <c r="V41" s="31">
        <f t="shared" si="16"/>
        <v>3691305.3503157003</v>
      </c>
      <c r="W41" s="42">
        <f t="shared" si="17"/>
        <v>3691305.8944165437</v>
      </c>
    </row>
    <row r="42" spans="2:23" x14ac:dyDescent="0.3">
      <c r="B42" s="2">
        <v>34</v>
      </c>
      <c r="C42" s="2">
        <v>2822</v>
      </c>
      <c r="D42" s="4">
        <v>26329.26</v>
      </c>
      <c r="E42" s="4">
        <f t="shared" si="0"/>
        <v>74301171.719999999</v>
      </c>
      <c r="F42" s="2">
        <f t="shared" si="1"/>
        <v>7963684</v>
      </c>
      <c r="G42" s="2">
        <f t="shared" si="2"/>
        <v>693229932.14759994</v>
      </c>
      <c r="H42" s="42">
        <f t="shared" si="3"/>
        <v>-2202.4809999999998</v>
      </c>
      <c r="I42" s="2">
        <f t="shared" si="4"/>
        <v>4850922.555360999</v>
      </c>
      <c r="J42" s="4">
        <f t="shared" si="5"/>
        <v>-1262772.6368099991</v>
      </c>
      <c r="K42" s="2">
        <f t="shared" si="6"/>
        <v>1594594732276.0779</v>
      </c>
      <c r="L42" s="2">
        <f t="shared" si="7"/>
        <v>2781232739.8939233</v>
      </c>
      <c r="N42" s="42">
        <f t="shared" si="8"/>
        <v>731355.85757275869</v>
      </c>
      <c r="O42" s="42">
        <f t="shared" si="9"/>
        <v>311080644284.82935</v>
      </c>
      <c r="P42" s="4">
        <f t="shared" si="10"/>
        <v>-705026.59757275868</v>
      </c>
      <c r="Q42" s="4">
        <f t="shared" si="11"/>
        <v>497062503285.02063</v>
      </c>
      <c r="R42" s="43">
        <f t="shared" si="12"/>
        <v>1.6111008622494438E-3</v>
      </c>
      <c r="S42" s="4">
        <f t="shared" si="13"/>
        <v>-0.57986068988881312</v>
      </c>
      <c r="T42" s="30">
        <f t="shared" si="14"/>
        <v>635415.09550300159</v>
      </c>
      <c r="U42" s="31">
        <f t="shared" si="15"/>
        <v>827296.61964251578</v>
      </c>
      <c r="V42" s="31">
        <f t="shared" si="16"/>
        <v>3122062.1835334296</v>
      </c>
      <c r="W42" s="42">
        <f t="shared" si="17"/>
        <v>3123522.1325058406</v>
      </c>
    </row>
    <row r="43" spans="2:23" x14ac:dyDescent="0.3">
      <c r="B43" s="2">
        <v>35</v>
      </c>
      <c r="C43" s="2">
        <v>3619</v>
      </c>
      <c r="D43" s="4">
        <v>395484.32</v>
      </c>
      <c r="E43" s="4">
        <f t="shared" si="0"/>
        <v>1431257754.0799999</v>
      </c>
      <c r="F43" s="2">
        <f t="shared" si="1"/>
        <v>13097161</v>
      </c>
      <c r="G43" s="2">
        <f t="shared" si="2"/>
        <v>156407847365.8624</v>
      </c>
      <c r="H43" s="42">
        <f t="shared" si="3"/>
        <v>-1405.4809999999998</v>
      </c>
      <c r="I43" s="2">
        <f t="shared" si="4"/>
        <v>1975376.8413609993</v>
      </c>
      <c r="J43" s="4">
        <f t="shared" si="5"/>
        <v>-893617.57680999907</v>
      </c>
      <c r="K43" s="2">
        <f t="shared" si="6"/>
        <v>798552373583.77454</v>
      </c>
      <c r="L43" s="2">
        <f t="shared" si="7"/>
        <v>1255962525.4724941</v>
      </c>
      <c r="N43" s="42">
        <f t="shared" si="8"/>
        <v>933184.42874866468</v>
      </c>
      <c r="O43" s="42">
        <f t="shared" si="9"/>
        <v>126677244071.19102</v>
      </c>
      <c r="P43" s="4">
        <f t="shared" si="10"/>
        <v>-537700.10874866461</v>
      </c>
      <c r="Q43" s="4">
        <f t="shared" si="11"/>
        <v>289121406948.32574</v>
      </c>
      <c r="R43" s="43">
        <f t="shared" si="12"/>
        <v>1.2488504974562421E-3</v>
      </c>
      <c r="S43" s="4">
        <f t="shared" si="13"/>
        <v>-0.44216006617710363</v>
      </c>
      <c r="T43" s="30">
        <f t="shared" si="14"/>
        <v>848715.49262191751</v>
      </c>
      <c r="U43" s="31">
        <f t="shared" si="15"/>
        <v>1017653.3648754118</v>
      </c>
      <c r="V43" s="31">
        <f t="shared" si="16"/>
        <v>3324323.5643165875</v>
      </c>
      <c r="W43" s="42">
        <f t="shared" si="17"/>
        <v>3324918.0799462805</v>
      </c>
    </row>
    <row r="44" spans="2:23" x14ac:dyDescent="0.3">
      <c r="B44" s="2">
        <v>36</v>
      </c>
      <c r="C44" s="2">
        <v>9183</v>
      </c>
      <c r="D44" s="4">
        <v>3874215.8699999996</v>
      </c>
      <c r="E44" s="4">
        <f t="shared" si="0"/>
        <v>35576924334.209999</v>
      </c>
      <c r="F44" s="2">
        <f t="shared" si="1"/>
        <v>84327489</v>
      </c>
      <c r="G44" s="2">
        <f t="shared" si="2"/>
        <v>15009548607359.854</v>
      </c>
      <c r="H44" s="42">
        <f t="shared" si="3"/>
        <v>4158.5190000000002</v>
      </c>
      <c r="I44" s="2">
        <f t="shared" si="4"/>
        <v>17293280.273361001</v>
      </c>
      <c r="J44" s="4">
        <f t="shared" si="5"/>
        <v>2585113.9731900003</v>
      </c>
      <c r="K44" s="2">
        <f t="shared" si="6"/>
        <v>6682814254382.1895</v>
      </c>
      <c r="L44" s="2">
        <f t="shared" si="7"/>
        <v>10750245574.676107</v>
      </c>
      <c r="N44" s="42">
        <f t="shared" si="8"/>
        <v>2342185.8967822171</v>
      </c>
      <c r="O44" s="42">
        <f t="shared" si="9"/>
        <v>1108985910997.4863</v>
      </c>
      <c r="P44" s="4">
        <f t="shared" si="10"/>
        <v>1532029.9732177826</v>
      </c>
      <c r="Q44" s="4">
        <f t="shared" si="11"/>
        <v>2347115838837.6797</v>
      </c>
      <c r="R44" s="43">
        <f t="shared" si="12"/>
        <v>3.1785419918718438E-3</v>
      </c>
      <c r="S44" s="4">
        <f t="shared" si="13"/>
        <v>1.2610334632224416</v>
      </c>
      <c r="T44" s="30">
        <f t="shared" si="14"/>
        <v>2207427.5186621151</v>
      </c>
      <c r="U44" s="31">
        <f t="shared" si="15"/>
        <v>2476944.2749023191</v>
      </c>
      <c r="V44" s="31">
        <f t="shared" si="16"/>
        <v>4731018.5711948331</v>
      </c>
      <c r="W44" s="42">
        <f t="shared" si="17"/>
        <v>4736223.2142804749</v>
      </c>
    </row>
    <row r="45" spans="2:23" x14ac:dyDescent="0.3">
      <c r="B45" s="2">
        <v>37</v>
      </c>
      <c r="C45" s="2">
        <v>8268</v>
      </c>
      <c r="D45" s="4">
        <v>392316.60000000003</v>
      </c>
      <c r="E45" s="4">
        <f t="shared" si="0"/>
        <v>3243673648.8000002</v>
      </c>
      <c r="F45" s="2">
        <f t="shared" si="1"/>
        <v>68359824</v>
      </c>
      <c r="G45" s="2">
        <f t="shared" si="2"/>
        <v>153912314635.56003</v>
      </c>
      <c r="H45" s="42">
        <f t="shared" si="3"/>
        <v>3243.5190000000002</v>
      </c>
      <c r="I45" s="2">
        <f t="shared" si="4"/>
        <v>10520415.503361002</v>
      </c>
      <c r="J45" s="4">
        <f t="shared" si="5"/>
        <v>-896785.29680999904</v>
      </c>
      <c r="K45" s="2">
        <f t="shared" si="6"/>
        <v>804223868574.59802</v>
      </c>
      <c r="L45" s="2">
        <f t="shared" si="7"/>
        <v>-2908740149.1238713</v>
      </c>
      <c r="N45" s="42">
        <f t="shared" si="8"/>
        <v>2110475.5547170304</v>
      </c>
      <c r="O45" s="42">
        <f t="shared" si="9"/>
        <v>674654685903.57678</v>
      </c>
      <c r="P45" s="4">
        <f t="shared" si="10"/>
        <v>-1718158.9547170303</v>
      </c>
      <c r="Q45" s="4">
        <f t="shared" si="11"/>
        <v>2952070193674.3184</v>
      </c>
      <c r="R45" s="43">
        <f t="shared" si="12"/>
        <v>2.3253221241846611E-3</v>
      </c>
      <c r="S45" s="4">
        <f t="shared" si="13"/>
        <v>-1.4136337444027127</v>
      </c>
      <c r="T45" s="30">
        <f t="shared" si="14"/>
        <v>1995214.2953090153</v>
      </c>
      <c r="U45" s="31">
        <f t="shared" si="15"/>
        <v>2225736.8141250452</v>
      </c>
      <c r="V45" s="31">
        <f t="shared" si="16"/>
        <v>4500328.3135485388</v>
      </c>
      <c r="W45" s="42">
        <f t="shared" si="17"/>
        <v>4503494.5715702213</v>
      </c>
    </row>
    <row r="46" spans="2:23" x14ac:dyDescent="0.3">
      <c r="B46" s="2">
        <v>38</v>
      </c>
      <c r="C46" s="2">
        <v>1660</v>
      </c>
      <c r="D46" s="4">
        <v>341462</v>
      </c>
      <c r="E46" s="4">
        <f t="shared" si="0"/>
        <v>566826920</v>
      </c>
      <c r="F46" s="2">
        <f t="shared" si="1"/>
        <v>2755600</v>
      </c>
      <c r="G46" s="2">
        <f t="shared" si="2"/>
        <v>116596297444</v>
      </c>
      <c r="H46" s="42">
        <f t="shared" si="3"/>
        <v>-3364.4809999999998</v>
      </c>
      <c r="I46" s="2">
        <f t="shared" si="4"/>
        <v>11319732.399360998</v>
      </c>
      <c r="J46" s="4">
        <f t="shared" si="5"/>
        <v>-947639.89680999913</v>
      </c>
      <c r="K46" s="2">
        <f t="shared" si="6"/>
        <v>898021374026.0658</v>
      </c>
      <c r="L46" s="2">
        <f t="shared" si="7"/>
        <v>3188316427.6592026</v>
      </c>
      <c r="N46" s="42">
        <f t="shared" si="8"/>
        <v>437096.38491729717</v>
      </c>
      <c r="O46" s="42">
        <f t="shared" si="9"/>
        <v>725913392295.54517</v>
      </c>
      <c r="P46" s="4">
        <f t="shared" si="10"/>
        <v>-95634.384917297168</v>
      </c>
      <c r="Q46" s="4">
        <f t="shared" si="11"/>
        <v>9145935578.5097561</v>
      </c>
      <c r="R46" s="43">
        <f t="shared" si="12"/>
        <v>2.4260170412404537E-3</v>
      </c>
      <c r="S46" s="4">
        <f t="shared" si="13"/>
        <v>-7.8688189021892313E-2</v>
      </c>
      <c r="T46" s="30">
        <f t="shared" si="14"/>
        <v>319365.95705654367</v>
      </c>
      <c r="U46" s="31">
        <f t="shared" si="15"/>
        <v>554826.81277805066</v>
      </c>
      <c r="V46" s="31">
        <f t="shared" si="16"/>
        <v>2826828.7785485629</v>
      </c>
      <c r="W46" s="42">
        <f t="shared" si="17"/>
        <v>2830235.6016669134</v>
      </c>
    </row>
    <row r="47" spans="2:23" x14ac:dyDescent="0.3">
      <c r="B47" s="2">
        <v>39</v>
      </c>
      <c r="C47" s="2">
        <v>7177</v>
      </c>
      <c r="D47" s="4">
        <v>1105688.6200000001</v>
      </c>
      <c r="E47" s="4">
        <f t="shared" si="0"/>
        <v>7935527225.7400007</v>
      </c>
      <c r="F47" s="2">
        <f t="shared" si="1"/>
        <v>51509329</v>
      </c>
      <c r="G47" s="2">
        <f t="shared" si="2"/>
        <v>1222547324397.5046</v>
      </c>
      <c r="H47" s="42">
        <f t="shared" si="3"/>
        <v>2152.5190000000002</v>
      </c>
      <c r="I47" s="2">
        <f t="shared" si="4"/>
        <v>4633338.045361001</v>
      </c>
      <c r="J47" s="4">
        <f t="shared" si="5"/>
        <v>-183413.27680999902</v>
      </c>
      <c r="K47" s="2">
        <f t="shared" si="6"/>
        <v>33640430110.181324</v>
      </c>
      <c r="L47" s="2">
        <f t="shared" si="7"/>
        <v>-394800563.18578231</v>
      </c>
      <c r="N47" s="42">
        <f t="shared" si="8"/>
        <v>1834195.7916644411</v>
      </c>
      <c r="O47" s="42">
        <f t="shared" si="9"/>
        <v>297127354207.58545</v>
      </c>
      <c r="P47" s="4">
        <f t="shared" si="10"/>
        <v>-728507.171664441</v>
      </c>
      <c r="Q47" s="4">
        <f t="shared" si="11"/>
        <v>530722699166.52332</v>
      </c>
      <c r="R47" s="43">
        <f t="shared" si="12"/>
        <v>1.5836903892609247E-3</v>
      </c>
      <c r="S47" s="4">
        <f t="shared" si="13"/>
        <v>-0.59916444832260862</v>
      </c>
      <c r="T47" s="30">
        <f t="shared" si="14"/>
        <v>1739074.6751414067</v>
      </c>
      <c r="U47" s="31">
        <f t="shared" si="15"/>
        <v>1929316.9081874755</v>
      </c>
      <c r="V47" s="31">
        <f t="shared" si="16"/>
        <v>4224934.8698589448</v>
      </c>
      <c r="W47" s="42">
        <f t="shared" si="17"/>
        <v>4226329.3339043558</v>
      </c>
    </row>
    <row r="48" spans="2:23" x14ac:dyDescent="0.3">
      <c r="B48" s="2">
        <v>40</v>
      </c>
      <c r="C48" s="2">
        <v>4668</v>
      </c>
      <c r="D48" s="4">
        <v>3119484.36</v>
      </c>
      <c r="E48" s="4">
        <f t="shared" si="0"/>
        <v>14561752992.48</v>
      </c>
      <c r="F48" s="2">
        <f t="shared" si="1"/>
        <v>21790224</v>
      </c>
      <c r="G48" s="2">
        <f t="shared" si="2"/>
        <v>9731182672284.6094</v>
      </c>
      <c r="H48" s="42">
        <f t="shared" si="3"/>
        <v>-356.48099999999977</v>
      </c>
      <c r="I48" s="2">
        <f t="shared" si="4"/>
        <v>127078.70336099983</v>
      </c>
      <c r="J48" s="4">
        <f t="shared" si="5"/>
        <v>1830382.4631900007</v>
      </c>
      <c r="K48" s="2">
        <f t="shared" si="6"/>
        <v>3350299961553.4946</v>
      </c>
      <c r="L48" s="2">
        <f t="shared" si="7"/>
        <v>-652496570.86043417</v>
      </c>
      <c r="N48" s="42">
        <f t="shared" si="8"/>
        <v>1198828.307247442</v>
      </c>
      <c r="O48" s="42">
        <f t="shared" si="9"/>
        <v>8149320972.5090313</v>
      </c>
      <c r="P48" s="4">
        <f t="shared" si="10"/>
        <v>1920656.0527525579</v>
      </c>
      <c r="Q48" s="4">
        <f t="shared" si="11"/>
        <v>3688919672975.0366</v>
      </c>
      <c r="R48" s="43">
        <f t="shared" si="12"/>
        <v>1.0160088940425621E-3</v>
      </c>
      <c r="S48" s="4">
        <f t="shared" si="13"/>
        <v>1.5792045014523139</v>
      </c>
      <c r="T48" s="30">
        <f t="shared" si="14"/>
        <v>1122639.6089468005</v>
      </c>
      <c r="U48" s="31">
        <f t="shared" si="15"/>
        <v>1275017.0055480835</v>
      </c>
      <c r="V48" s="31">
        <f t="shared" si="16"/>
        <v>3590245.5960254055</v>
      </c>
      <c r="W48" s="42">
        <f t="shared" si="17"/>
        <v>3590283.8420315282</v>
      </c>
    </row>
    <row r="49" spans="2:23" x14ac:dyDescent="0.3">
      <c r="B49" s="2">
        <v>41</v>
      </c>
      <c r="C49" s="2">
        <v>1011</v>
      </c>
      <c r="D49" s="4">
        <v>9432.6299999999992</v>
      </c>
      <c r="E49" s="4">
        <f t="shared" si="0"/>
        <v>9536388.9299999997</v>
      </c>
      <c r="F49" s="2">
        <f t="shared" si="1"/>
        <v>1022121</v>
      </c>
      <c r="G49" s="2">
        <f t="shared" si="2"/>
        <v>88974508.716899991</v>
      </c>
      <c r="H49" s="42">
        <f t="shared" si="3"/>
        <v>-4013.4809999999998</v>
      </c>
      <c r="I49" s="2">
        <f t="shared" si="4"/>
        <v>16108029.737360999</v>
      </c>
      <c r="J49" s="4">
        <f t="shared" si="5"/>
        <v>-1279669.2668099992</v>
      </c>
      <c r="K49" s="2">
        <f t="shared" si="6"/>
        <v>1637553432418.041</v>
      </c>
      <c r="L49" s="2">
        <f t="shared" si="7"/>
        <v>5135928288.6258621</v>
      </c>
      <c r="N49" s="42">
        <f t="shared" si="8"/>
        <v>272746.64502625196</v>
      </c>
      <c r="O49" s="42">
        <f t="shared" si="9"/>
        <v>1032977997828.4042</v>
      </c>
      <c r="P49" s="4">
        <f t="shared" si="10"/>
        <v>-263314.01502625196</v>
      </c>
      <c r="Q49" s="4">
        <f t="shared" si="11"/>
        <v>69334270509.245239</v>
      </c>
      <c r="R49" s="43">
        <f t="shared" si="12"/>
        <v>3.0292286156500883E-3</v>
      </c>
      <c r="S49" s="4">
        <f t="shared" si="13"/>
        <v>-0.21672090249368939</v>
      </c>
      <c r="T49" s="30">
        <f t="shared" si="14"/>
        <v>141191.50410948173</v>
      </c>
      <c r="U49" s="31">
        <f t="shared" si="15"/>
        <v>404301.78594302223</v>
      </c>
      <c r="V49" s="31">
        <f t="shared" si="16"/>
        <v>2661757.8655342814</v>
      </c>
      <c r="W49" s="42">
        <f t="shared" si="17"/>
        <v>2666605.7913008034</v>
      </c>
    </row>
    <row r="50" spans="2:23" x14ac:dyDescent="0.3">
      <c r="B50" s="2">
        <v>42</v>
      </c>
      <c r="C50" s="2">
        <v>5120</v>
      </c>
      <c r="D50" s="4">
        <v>559513.59999999998</v>
      </c>
      <c r="E50" s="4">
        <f t="shared" si="0"/>
        <v>2864709632</v>
      </c>
      <c r="F50" s="2">
        <f t="shared" si="1"/>
        <v>26214400</v>
      </c>
      <c r="G50" s="2">
        <f t="shared" si="2"/>
        <v>313055468584.95996</v>
      </c>
      <c r="H50" s="42">
        <f t="shared" si="3"/>
        <v>95.519000000000233</v>
      </c>
      <c r="I50" s="2">
        <f t="shared" si="4"/>
        <v>9123.8793610000448</v>
      </c>
      <c r="J50" s="4">
        <f t="shared" si="5"/>
        <v>-729588.29680999916</v>
      </c>
      <c r="K50" s="2">
        <f t="shared" si="6"/>
        <v>532299082842.11542</v>
      </c>
      <c r="L50" s="2">
        <f t="shared" si="7"/>
        <v>-69689544.522994474</v>
      </c>
      <c r="N50" s="42">
        <f t="shared" si="8"/>
        <v>1313290.6838741791</v>
      </c>
      <c r="O50" s="42">
        <f t="shared" si="9"/>
        <v>585097419.63624227</v>
      </c>
      <c r="P50" s="4">
        <f t="shared" si="10"/>
        <v>-753777.08387417917</v>
      </c>
      <c r="Q50" s="4">
        <f t="shared" si="11"/>
        <v>568179892173.86133</v>
      </c>
      <c r="R50" s="43">
        <f t="shared" si="12"/>
        <v>1.0011493917870128E-3</v>
      </c>
      <c r="S50" s="4">
        <f t="shared" si="13"/>
        <v>-0.61976703699990943</v>
      </c>
      <c r="T50" s="30">
        <f t="shared" si="14"/>
        <v>1237661.1815268111</v>
      </c>
      <c r="U50" s="31">
        <f t="shared" si="15"/>
        <v>1388920.1862215472</v>
      </c>
      <c r="V50" s="31">
        <f t="shared" si="16"/>
        <v>3704725.7227555583</v>
      </c>
      <c r="W50" s="42">
        <f t="shared" si="17"/>
        <v>3704728.468706978</v>
      </c>
    </row>
    <row r="51" spans="2:23" x14ac:dyDescent="0.3">
      <c r="B51" s="2">
        <v>43</v>
      </c>
      <c r="C51" s="2">
        <v>2935</v>
      </c>
      <c r="D51" s="4">
        <v>27383.55</v>
      </c>
      <c r="E51" s="4">
        <f t="shared" si="0"/>
        <v>80370719.25</v>
      </c>
      <c r="F51" s="2">
        <f t="shared" si="1"/>
        <v>8614225</v>
      </c>
      <c r="G51" s="2">
        <f t="shared" si="2"/>
        <v>749858810.60249996</v>
      </c>
      <c r="H51" s="42">
        <f t="shared" si="3"/>
        <v>-2089.4809999999998</v>
      </c>
      <c r="I51" s="2">
        <f t="shared" si="4"/>
        <v>4365930.8493609987</v>
      </c>
      <c r="J51" s="4">
        <f t="shared" si="5"/>
        <v>-1261718.3468099991</v>
      </c>
      <c r="K51" s="2">
        <f t="shared" si="6"/>
        <v>1591933186676.957</v>
      </c>
      <c r="L51" s="2">
        <f t="shared" si="7"/>
        <v>2636336513.0109034</v>
      </c>
      <c r="N51" s="42">
        <f t="shared" si="8"/>
        <v>759971.45172944292</v>
      </c>
      <c r="O51" s="42">
        <f t="shared" si="9"/>
        <v>279979027911.14752</v>
      </c>
      <c r="P51" s="4">
        <f t="shared" si="10"/>
        <v>-732587.90172944288</v>
      </c>
      <c r="Q51" s="4">
        <f t="shared" si="11"/>
        <v>536685033760.34784</v>
      </c>
      <c r="R51" s="43">
        <f t="shared" si="12"/>
        <v>1.5500034428744662E-3</v>
      </c>
      <c r="S51" s="4">
        <f t="shared" si="13"/>
        <v>-0.60251050124896244</v>
      </c>
      <c r="T51" s="30">
        <f t="shared" si="14"/>
        <v>665867.44172707724</v>
      </c>
      <c r="U51" s="31">
        <f t="shared" si="15"/>
        <v>854075.46173180861</v>
      </c>
      <c r="V51" s="31">
        <f t="shared" si="16"/>
        <v>3150750.7811775561</v>
      </c>
      <c r="W51" s="42">
        <f t="shared" si="17"/>
        <v>3152064.7655028035</v>
      </c>
    </row>
    <row r="52" spans="2:23" x14ac:dyDescent="0.3">
      <c r="B52" s="2">
        <v>44</v>
      </c>
      <c r="C52" s="2">
        <v>2430</v>
      </c>
      <c r="D52" s="4">
        <v>1582440.3</v>
      </c>
      <c r="E52" s="4">
        <f t="shared" si="0"/>
        <v>3845329929</v>
      </c>
      <c r="F52" s="2">
        <f t="shared" si="1"/>
        <v>5904900</v>
      </c>
      <c r="G52" s="2">
        <f t="shared" si="2"/>
        <v>2504117303064.0903</v>
      </c>
      <c r="H52" s="42">
        <f t="shared" si="3"/>
        <v>-2594.4809999999998</v>
      </c>
      <c r="I52" s="2">
        <f t="shared" si="4"/>
        <v>6731331.6593609992</v>
      </c>
      <c r="J52" s="4">
        <f t="shared" si="5"/>
        <v>293338.40319000091</v>
      </c>
      <c r="K52" s="2">
        <f t="shared" si="6"/>
        <v>86047418786.05954</v>
      </c>
      <c r="L52" s="2">
        <f t="shared" si="7"/>
        <v>-761060913.6467967</v>
      </c>
      <c r="N52" s="42">
        <f t="shared" si="8"/>
        <v>632087.60173718131</v>
      </c>
      <c r="O52" s="42">
        <f t="shared" si="9"/>
        <v>431667783930.03174</v>
      </c>
      <c r="P52" s="4">
        <f t="shared" si="10"/>
        <v>950352.69826281874</v>
      </c>
      <c r="Q52" s="4">
        <f t="shared" si="11"/>
        <v>903170251095.42017</v>
      </c>
      <c r="R52" s="43">
        <f t="shared" si="12"/>
        <v>1.8479876836162692E-3</v>
      </c>
      <c r="S52" s="4">
        <f t="shared" si="13"/>
        <v>0.78172591074019615</v>
      </c>
      <c r="T52" s="30">
        <f t="shared" si="14"/>
        <v>529335.35305481474</v>
      </c>
      <c r="U52" s="31">
        <f t="shared" si="15"/>
        <v>734839.85041954787</v>
      </c>
      <c r="V52" s="31">
        <f t="shared" si="16"/>
        <v>3022510.8576074908</v>
      </c>
      <c r="W52" s="42">
        <f t="shared" si="17"/>
        <v>3024536.7405298906</v>
      </c>
    </row>
    <row r="53" spans="2:23" x14ac:dyDescent="0.3">
      <c r="B53" s="2">
        <v>45</v>
      </c>
      <c r="C53" s="2">
        <v>8611</v>
      </c>
      <c r="D53" s="4">
        <v>1771282.7</v>
      </c>
      <c r="E53" s="4">
        <f t="shared" si="0"/>
        <v>15252515329.699999</v>
      </c>
      <c r="F53" s="2">
        <f t="shared" si="1"/>
        <v>74149321</v>
      </c>
      <c r="G53" s="2">
        <f t="shared" si="2"/>
        <v>3137442403319.29</v>
      </c>
      <c r="H53" s="42">
        <f t="shared" si="3"/>
        <v>3586.5190000000002</v>
      </c>
      <c r="I53" s="2">
        <f t="shared" si="4"/>
        <v>12863118.537361002</v>
      </c>
      <c r="J53" s="4">
        <f t="shared" si="5"/>
        <v>482180.80319000082</v>
      </c>
      <c r="K53" s="2">
        <f t="shared" si="6"/>
        <v>232498326964.95432</v>
      </c>
      <c r="L53" s="2">
        <f t="shared" si="7"/>
        <v>1729350612.0761986</v>
      </c>
      <c r="N53" s="42">
        <f t="shared" si="8"/>
        <v>2197335.2785731605</v>
      </c>
      <c r="O53" s="42">
        <f t="shared" si="9"/>
        <v>824887875748.94849</v>
      </c>
      <c r="P53" s="4">
        <f t="shared" si="10"/>
        <v>-426052.57857316057</v>
      </c>
      <c r="Q53" s="4">
        <f t="shared" si="11"/>
        <v>181520799708.83917</v>
      </c>
      <c r="R53" s="43">
        <f t="shared" si="12"/>
        <v>2.6204469850195605E-3</v>
      </c>
      <c r="S53" s="4">
        <f t="shared" si="13"/>
        <v>-0.35059119615136453</v>
      </c>
      <c r="T53" s="30">
        <f t="shared" si="14"/>
        <v>2074978.090533643</v>
      </c>
      <c r="U53" s="31">
        <f t="shared" si="15"/>
        <v>2319692.466612678</v>
      </c>
      <c r="V53" s="31">
        <f t="shared" si="16"/>
        <v>4586835.2441203371</v>
      </c>
      <c r="W53" s="42">
        <f t="shared" si="17"/>
        <v>4590706.5699873511</v>
      </c>
    </row>
    <row r="54" spans="2:23" x14ac:dyDescent="0.3">
      <c r="B54" s="2">
        <v>46</v>
      </c>
      <c r="C54" s="2">
        <v>8513</v>
      </c>
      <c r="D54" s="4">
        <v>695767.49</v>
      </c>
      <c r="E54" s="4">
        <f t="shared" si="0"/>
        <v>5923068642.3699999</v>
      </c>
      <c r="F54" s="2">
        <f t="shared" si="1"/>
        <v>72471169</v>
      </c>
      <c r="G54" s="2">
        <f t="shared" si="2"/>
        <v>484092400140.90009</v>
      </c>
      <c r="H54" s="42">
        <f t="shared" si="3"/>
        <v>3488.5190000000002</v>
      </c>
      <c r="I54" s="2">
        <f t="shared" si="4"/>
        <v>12169764.813361002</v>
      </c>
      <c r="J54" s="4">
        <f t="shared" si="5"/>
        <v>-593334.40680999914</v>
      </c>
      <c r="K54" s="2">
        <f t="shared" si="6"/>
        <v>352045718304.57355</v>
      </c>
      <c r="L54" s="2">
        <f t="shared" si="7"/>
        <v>-2069858351.5104115</v>
      </c>
      <c r="N54" s="42">
        <f t="shared" si="8"/>
        <v>2172518.2146142661</v>
      </c>
      <c r="O54" s="42">
        <f t="shared" si="9"/>
        <v>780424390562.84961</v>
      </c>
      <c r="P54" s="4">
        <f t="shared" si="10"/>
        <v>-1476750.7246142661</v>
      </c>
      <c r="Q54" s="4">
        <f t="shared" si="11"/>
        <v>2180792702648.76</v>
      </c>
      <c r="R54" s="43">
        <f t="shared" si="12"/>
        <v>2.5331009072900781E-3</v>
      </c>
      <c r="S54" s="4">
        <f t="shared" si="13"/>
        <v>-1.2151390696424167</v>
      </c>
      <c r="T54" s="30">
        <f t="shared" si="14"/>
        <v>2052217.5451975865</v>
      </c>
      <c r="U54" s="31">
        <f t="shared" si="15"/>
        <v>2292818.8840309456</v>
      </c>
      <c r="V54" s="31">
        <f t="shared" si="16"/>
        <v>4562122.5993927997</v>
      </c>
      <c r="W54" s="42">
        <f t="shared" si="17"/>
        <v>4565785.2511488013</v>
      </c>
    </row>
    <row r="55" spans="2:23" x14ac:dyDescent="0.3">
      <c r="B55" s="2">
        <v>47</v>
      </c>
      <c r="C55" s="2">
        <v>6205</v>
      </c>
      <c r="D55" s="4">
        <v>678082.4</v>
      </c>
      <c r="E55" s="4">
        <f t="shared" si="0"/>
        <v>4207501292</v>
      </c>
      <c r="F55" s="2">
        <f t="shared" si="1"/>
        <v>38502025</v>
      </c>
      <c r="G55" s="2">
        <f t="shared" si="2"/>
        <v>459795741189.76001</v>
      </c>
      <c r="H55" s="42">
        <f t="shared" si="3"/>
        <v>1180.5190000000002</v>
      </c>
      <c r="I55" s="2">
        <f t="shared" si="4"/>
        <v>1393625.1093610006</v>
      </c>
      <c r="J55" s="4">
        <f t="shared" si="5"/>
        <v>-611019.49680999911</v>
      </c>
      <c r="K55" s="2">
        <f t="shared" si="6"/>
        <v>373344825481.94452</v>
      </c>
      <c r="L55" s="2">
        <f t="shared" si="7"/>
        <v>-721320125.35464346</v>
      </c>
      <c r="N55" s="42">
        <f t="shared" si="8"/>
        <v>1588051.0348476523</v>
      </c>
      <c r="O55" s="42">
        <f t="shared" si="9"/>
        <v>89370587133.455811</v>
      </c>
      <c r="P55" s="4">
        <f t="shared" si="10"/>
        <v>-909968.63484765228</v>
      </c>
      <c r="Q55" s="4">
        <f t="shared" si="11"/>
        <v>828042916406.49988</v>
      </c>
      <c r="R55" s="43">
        <f t="shared" si="12"/>
        <v>1.1755636162531159E-3</v>
      </c>
      <c r="S55" s="4">
        <f t="shared" si="13"/>
        <v>-0.74825543844970255</v>
      </c>
      <c r="T55" s="30">
        <f t="shared" si="14"/>
        <v>1506098.032825829</v>
      </c>
      <c r="U55" s="31">
        <f t="shared" si="15"/>
        <v>1670004.0368694756</v>
      </c>
      <c r="V55" s="31">
        <f t="shared" si="16"/>
        <v>3979277.7226115922</v>
      </c>
      <c r="W55" s="42">
        <f t="shared" si="17"/>
        <v>3979697.1524079153</v>
      </c>
    </row>
    <row r="56" spans="2:23" x14ac:dyDescent="0.3">
      <c r="B56" s="2">
        <v>48</v>
      </c>
      <c r="C56" s="2">
        <v>7783</v>
      </c>
      <c r="D56" s="4">
        <v>369303.35000000003</v>
      </c>
      <c r="E56" s="4">
        <f t="shared" si="0"/>
        <v>2874287973.0500002</v>
      </c>
      <c r="F56" s="2">
        <f t="shared" si="1"/>
        <v>60575089</v>
      </c>
      <c r="G56" s="2">
        <f t="shared" si="2"/>
        <v>136384964321.22252</v>
      </c>
      <c r="H56" s="42">
        <f t="shared" si="3"/>
        <v>2758.5190000000002</v>
      </c>
      <c r="I56" s="2">
        <f t="shared" si="4"/>
        <v>7609427.073361001</v>
      </c>
      <c r="J56" s="4">
        <f t="shared" si="5"/>
        <v>-919798.54680999904</v>
      </c>
      <c r="K56" s="2">
        <f t="shared" si="6"/>
        <v>846029366713.78601</v>
      </c>
      <c r="L56" s="2">
        <f t="shared" si="7"/>
        <v>-2537281767.5477719</v>
      </c>
      <c r="N56" s="42">
        <f t="shared" si="8"/>
        <v>1987656.411655155</v>
      </c>
      <c r="O56" s="42">
        <f t="shared" si="9"/>
        <v>487978410210.55109</v>
      </c>
      <c r="P56" s="4">
        <f t="shared" si="10"/>
        <v>-1618353.0616551549</v>
      </c>
      <c r="Q56" s="4">
        <f t="shared" si="11"/>
        <v>2619066632168.6138</v>
      </c>
      <c r="R56" s="43">
        <f t="shared" si="12"/>
        <v>1.9586068201843543E-3</v>
      </c>
      <c r="S56" s="4">
        <f t="shared" si="13"/>
        <v>-1.3312727278152165</v>
      </c>
      <c r="T56" s="30">
        <f t="shared" si="14"/>
        <v>1881873.5211266351</v>
      </c>
      <c r="U56" s="31">
        <f t="shared" si="15"/>
        <v>2093439.3021836749</v>
      </c>
      <c r="V56" s="31">
        <f t="shared" si="16"/>
        <v>4377947.4706867384</v>
      </c>
      <c r="W56" s="42">
        <f t="shared" si="17"/>
        <v>4380237.6280466197</v>
      </c>
    </row>
    <row r="57" spans="2:23" x14ac:dyDescent="0.3">
      <c r="B57" s="2">
        <v>49</v>
      </c>
      <c r="C57" s="2">
        <v>6379</v>
      </c>
      <c r="D57" s="4">
        <v>2691236.31</v>
      </c>
      <c r="E57" s="4">
        <f t="shared" si="0"/>
        <v>17167396421.49</v>
      </c>
      <c r="F57" s="2">
        <f t="shared" si="1"/>
        <v>40691641</v>
      </c>
      <c r="G57" s="2">
        <f t="shared" si="2"/>
        <v>7242752876262.416</v>
      </c>
      <c r="H57" s="42">
        <f t="shared" si="3"/>
        <v>1354.5190000000002</v>
      </c>
      <c r="I57" s="2">
        <f t="shared" si="4"/>
        <v>1834721.7213610006</v>
      </c>
      <c r="J57" s="4">
        <f t="shared" si="5"/>
        <v>1402134.4131900009</v>
      </c>
      <c r="K57" s="2">
        <f t="shared" si="6"/>
        <v>1965980912651.6682</v>
      </c>
      <c r="L57" s="2">
        <f t="shared" si="7"/>
        <v>1899217703.2197073</v>
      </c>
      <c r="N57" s="42">
        <f t="shared" si="8"/>
        <v>1632113.9851420156</v>
      </c>
      <c r="O57" s="42">
        <f t="shared" si="9"/>
        <v>117657292741.89108</v>
      </c>
      <c r="P57" s="4">
        <f t="shared" si="10"/>
        <v>1059122.3248579844</v>
      </c>
      <c r="Q57" s="4">
        <f t="shared" si="11"/>
        <v>1121740099012.582</v>
      </c>
      <c r="R57" s="43">
        <f t="shared" si="12"/>
        <v>1.2311312978337278E-3</v>
      </c>
      <c r="S57" s="4">
        <f t="shared" si="13"/>
        <v>0.87092681502574343</v>
      </c>
      <c r="T57" s="30">
        <f t="shared" si="14"/>
        <v>1548246.4296328842</v>
      </c>
      <c r="U57" s="31">
        <f t="shared" si="15"/>
        <v>1715981.540651147</v>
      </c>
      <c r="V57" s="31">
        <f t="shared" si="16"/>
        <v>4023274.2892512605</v>
      </c>
      <c r="W57" s="42">
        <f t="shared" si="17"/>
        <v>4023826.4728728822</v>
      </c>
    </row>
    <row r="58" spans="2:23" x14ac:dyDescent="0.3">
      <c r="B58" s="2">
        <v>50</v>
      </c>
      <c r="C58" s="2">
        <v>7154</v>
      </c>
      <c r="D58" s="4">
        <v>781789.12</v>
      </c>
      <c r="E58" s="4">
        <f t="shared" si="0"/>
        <v>5592919364.4799995</v>
      </c>
      <c r="F58" s="2">
        <f t="shared" si="1"/>
        <v>51179716</v>
      </c>
      <c r="G58" s="2">
        <f t="shared" si="2"/>
        <v>611194228150.37439</v>
      </c>
      <c r="H58" s="42">
        <f t="shared" si="3"/>
        <v>2129.5190000000002</v>
      </c>
      <c r="I58" s="2">
        <f t="shared" si="4"/>
        <v>4534851.1713610012</v>
      </c>
      <c r="J58" s="4">
        <f t="shared" si="5"/>
        <v>-507312.77680999914</v>
      </c>
      <c r="K58" s="2">
        <f t="shared" si="6"/>
        <v>257366253514.672</v>
      </c>
      <c r="L58" s="2">
        <f t="shared" si="7"/>
        <v>-1080332197.1596527</v>
      </c>
      <c r="N58" s="42">
        <f t="shared" si="8"/>
        <v>1828371.3786944966</v>
      </c>
      <c r="O58" s="42">
        <f t="shared" si="9"/>
        <v>290811574091.9743</v>
      </c>
      <c r="P58" s="4">
        <f t="shared" si="10"/>
        <v>-1046582.2586944966</v>
      </c>
      <c r="Q58" s="4">
        <f t="shared" si="11"/>
        <v>1095334424214.0742</v>
      </c>
      <c r="R58" s="43">
        <f t="shared" si="12"/>
        <v>1.5712833856580454E-3</v>
      </c>
      <c r="S58" s="4">
        <f t="shared" si="13"/>
        <v>-0.86076158183585538</v>
      </c>
      <c r="T58" s="30">
        <f t="shared" si="14"/>
        <v>1733623.5954223142</v>
      </c>
      <c r="U58" s="31">
        <f t="shared" si="15"/>
        <v>1923119.1619666789</v>
      </c>
      <c r="V58" s="31">
        <f t="shared" si="16"/>
        <v>4219125.2816255167</v>
      </c>
      <c r="W58" s="42">
        <f t="shared" si="17"/>
        <v>4220490.1047479678</v>
      </c>
    </row>
    <row r="59" spans="2:23" x14ac:dyDescent="0.3">
      <c r="B59" s="2">
        <v>51</v>
      </c>
      <c r="C59" s="2">
        <v>2299</v>
      </c>
      <c r="D59" s="4">
        <v>472904.3</v>
      </c>
      <c r="E59" s="4">
        <f t="shared" si="0"/>
        <v>1087206985.7</v>
      </c>
      <c r="F59" s="2">
        <f t="shared" si="1"/>
        <v>5285401</v>
      </c>
      <c r="G59" s="2">
        <f t="shared" si="2"/>
        <v>223638476958.48999</v>
      </c>
      <c r="H59" s="42">
        <f t="shared" si="3"/>
        <v>-2725.4809999999998</v>
      </c>
      <c r="I59" s="2">
        <f t="shared" si="4"/>
        <v>7428246.6813609991</v>
      </c>
      <c r="J59" s="4">
        <f t="shared" si="5"/>
        <v>-816197.59680999909</v>
      </c>
      <c r="K59" s="2">
        <f t="shared" si="6"/>
        <v>666178517038.41785</v>
      </c>
      <c r="L59" s="2">
        <f t="shared" si="7"/>
        <v>2224531042.3513131</v>
      </c>
      <c r="N59" s="42">
        <f t="shared" si="8"/>
        <v>598913.77134314901</v>
      </c>
      <c r="O59" s="42">
        <f t="shared" si="9"/>
        <v>476359648535.44446</v>
      </c>
      <c r="P59" s="4">
        <f t="shared" si="10"/>
        <v>-126009.47134314902</v>
      </c>
      <c r="Q59" s="4">
        <f t="shared" si="11"/>
        <v>15878386868.179895</v>
      </c>
      <c r="R59" s="43">
        <f t="shared" si="12"/>
        <v>1.9357824001878876E-3</v>
      </c>
      <c r="S59" s="4">
        <f t="shared" si="13"/>
        <v>-0.10365541269329177</v>
      </c>
      <c r="T59" s="30">
        <f t="shared" si="14"/>
        <v>493749.05197318399</v>
      </c>
      <c r="U59" s="31">
        <f t="shared" si="15"/>
        <v>704078.49071311404</v>
      </c>
      <c r="V59" s="31">
        <f t="shared" si="16"/>
        <v>2989232.1075935178</v>
      </c>
      <c r="W59" s="42">
        <f t="shared" si="17"/>
        <v>2991467.7363146516</v>
      </c>
    </row>
    <row r="60" spans="2:23" x14ac:dyDescent="0.3">
      <c r="B60" s="2">
        <v>52</v>
      </c>
      <c r="C60" s="2">
        <v>6039</v>
      </c>
      <c r="D60" s="4">
        <v>930368.34</v>
      </c>
      <c r="E60" s="4">
        <f t="shared" si="0"/>
        <v>5618494405.2600002</v>
      </c>
      <c r="F60" s="2">
        <f t="shared" si="1"/>
        <v>36469521</v>
      </c>
      <c r="G60" s="2">
        <f t="shared" si="2"/>
        <v>865585248074.35559</v>
      </c>
      <c r="H60" s="42">
        <f t="shared" si="3"/>
        <v>1014.5190000000002</v>
      </c>
      <c r="I60" s="2">
        <f t="shared" si="4"/>
        <v>1029248.8013610005</v>
      </c>
      <c r="J60" s="4">
        <f t="shared" si="5"/>
        <v>-358733.55680999917</v>
      </c>
      <c r="K60" s="2">
        <f t="shared" si="6"/>
        <v>128689764781.5529</v>
      </c>
      <c r="L60" s="2">
        <f t="shared" si="7"/>
        <v>-363942009.32132363</v>
      </c>
      <c r="N60" s="42">
        <f t="shared" si="8"/>
        <v>1546013.9673254434</v>
      </c>
      <c r="O60" s="42">
        <f t="shared" si="9"/>
        <v>66003811976.532608</v>
      </c>
      <c r="P60" s="4">
        <f t="shared" si="10"/>
        <v>-615645.62732544343</v>
      </c>
      <c r="Q60" s="4">
        <f t="shared" si="11"/>
        <v>379019538444.93878</v>
      </c>
      <c r="R60" s="43">
        <f t="shared" si="12"/>
        <v>1.1296608681756427E-3</v>
      </c>
      <c r="S60" s="4">
        <f t="shared" si="13"/>
        <v>-0.50622580416531682</v>
      </c>
      <c r="T60" s="30">
        <f t="shared" si="14"/>
        <v>1465676.9245495168</v>
      </c>
      <c r="U60" s="31">
        <f t="shared" si="15"/>
        <v>1626351.01010137</v>
      </c>
      <c r="V60" s="31">
        <f t="shared" si="16"/>
        <v>3937295.4911893555</v>
      </c>
      <c r="W60" s="42">
        <f t="shared" si="17"/>
        <v>3937605.2571453983</v>
      </c>
    </row>
    <row r="61" spans="2:23" x14ac:dyDescent="0.3">
      <c r="B61" s="2">
        <v>53</v>
      </c>
      <c r="C61" s="2">
        <v>9628</v>
      </c>
      <c r="D61" s="4">
        <v>456848.60000000003</v>
      </c>
      <c r="E61" s="4">
        <f t="shared" si="0"/>
        <v>4398538320.8000002</v>
      </c>
      <c r="F61" s="2">
        <f t="shared" si="1"/>
        <v>92698384</v>
      </c>
      <c r="G61" s="2">
        <f t="shared" si="2"/>
        <v>208710643321.96002</v>
      </c>
      <c r="H61" s="42">
        <f t="shared" si="3"/>
        <v>4603.5190000000002</v>
      </c>
      <c r="I61" s="2">
        <f t="shared" si="4"/>
        <v>21192387.183361001</v>
      </c>
      <c r="J61" s="4">
        <f t="shared" si="5"/>
        <v>-832253.29680999904</v>
      </c>
      <c r="K61" s="2">
        <f t="shared" si="6"/>
        <v>692645550051.1123</v>
      </c>
      <c r="L61" s="2">
        <f t="shared" si="7"/>
        <v>-3831293864.6774702</v>
      </c>
      <c r="N61" s="42">
        <f t="shared" si="8"/>
        <v>2454875.6259833188</v>
      </c>
      <c r="O61" s="42">
        <f t="shared" si="9"/>
        <v>1359028387630.6685</v>
      </c>
      <c r="P61" s="4">
        <f t="shared" si="10"/>
        <v>-1998027.0259833187</v>
      </c>
      <c r="Q61" s="4">
        <f t="shared" si="11"/>
        <v>3992111996559.7451</v>
      </c>
      <c r="R61" s="43">
        <f t="shared" si="12"/>
        <v>3.6697367218455207E-3</v>
      </c>
      <c r="S61" s="4">
        <f t="shared" si="13"/>
        <v>-1.6450069442945741</v>
      </c>
      <c r="T61" s="30">
        <f t="shared" si="14"/>
        <v>2310078.7297791368</v>
      </c>
      <c r="U61" s="31">
        <f t="shared" si="15"/>
        <v>2599672.5221875007</v>
      </c>
      <c r="V61" s="31">
        <f t="shared" si="16"/>
        <v>4843120.8448970988</v>
      </c>
      <c r="W61" s="42">
        <f t="shared" si="17"/>
        <v>4849498.978047492</v>
      </c>
    </row>
    <row r="62" spans="2:23" x14ac:dyDescent="0.3">
      <c r="B62" s="2">
        <v>54</v>
      </c>
      <c r="C62" s="2">
        <v>6353</v>
      </c>
      <c r="D62" s="4">
        <v>2680267.17</v>
      </c>
      <c r="E62" s="4">
        <f t="shared" si="0"/>
        <v>17027737331.01</v>
      </c>
      <c r="F62" s="2">
        <f t="shared" si="1"/>
        <v>40360609</v>
      </c>
      <c r="G62" s="2">
        <f t="shared" si="2"/>
        <v>7183832102579.8086</v>
      </c>
      <c r="H62" s="42">
        <f t="shared" si="3"/>
        <v>1328.5190000000002</v>
      </c>
      <c r="I62" s="2">
        <f t="shared" si="4"/>
        <v>1764962.7333610007</v>
      </c>
      <c r="J62" s="4">
        <f t="shared" si="5"/>
        <v>1391165.2731900008</v>
      </c>
      <c r="K62" s="2">
        <f t="shared" si="6"/>
        <v>1935340817329.8096</v>
      </c>
      <c r="L62" s="2">
        <f t="shared" si="7"/>
        <v>1848189497.573107</v>
      </c>
      <c r="N62" s="42">
        <f t="shared" si="8"/>
        <v>1625529.8661325132</v>
      </c>
      <c r="O62" s="42">
        <f t="shared" si="9"/>
        <v>113183778542.47043</v>
      </c>
      <c r="P62" s="4">
        <f t="shared" si="10"/>
        <v>1054737.3038674868</v>
      </c>
      <c r="Q62" s="4">
        <f t="shared" si="11"/>
        <v>1112470780169.655</v>
      </c>
      <c r="R62" s="43">
        <f t="shared" si="12"/>
        <v>1.2223433245709232E-3</v>
      </c>
      <c r="S62" s="4">
        <f t="shared" si="13"/>
        <v>0.86731715301054335</v>
      </c>
      <c r="T62" s="30">
        <f t="shared" si="14"/>
        <v>1541962.1753893232</v>
      </c>
      <c r="U62" s="31">
        <f t="shared" si="15"/>
        <v>1709097.5568757032</v>
      </c>
      <c r="V62" s="31">
        <f t="shared" si="16"/>
        <v>4016700.668873034</v>
      </c>
      <c r="W62" s="42">
        <f t="shared" si="17"/>
        <v>4017231.8576098885</v>
      </c>
    </row>
    <row r="63" spans="2:23" x14ac:dyDescent="0.3">
      <c r="B63" s="2">
        <v>55</v>
      </c>
      <c r="C63" s="2">
        <v>6531</v>
      </c>
      <c r="D63" s="4">
        <v>1006165.86</v>
      </c>
      <c r="E63" s="4">
        <f t="shared" si="0"/>
        <v>6571269231.6599998</v>
      </c>
      <c r="F63" s="2">
        <f t="shared" si="1"/>
        <v>42653961</v>
      </c>
      <c r="G63" s="2">
        <f t="shared" si="2"/>
        <v>1012369737829.5396</v>
      </c>
      <c r="H63" s="42">
        <f t="shared" si="3"/>
        <v>1506.5190000000002</v>
      </c>
      <c r="I63" s="2">
        <f t="shared" si="4"/>
        <v>2269599.4973610006</v>
      </c>
      <c r="J63" s="4">
        <f t="shared" si="5"/>
        <v>-282936.03680999915</v>
      </c>
      <c r="K63" s="2">
        <f t="shared" si="6"/>
        <v>80052800925.749191</v>
      </c>
      <c r="L63" s="2">
        <f t="shared" si="7"/>
        <v>-426248515.23896319</v>
      </c>
      <c r="N63" s="42">
        <f t="shared" si="8"/>
        <v>1670605.7578129538</v>
      </c>
      <c r="O63" s="42">
        <f t="shared" si="9"/>
        <v>145545195960.16174</v>
      </c>
      <c r="P63" s="4">
        <f t="shared" si="10"/>
        <v>-664439.8978129538</v>
      </c>
      <c r="Q63" s="4">
        <f t="shared" si="11"/>
        <v>441480377805.68848</v>
      </c>
      <c r="R63" s="43">
        <f t="shared" si="12"/>
        <v>1.2859155539940376E-3</v>
      </c>
      <c r="S63" s="4">
        <f t="shared" si="13"/>
        <v>-0.54639051771857583</v>
      </c>
      <c r="T63" s="30">
        <f t="shared" si="14"/>
        <v>1584892.4958013038</v>
      </c>
      <c r="U63" s="31">
        <f t="shared" si="15"/>
        <v>1756319.0198246038</v>
      </c>
      <c r="V63" s="31">
        <f t="shared" si="16"/>
        <v>4061700.6123785805</v>
      </c>
      <c r="W63" s="42">
        <f t="shared" si="17"/>
        <v>4062383.6781862844</v>
      </c>
    </row>
    <row r="64" spans="2:23" x14ac:dyDescent="0.3">
      <c r="B64" s="2">
        <v>56</v>
      </c>
      <c r="C64" s="2">
        <v>2510</v>
      </c>
      <c r="D64" s="4">
        <v>119099.5</v>
      </c>
      <c r="E64" s="4">
        <f t="shared" si="0"/>
        <v>298939745</v>
      </c>
      <c r="F64" s="2">
        <f t="shared" si="1"/>
        <v>6300100</v>
      </c>
      <c r="G64" s="2">
        <f t="shared" si="2"/>
        <v>14184690900.25</v>
      </c>
      <c r="H64" s="42">
        <f t="shared" si="3"/>
        <v>-2514.4809999999998</v>
      </c>
      <c r="I64" s="2">
        <f t="shared" si="4"/>
        <v>6322614.6993609993</v>
      </c>
      <c r="J64" s="4">
        <f t="shared" si="5"/>
        <v>-1170002.3968099991</v>
      </c>
      <c r="K64" s="2">
        <f t="shared" si="6"/>
        <v>1368905608541.1426</v>
      </c>
      <c r="L64" s="2">
        <f t="shared" si="7"/>
        <v>2941948796.7332029</v>
      </c>
      <c r="N64" s="42">
        <f t="shared" si="8"/>
        <v>652346.42945872771</v>
      </c>
      <c r="O64" s="42">
        <f t="shared" si="9"/>
        <v>405457525201.73608</v>
      </c>
      <c r="P64" s="4">
        <f t="shared" si="10"/>
        <v>-533246.92945872771</v>
      </c>
      <c r="Q64" s="4">
        <f t="shared" si="11"/>
        <v>284352287777.16132</v>
      </c>
      <c r="R64" s="43">
        <f t="shared" si="12"/>
        <v>1.7964990680340762E-3</v>
      </c>
      <c r="S64" s="4">
        <f t="shared" si="13"/>
        <v>-0.43861841114297395</v>
      </c>
      <c r="T64" s="30">
        <f t="shared" si="14"/>
        <v>551035.73394131183</v>
      </c>
      <c r="U64" s="31">
        <f t="shared" si="15"/>
        <v>753657.12497614359</v>
      </c>
      <c r="V64" s="31">
        <f t="shared" si="16"/>
        <v>3042831.2149758143</v>
      </c>
      <c r="W64" s="42">
        <f t="shared" si="17"/>
        <v>3044734.0891257212</v>
      </c>
    </row>
    <row r="65" spans="2:23" x14ac:dyDescent="0.3">
      <c r="B65" s="2">
        <v>57</v>
      </c>
      <c r="C65" s="2">
        <v>3671</v>
      </c>
      <c r="D65" s="4">
        <v>565554.26</v>
      </c>
      <c r="E65" s="4">
        <f t="shared" si="0"/>
        <v>2076149688.46</v>
      </c>
      <c r="F65" s="2">
        <f t="shared" si="1"/>
        <v>13476241</v>
      </c>
      <c r="G65" s="2">
        <f t="shared" si="2"/>
        <v>319851621004.14758</v>
      </c>
      <c r="H65" s="42">
        <f t="shared" si="3"/>
        <v>-1353.4809999999998</v>
      </c>
      <c r="I65" s="2">
        <f t="shared" si="4"/>
        <v>1831910.8173609993</v>
      </c>
      <c r="J65" s="4">
        <f t="shared" si="5"/>
        <v>-723547.63680999912</v>
      </c>
      <c r="K65" s="2">
        <f t="shared" si="6"/>
        <v>523521182733.33441</v>
      </c>
      <c r="L65" s="2">
        <f t="shared" si="7"/>
        <v>979307979.01723421</v>
      </c>
      <c r="N65" s="42">
        <f t="shared" si="8"/>
        <v>946352.66676766984</v>
      </c>
      <c r="O65" s="42">
        <f t="shared" si="9"/>
        <v>117477034694.60956</v>
      </c>
      <c r="P65" s="4">
        <f t="shared" si="10"/>
        <v>-380798.40676766983</v>
      </c>
      <c r="Q65" s="4">
        <f t="shared" si="11"/>
        <v>145007426596.79575</v>
      </c>
      <c r="R65" s="43">
        <f t="shared" si="12"/>
        <v>1.2307771907873882E-3</v>
      </c>
      <c r="S65" s="4">
        <f t="shared" si="13"/>
        <v>-0.31313425937441491</v>
      </c>
      <c r="T65" s="30">
        <f t="shared" si="14"/>
        <v>862497.17342778901</v>
      </c>
      <c r="U65" s="31">
        <f t="shared" si="15"/>
        <v>1030208.1601075507</v>
      </c>
      <c r="V65" s="31">
        <f t="shared" si="16"/>
        <v>3337513.3939149729</v>
      </c>
      <c r="W65" s="42">
        <f t="shared" si="17"/>
        <v>3338064.7315580719</v>
      </c>
    </row>
    <row r="66" spans="2:23" x14ac:dyDescent="0.3">
      <c r="B66" s="2">
        <v>58</v>
      </c>
      <c r="C66" s="2">
        <v>1424</v>
      </c>
      <c r="D66" s="4">
        <v>292916.8</v>
      </c>
      <c r="E66" s="4">
        <f t="shared" si="0"/>
        <v>417113523.19999999</v>
      </c>
      <c r="F66" s="2">
        <f t="shared" si="1"/>
        <v>2027776</v>
      </c>
      <c r="G66" s="2">
        <f t="shared" si="2"/>
        <v>85800251722.23999</v>
      </c>
      <c r="H66" s="42">
        <f t="shared" si="3"/>
        <v>-3600.4809999999998</v>
      </c>
      <c r="I66" s="2">
        <f t="shared" si="4"/>
        <v>12963463.431360999</v>
      </c>
      <c r="J66" s="4">
        <f t="shared" si="5"/>
        <v>-996185.09680999909</v>
      </c>
      <c r="K66" s="2">
        <f t="shared" si="6"/>
        <v>992384747106.34729</v>
      </c>
      <c r="L66" s="2">
        <f t="shared" si="7"/>
        <v>3586745513.5475621</v>
      </c>
      <c r="N66" s="42">
        <f t="shared" si="8"/>
        <v>377332.84313873528</v>
      </c>
      <c r="O66" s="42">
        <f t="shared" si="9"/>
        <v>831322807232.59204</v>
      </c>
      <c r="P66" s="4">
        <f t="shared" si="10"/>
        <v>-84416.043138735287</v>
      </c>
      <c r="Q66" s="4">
        <f t="shared" si="11"/>
        <v>7126068339.2008171</v>
      </c>
      <c r="R66" s="43">
        <f t="shared" si="12"/>
        <v>2.6330880549492296E-3</v>
      </c>
      <c r="S66" s="4">
        <f t="shared" si="13"/>
        <v>-6.9464921888910139E-2</v>
      </c>
      <c r="T66" s="30">
        <f t="shared" si="14"/>
        <v>254680.88384287851</v>
      </c>
      <c r="U66" s="31">
        <f t="shared" si="15"/>
        <v>499984.80243459204</v>
      </c>
      <c r="V66" s="31">
        <f t="shared" si="16"/>
        <v>2766817.6963436645</v>
      </c>
      <c r="W66" s="42">
        <f t="shared" si="17"/>
        <v>2770719.2223553895</v>
      </c>
    </row>
    <row r="67" spans="2:23" x14ac:dyDescent="0.3">
      <c r="B67" s="2">
        <v>59</v>
      </c>
      <c r="C67" s="2">
        <v>4212</v>
      </c>
      <c r="D67" s="4">
        <v>460287.36</v>
      </c>
      <c r="E67" s="4">
        <f t="shared" si="0"/>
        <v>1938730360.3199999</v>
      </c>
      <c r="F67" s="2">
        <f t="shared" si="1"/>
        <v>17740944</v>
      </c>
      <c r="G67" s="2">
        <f t="shared" si="2"/>
        <v>211864453775.76959</v>
      </c>
      <c r="H67" s="42">
        <f t="shared" si="3"/>
        <v>-812.48099999999977</v>
      </c>
      <c r="I67" s="2">
        <f t="shared" si="4"/>
        <v>660125.37536099961</v>
      </c>
      <c r="J67" s="4">
        <f t="shared" si="5"/>
        <v>-828814.53680999915</v>
      </c>
      <c r="K67" s="2">
        <f t="shared" si="6"/>
        <v>686933536427.57349</v>
      </c>
      <c r="L67" s="2">
        <f t="shared" si="7"/>
        <v>673396063.6819247</v>
      </c>
      <c r="N67" s="42">
        <f t="shared" si="8"/>
        <v>1083352.9892346275</v>
      </c>
      <c r="O67" s="42">
        <f t="shared" si="9"/>
        <v>42332612968.458839</v>
      </c>
      <c r="P67" s="4">
        <f t="shared" si="10"/>
        <v>-623065.62923462747</v>
      </c>
      <c r="Q67" s="4">
        <f t="shared" si="11"/>
        <v>388210778333.5423</v>
      </c>
      <c r="R67" s="43">
        <f t="shared" si="12"/>
        <v>1.0831600961408925E-3</v>
      </c>
      <c r="S67" s="4">
        <f t="shared" si="13"/>
        <v>-0.51231511070990865</v>
      </c>
      <c r="T67" s="30">
        <f t="shared" si="14"/>
        <v>1004686.7977652636</v>
      </c>
      <c r="U67" s="31">
        <f t="shared" si="15"/>
        <v>1162019.1807039913</v>
      </c>
      <c r="V67" s="31">
        <f t="shared" si="16"/>
        <v>3474690.0623246171</v>
      </c>
      <c r="W67" s="42">
        <f t="shared" si="17"/>
        <v>3474888.7357333051</v>
      </c>
    </row>
    <row r="68" spans="2:23" x14ac:dyDescent="0.3">
      <c r="B68" s="2">
        <v>60</v>
      </c>
      <c r="C68" s="2">
        <v>2509</v>
      </c>
      <c r="D68" s="4">
        <v>640497.52</v>
      </c>
      <c r="E68" s="4">
        <f t="shared" si="0"/>
        <v>1607008277.6800001</v>
      </c>
      <c r="F68" s="2">
        <f t="shared" si="1"/>
        <v>6295081</v>
      </c>
      <c r="G68" s="2">
        <f t="shared" si="2"/>
        <v>410237073126.15045</v>
      </c>
      <c r="H68" s="42">
        <f t="shared" si="3"/>
        <v>-2515.4809999999998</v>
      </c>
      <c r="I68" s="2">
        <f t="shared" si="4"/>
        <v>6327644.6613609986</v>
      </c>
      <c r="J68" s="4">
        <f t="shared" si="5"/>
        <v>-648604.37680999911</v>
      </c>
      <c r="K68" s="2">
        <f t="shared" si="6"/>
        <v>420687637617.08734</v>
      </c>
      <c r="L68" s="2">
        <f t="shared" si="7"/>
        <v>1631551986.3823931</v>
      </c>
      <c r="N68" s="42">
        <f t="shared" si="8"/>
        <v>652093.19411220844</v>
      </c>
      <c r="O68" s="42">
        <f t="shared" si="9"/>
        <v>405780087312.72229</v>
      </c>
      <c r="P68" s="4">
        <f t="shared" si="10"/>
        <v>-11595.67411220842</v>
      </c>
      <c r="Q68" s="4">
        <f t="shared" si="11"/>
        <v>134459658.11654055</v>
      </c>
      <c r="R68" s="43">
        <f t="shared" si="12"/>
        <v>1.7971327236078771E-3</v>
      </c>
      <c r="S68" s="4">
        <f t="shared" si="13"/>
        <v>-9.5379410336264344E-3</v>
      </c>
      <c r="T68" s="30">
        <f t="shared" si="14"/>
        <v>550764.63317301765</v>
      </c>
      <c r="U68" s="31">
        <f t="shared" si="15"/>
        <v>753421.75505139923</v>
      </c>
      <c r="V68" s="31">
        <f t="shared" si="16"/>
        <v>3042577.2224112656</v>
      </c>
      <c r="W68" s="42">
        <f t="shared" si="17"/>
        <v>3044481.6103947107</v>
      </c>
    </row>
    <row r="69" spans="2:23" x14ac:dyDescent="0.3">
      <c r="B69" s="2">
        <v>61</v>
      </c>
      <c r="C69" s="2">
        <v>3819</v>
      </c>
      <c r="D69" s="4">
        <v>1669666.8</v>
      </c>
      <c r="E69" s="4">
        <f t="shared" si="0"/>
        <v>6376457509.1999998</v>
      </c>
      <c r="F69" s="2">
        <f t="shared" si="1"/>
        <v>14584761</v>
      </c>
      <c r="G69" s="2">
        <f t="shared" si="2"/>
        <v>2787787223022.2402</v>
      </c>
      <c r="H69" s="42">
        <f t="shared" si="3"/>
        <v>-1205.4809999999998</v>
      </c>
      <c r="I69" s="2">
        <f t="shared" si="4"/>
        <v>1453184.4413609994</v>
      </c>
      <c r="J69" s="4">
        <f t="shared" si="5"/>
        <v>380564.90319000091</v>
      </c>
      <c r="K69" s="2">
        <f t="shared" si="6"/>
        <v>144829645540.01477</v>
      </c>
      <c r="L69" s="2">
        <f t="shared" si="7"/>
        <v>-458763760.06238538</v>
      </c>
      <c r="N69" s="42">
        <f t="shared" si="8"/>
        <v>983831.49805253069</v>
      </c>
      <c r="O69" s="42">
        <f t="shared" si="9"/>
        <v>93190016357.543793</v>
      </c>
      <c r="P69" s="4">
        <f t="shared" si="10"/>
        <v>685835.30194746936</v>
      </c>
      <c r="Q69" s="4">
        <f t="shared" si="11"/>
        <v>470370061397.37646</v>
      </c>
      <c r="R69" s="43">
        <f t="shared" si="12"/>
        <v>1.1830666754598592E-3</v>
      </c>
      <c r="S69" s="4">
        <f t="shared" si="13"/>
        <v>0.56395561604777322</v>
      </c>
      <c r="T69" s="30">
        <f t="shared" si="14"/>
        <v>901617.37864567328</v>
      </c>
      <c r="U69" s="31">
        <f t="shared" si="15"/>
        <v>1066045.6174593882</v>
      </c>
      <c r="V69" s="31">
        <f t="shared" si="16"/>
        <v>3375049.2224316914</v>
      </c>
      <c r="W69" s="42">
        <f t="shared" si="17"/>
        <v>3375486.5773920529</v>
      </c>
    </row>
    <row r="70" spans="2:23" x14ac:dyDescent="0.3">
      <c r="B70" s="2">
        <v>62</v>
      </c>
      <c r="C70" s="2">
        <v>7679</v>
      </c>
      <c r="D70" s="4">
        <v>627604.67000000004</v>
      </c>
      <c r="E70" s="4">
        <f t="shared" si="0"/>
        <v>4819376260.9300003</v>
      </c>
      <c r="F70" s="2">
        <f t="shared" si="1"/>
        <v>58967041</v>
      </c>
      <c r="G70" s="2">
        <f t="shared" si="2"/>
        <v>393887621805.80896</v>
      </c>
      <c r="H70" s="42">
        <f t="shared" si="3"/>
        <v>2654.5190000000002</v>
      </c>
      <c r="I70" s="2">
        <f t="shared" si="4"/>
        <v>7046471.1213610014</v>
      </c>
      <c r="J70" s="4">
        <f t="shared" si="5"/>
        <v>-661497.22680999909</v>
      </c>
      <c r="K70" s="2">
        <f t="shared" si="6"/>
        <v>437578581077.3194</v>
      </c>
      <c r="L70" s="2">
        <f t="shared" si="7"/>
        <v>-1755956957.0144522</v>
      </c>
      <c r="N70" s="42">
        <f t="shared" si="8"/>
        <v>1961319.9356171447</v>
      </c>
      <c r="O70" s="42">
        <f t="shared" si="9"/>
        <v>451877091697.72504</v>
      </c>
      <c r="P70" s="4">
        <f t="shared" si="10"/>
        <v>-1333715.2656171448</v>
      </c>
      <c r="Q70" s="4">
        <f t="shared" si="11"/>
        <v>1778796409740.2109</v>
      </c>
      <c r="R70" s="43">
        <f t="shared" si="12"/>
        <v>1.8876877602015353E-3</v>
      </c>
      <c r="S70" s="4">
        <f t="shared" si="13"/>
        <v>-1.0970879728849092</v>
      </c>
      <c r="T70" s="30">
        <f t="shared" si="14"/>
        <v>1857469.8452721625</v>
      </c>
      <c r="U70" s="31">
        <f t="shared" si="15"/>
        <v>2065170.0259621269</v>
      </c>
      <c r="V70" s="31">
        <f t="shared" si="16"/>
        <v>4351695.7482353682</v>
      </c>
      <c r="W70" s="42">
        <f t="shared" si="17"/>
        <v>4353816.4765478428</v>
      </c>
    </row>
    <row r="71" spans="2:23" x14ac:dyDescent="0.3">
      <c r="B71" s="2">
        <v>63</v>
      </c>
      <c r="C71" s="2">
        <v>656</v>
      </c>
      <c r="D71" s="4">
        <v>438385.12</v>
      </c>
      <c r="E71" s="4">
        <f t="shared" si="0"/>
        <v>287580638.71999997</v>
      </c>
      <c r="F71" s="2">
        <f t="shared" si="1"/>
        <v>430336</v>
      </c>
      <c r="G71" s="2">
        <f t="shared" si="2"/>
        <v>192181513437.4144</v>
      </c>
      <c r="H71" s="42">
        <f t="shared" si="3"/>
        <v>-4368.4809999999998</v>
      </c>
      <c r="I71" s="2">
        <f t="shared" si="4"/>
        <v>19083626.247360997</v>
      </c>
      <c r="J71" s="4">
        <f t="shared" si="5"/>
        <v>-850716.77680999914</v>
      </c>
      <c r="K71" s="2">
        <f t="shared" si="6"/>
        <v>723719034345.9939</v>
      </c>
      <c r="L71" s="2">
        <f t="shared" si="7"/>
        <v>3716340075.8757215</v>
      </c>
      <c r="N71" s="42">
        <f t="shared" si="8"/>
        <v>182848.0970118898</v>
      </c>
      <c r="O71" s="42">
        <f t="shared" si="9"/>
        <v>1223797469567.7554</v>
      </c>
      <c r="P71" s="4">
        <f t="shared" si="10"/>
        <v>255537.0229881102</v>
      </c>
      <c r="Q71" s="4">
        <f t="shared" si="11"/>
        <v>65299170117.625961</v>
      </c>
      <c r="R71" s="43">
        <f t="shared" si="12"/>
        <v>3.4040830010201124E-3</v>
      </c>
      <c r="S71" s="4">
        <f t="shared" si="13"/>
        <v>0.21035959088675102</v>
      </c>
      <c r="T71" s="30">
        <f t="shared" si="14"/>
        <v>43390.599043684226</v>
      </c>
      <c r="U71" s="31">
        <f t="shared" si="15"/>
        <v>322305.5949800954</v>
      </c>
      <c r="V71" s="31">
        <f t="shared" si="16"/>
        <v>2571411.0484693856</v>
      </c>
      <c r="W71" s="42">
        <f t="shared" si="17"/>
        <v>2577154.5207680985</v>
      </c>
    </row>
    <row r="72" spans="2:23" x14ac:dyDescent="0.3">
      <c r="B72" s="2">
        <v>64</v>
      </c>
      <c r="C72" s="2">
        <v>1348</v>
      </c>
      <c r="D72" s="4">
        <v>110172.04000000001</v>
      </c>
      <c r="E72" s="4">
        <f t="shared" si="0"/>
        <v>148511909.92000002</v>
      </c>
      <c r="F72" s="2">
        <f t="shared" si="1"/>
        <v>1817104</v>
      </c>
      <c r="G72" s="2">
        <f t="shared" si="2"/>
        <v>12137878397.761602</v>
      </c>
      <c r="H72" s="42">
        <f t="shared" si="3"/>
        <v>-3676.4809999999998</v>
      </c>
      <c r="I72" s="2">
        <f t="shared" si="4"/>
        <v>13516512.543360999</v>
      </c>
      <c r="J72" s="4">
        <f t="shared" si="5"/>
        <v>-1178929.8568099991</v>
      </c>
      <c r="K72" s="2">
        <f t="shared" si="6"/>
        <v>1389875607278.0449</v>
      </c>
      <c r="L72" s="2">
        <f t="shared" si="7"/>
        <v>4334313218.8946819</v>
      </c>
      <c r="N72" s="42">
        <f t="shared" si="8"/>
        <v>358086.95680326619</v>
      </c>
      <c r="O72" s="42">
        <f t="shared" si="9"/>
        <v>866788818515.74048</v>
      </c>
      <c r="P72" s="4">
        <f t="shared" si="10"/>
        <v>-247914.91680326618</v>
      </c>
      <c r="Q72" s="4">
        <f t="shared" si="11"/>
        <v>61461805973.570396</v>
      </c>
      <c r="R72" s="43">
        <f t="shared" si="12"/>
        <v>2.7027590887273266E-3</v>
      </c>
      <c r="S72" s="4">
        <f t="shared" si="13"/>
        <v>-0.2040132565071974</v>
      </c>
      <c r="T72" s="30">
        <f t="shared" si="14"/>
        <v>233822.91739023069</v>
      </c>
      <c r="U72" s="31">
        <f t="shared" si="15"/>
        <v>482350.99621630169</v>
      </c>
      <c r="V72" s="31">
        <f t="shared" si="16"/>
        <v>2747488.5168855498</v>
      </c>
      <c r="W72" s="42">
        <f t="shared" si="17"/>
        <v>2751556.4904702269</v>
      </c>
    </row>
    <row r="73" spans="2:23" x14ac:dyDescent="0.3">
      <c r="B73" s="2">
        <v>65</v>
      </c>
      <c r="C73" s="2">
        <v>5386</v>
      </c>
      <c r="D73" s="4">
        <v>2272299.54</v>
      </c>
      <c r="E73" s="4">
        <f t="shared" si="0"/>
        <v>12238605322.440001</v>
      </c>
      <c r="F73" s="2">
        <f t="shared" si="1"/>
        <v>29008996</v>
      </c>
      <c r="G73" s="2">
        <f t="shared" si="2"/>
        <v>5163345199484.2119</v>
      </c>
      <c r="H73" s="42">
        <f t="shared" si="3"/>
        <v>361.51900000000023</v>
      </c>
      <c r="I73" s="2">
        <f t="shared" si="4"/>
        <v>130695.98736100017</v>
      </c>
      <c r="J73" s="4">
        <f t="shared" si="5"/>
        <v>983197.6431900009</v>
      </c>
      <c r="K73" s="2">
        <f t="shared" si="6"/>
        <v>966677605574.37231</v>
      </c>
      <c r="L73" s="2">
        <f t="shared" si="7"/>
        <v>355444628.76840615</v>
      </c>
      <c r="N73" s="42">
        <f t="shared" si="8"/>
        <v>1380651.2860483211</v>
      </c>
      <c r="O73" s="42">
        <f t="shared" si="9"/>
        <v>8381290669.9097738</v>
      </c>
      <c r="P73" s="4">
        <f t="shared" si="10"/>
        <v>891648.25395167898</v>
      </c>
      <c r="Q73" s="4">
        <f t="shared" si="11"/>
        <v>795036608775.07776</v>
      </c>
      <c r="R73" s="43">
        <f t="shared" si="12"/>
        <v>1.0164645857890645E-3</v>
      </c>
      <c r="S73" s="4">
        <f t="shared" si="13"/>
        <v>0.73313243955867291</v>
      </c>
      <c r="T73" s="30">
        <f t="shared" si="14"/>
        <v>1304445.5039066081</v>
      </c>
      <c r="U73" s="31">
        <f t="shared" si="15"/>
        <v>1456857.068190034</v>
      </c>
      <c r="V73" s="31">
        <f t="shared" si="16"/>
        <v>3772068.0304872878</v>
      </c>
      <c r="W73" s="42">
        <f t="shared" si="17"/>
        <v>3772107.3651625752</v>
      </c>
    </row>
    <row r="74" spans="2:23" x14ac:dyDescent="0.3">
      <c r="B74" s="2">
        <v>66</v>
      </c>
      <c r="C74" s="2">
        <v>431</v>
      </c>
      <c r="D74" s="4">
        <v>66399.86</v>
      </c>
      <c r="E74" s="4">
        <f t="shared" ref="E74:E137" si="18">C74*D74</f>
        <v>28618339.66</v>
      </c>
      <c r="F74" s="2">
        <f t="shared" ref="F74:F137" si="19">POWER(C74,2)</f>
        <v>185761</v>
      </c>
      <c r="G74" s="2">
        <f t="shared" ref="G74:G137" si="20">POWER(D74,2)</f>
        <v>4408941408.0195999</v>
      </c>
      <c r="H74" s="42">
        <f t="shared" ref="H74:H137" si="21">C74-$AG$9</f>
        <v>-4593.4809999999998</v>
      </c>
      <c r="I74" s="2">
        <f t="shared" ref="I74:I137" si="22">POWER(H74,2)</f>
        <v>21100067.697360996</v>
      </c>
      <c r="J74" s="4">
        <f t="shared" ref="J74:J137" si="23">D74-$AG$10</f>
        <v>-1222702.036809999</v>
      </c>
      <c r="K74" s="2">
        <f t="shared" ref="K74:K137" si="24">POWER(J74,2)</f>
        <v>1495000270819.3203</v>
      </c>
      <c r="L74" s="2">
        <f t="shared" ref="L74:L137" si="25">H74*J74</f>
        <v>5616458574.7480307</v>
      </c>
      <c r="N74" s="42">
        <f t="shared" ref="N74:N137" si="26">$AG$18+$AG$17*C74</f>
        <v>125870.14404504054</v>
      </c>
      <c r="O74" s="42">
        <f t="shared" ref="O74:O137" si="27">(N74-$AG$10)^2</f>
        <v>1353108110640.6379</v>
      </c>
      <c r="P74" s="4">
        <f t="shared" ref="P74:P137" si="28">D74-N74</f>
        <v>-59470.284045040535</v>
      </c>
      <c r="Q74" s="4">
        <f t="shared" ref="Q74:Q137" si="29">P74^2</f>
        <v>3536714684.3978028</v>
      </c>
      <c r="R74" s="43">
        <f t="shared" ref="R74:R137" si="30">(1/$AG$8)+((I74)/($I$1009))</f>
        <v>3.6581066624386395E-3</v>
      </c>
      <c r="S74" s="4">
        <f t="shared" ref="S74:S137" si="31">P74 / ($AG$19*SQRT(1-R74))</f>
        <v>-4.8962530532375696E-2</v>
      </c>
      <c r="T74" s="30">
        <f t="shared" ref="T74:T137" si="32">N74-$AK$16*SQRT($AG$25*((1/$AG$8)+((C74-$AG$9)^2)/$I$1009))</f>
        <v>-18697.126306757855</v>
      </c>
      <c r="U74" s="31">
        <f t="shared" ref="U74:U137" si="33">N74+$AK$16*SQRT($AG$25*((1/$AG$8)+((C74-$AG$9)^2)/$I$1009))</f>
        <v>270437.41439683893</v>
      </c>
      <c r="V74" s="31">
        <f t="shared" ref="V74:V137" si="34">N74+$AK$16*SQRT($AG$25*(1+(1/$AG$8)-((C74-$AG$9)^2)/$I$1009))</f>
        <v>2514129.2738628089</v>
      </c>
      <c r="W74" s="42">
        <f t="shared" ref="W74:W137" si="35">N74+$AK$16*SQRT($AG$25*(1+(1/$AG$8)+((C74-$AG$9)^2)/$I$1009))</f>
        <v>2520479.6221766341</v>
      </c>
    </row>
    <row r="75" spans="2:23" x14ac:dyDescent="0.3">
      <c r="B75" s="2">
        <v>67</v>
      </c>
      <c r="C75" s="2">
        <v>1174</v>
      </c>
      <c r="D75" s="4">
        <v>10953.42</v>
      </c>
      <c r="E75" s="4">
        <f t="shared" si="18"/>
        <v>12859315.08</v>
      </c>
      <c r="F75" s="2">
        <f t="shared" si="19"/>
        <v>1378276</v>
      </c>
      <c r="G75" s="2">
        <f t="shared" si="20"/>
        <v>119977409.6964</v>
      </c>
      <c r="H75" s="42">
        <f t="shared" si="21"/>
        <v>-3850.4809999999998</v>
      </c>
      <c r="I75" s="2">
        <f t="shared" si="22"/>
        <v>14826203.931360999</v>
      </c>
      <c r="J75" s="4">
        <f t="shared" si="23"/>
        <v>-1278148.4768099992</v>
      </c>
      <c r="K75" s="2">
        <f t="shared" si="24"/>
        <v>1633663528771.7212</v>
      </c>
      <c r="L75" s="2">
        <f t="shared" si="25"/>
        <v>4921486425.1358423</v>
      </c>
      <c r="N75" s="42">
        <f t="shared" si="26"/>
        <v>314024.00650890276</v>
      </c>
      <c r="O75" s="42">
        <f t="shared" si="27"/>
        <v>950776892154.03687</v>
      </c>
      <c r="P75" s="4">
        <f t="shared" si="28"/>
        <v>-303070.58650890278</v>
      </c>
      <c r="Q75" s="4">
        <f t="shared" si="29"/>
        <v>91851780406.850327</v>
      </c>
      <c r="R75" s="43">
        <f t="shared" si="30"/>
        <v>2.8677490524617426E-3</v>
      </c>
      <c r="S75" s="4">
        <f t="shared" si="31"/>
        <v>-0.24942239563366103</v>
      </c>
      <c r="T75" s="30">
        <f t="shared" si="32"/>
        <v>186023.29868694203</v>
      </c>
      <c r="U75" s="31">
        <f t="shared" si="33"/>
        <v>442024.7143308635</v>
      </c>
      <c r="V75" s="31">
        <f t="shared" si="34"/>
        <v>2703228.3061894407</v>
      </c>
      <c r="W75" s="42">
        <f t="shared" si="35"/>
        <v>2707690.4490826409</v>
      </c>
    </row>
    <row r="76" spans="2:23" x14ac:dyDescent="0.3">
      <c r="B76" s="2">
        <v>68</v>
      </c>
      <c r="C76" s="2">
        <v>4340</v>
      </c>
      <c r="D76" s="4">
        <v>1107915.2</v>
      </c>
      <c r="E76" s="4">
        <f t="shared" si="18"/>
        <v>4808351968</v>
      </c>
      <c r="F76" s="2">
        <f t="shared" si="19"/>
        <v>18835600</v>
      </c>
      <c r="G76" s="2">
        <f t="shared" si="20"/>
        <v>1227476090391.0398</v>
      </c>
      <c r="H76" s="42">
        <f t="shared" si="21"/>
        <v>-684.48099999999977</v>
      </c>
      <c r="I76" s="2">
        <f t="shared" si="22"/>
        <v>468514.23936099967</v>
      </c>
      <c r="J76" s="4">
        <f t="shared" si="23"/>
        <v>-181186.69680999918</v>
      </c>
      <c r="K76" s="2">
        <f t="shared" si="24"/>
        <v>32828619100.918568</v>
      </c>
      <c r="L76" s="2">
        <f t="shared" si="25"/>
        <v>124018851.41920501</v>
      </c>
      <c r="N76" s="42">
        <f t="shared" si="26"/>
        <v>1115767.1135891017</v>
      </c>
      <c r="O76" s="42">
        <f t="shared" si="27"/>
        <v>30044947074.235504</v>
      </c>
      <c r="P76" s="4">
        <f t="shared" si="28"/>
        <v>-7851.9135891017504</v>
      </c>
      <c r="Q76" s="4">
        <f t="shared" si="29"/>
        <v>61652547.01072073</v>
      </c>
      <c r="R76" s="43">
        <f t="shared" si="30"/>
        <v>1.0590216504968181E-3</v>
      </c>
      <c r="S76" s="4">
        <f t="shared" si="31"/>
        <v>-6.4561503457597246E-3</v>
      </c>
      <c r="T76" s="30">
        <f t="shared" si="32"/>
        <v>1037982.4069400711</v>
      </c>
      <c r="U76" s="31">
        <f t="shared" si="33"/>
        <v>1193551.8202381323</v>
      </c>
      <c r="V76" s="31">
        <f t="shared" si="34"/>
        <v>3507133.021648013</v>
      </c>
      <c r="W76" s="42">
        <f t="shared" si="35"/>
        <v>3507274.0271666413</v>
      </c>
    </row>
    <row r="77" spans="2:23" x14ac:dyDescent="0.3">
      <c r="B77" s="2">
        <v>69</v>
      </c>
      <c r="C77" s="2">
        <v>3684</v>
      </c>
      <c r="D77" s="4">
        <v>301093.32</v>
      </c>
      <c r="E77" s="4">
        <f t="shared" si="18"/>
        <v>1109227790.8800001</v>
      </c>
      <c r="F77" s="2">
        <f t="shared" si="19"/>
        <v>13571856</v>
      </c>
      <c r="G77" s="2">
        <f t="shared" si="20"/>
        <v>90657187348.622406</v>
      </c>
      <c r="H77" s="42">
        <f t="shared" si="21"/>
        <v>-1340.4809999999998</v>
      </c>
      <c r="I77" s="2">
        <f t="shared" si="22"/>
        <v>1796889.3113609995</v>
      </c>
      <c r="J77" s="4">
        <f t="shared" si="23"/>
        <v>-988008.57680999907</v>
      </c>
      <c r="K77" s="2">
        <f t="shared" si="24"/>
        <v>976160947850.11987</v>
      </c>
      <c r="L77" s="2">
        <f t="shared" si="25"/>
        <v>1324406725.0508442</v>
      </c>
      <c r="N77" s="42">
        <f t="shared" si="26"/>
        <v>949644.72627242119</v>
      </c>
      <c r="O77" s="42">
        <f t="shared" si="27"/>
        <v>115231170629.37828</v>
      </c>
      <c r="P77" s="4">
        <f t="shared" si="28"/>
        <v>-648551.40627242113</v>
      </c>
      <c r="Q77" s="4">
        <f t="shared" si="29"/>
        <v>420618926577.93506</v>
      </c>
      <c r="R77" s="43">
        <f t="shared" si="30"/>
        <v>1.226365314021757E-3</v>
      </c>
      <c r="S77" s="4">
        <f t="shared" si="31"/>
        <v>-0.53330899530951636</v>
      </c>
      <c r="T77" s="30">
        <f t="shared" si="32"/>
        <v>865939.66318233917</v>
      </c>
      <c r="U77" s="31">
        <f t="shared" si="33"/>
        <v>1033349.7893625032</v>
      </c>
      <c r="V77" s="31">
        <f t="shared" si="34"/>
        <v>3340810.7241128013</v>
      </c>
      <c r="W77" s="42">
        <f t="shared" si="35"/>
        <v>3341351.5215731347</v>
      </c>
    </row>
    <row r="78" spans="2:23" x14ac:dyDescent="0.3">
      <c r="B78" s="2">
        <v>70</v>
      </c>
      <c r="C78" s="2">
        <v>4991</v>
      </c>
      <c r="D78" s="4">
        <v>407914.43</v>
      </c>
      <c r="E78" s="4">
        <f t="shared" si="18"/>
        <v>2035900920.1299999</v>
      </c>
      <c r="F78" s="2">
        <f t="shared" si="19"/>
        <v>24910081</v>
      </c>
      <c r="G78" s="2">
        <f t="shared" si="20"/>
        <v>166394182202.22488</v>
      </c>
      <c r="H78" s="42">
        <f t="shared" si="21"/>
        <v>-33.480999999999767</v>
      </c>
      <c r="I78" s="2">
        <f t="shared" si="22"/>
        <v>1120.9773609999845</v>
      </c>
      <c r="J78" s="4">
        <f t="shared" si="23"/>
        <v>-881187.4668099992</v>
      </c>
      <c r="K78" s="2">
        <f t="shared" si="24"/>
        <v>776491351663.02344</v>
      </c>
      <c r="L78" s="2">
        <f t="shared" si="25"/>
        <v>29503037.57626538</v>
      </c>
      <c r="N78" s="42">
        <f t="shared" si="26"/>
        <v>1280623.3241731855</v>
      </c>
      <c r="O78" s="42">
        <f t="shared" si="27"/>
        <v>71886193.95772472</v>
      </c>
      <c r="P78" s="4">
        <f t="shared" si="28"/>
        <v>-872708.89417318557</v>
      </c>
      <c r="Q78" s="4">
        <f t="shared" si="29"/>
        <v>761620813968.98438</v>
      </c>
      <c r="R78" s="43">
        <f t="shared" si="30"/>
        <v>1.0001412164849163E-3</v>
      </c>
      <c r="S78" s="4">
        <f t="shared" si="31"/>
        <v>-0.71755422677909475</v>
      </c>
      <c r="T78" s="30">
        <f t="shared" si="32"/>
        <v>1205031.9115466904</v>
      </c>
      <c r="U78" s="31">
        <f t="shared" si="33"/>
        <v>1356214.7367996806</v>
      </c>
      <c r="V78" s="31">
        <f t="shared" si="34"/>
        <v>3672059.5673442269</v>
      </c>
      <c r="W78" s="42">
        <f t="shared" si="35"/>
        <v>3672059.9047170985</v>
      </c>
    </row>
    <row r="79" spans="2:23" x14ac:dyDescent="0.3">
      <c r="B79" s="2">
        <v>71</v>
      </c>
      <c r="C79" s="2">
        <v>1080</v>
      </c>
      <c r="D79" s="4">
        <v>721731.6</v>
      </c>
      <c r="E79" s="4">
        <f t="shared" si="18"/>
        <v>779470128</v>
      </c>
      <c r="F79" s="2">
        <f t="shared" si="19"/>
        <v>1166400</v>
      </c>
      <c r="G79" s="2">
        <f t="shared" si="20"/>
        <v>520896502438.55994</v>
      </c>
      <c r="H79" s="42">
        <f t="shared" si="21"/>
        <v>-3944.4809999999998</v>
      </c>
      <c r="I79" s="2">
        <f t="shared" si="22"/>
        <v>15558930.359360998</v>
      </c>
      <c r="J79" s="4">
        <f t="shared" si="23"/>
        <v>-567370.29680999916</v>
      </c>
      <c r="K79" s="2">
        <f t="shared" si="24"/>
        <v>321909053702.26654</v>
      </c>
      <c r="L79" s="2">
        <f t="shared" si="25"/>
        <v>2237981355.7314019</v>
      </c>
      <c r="N79" s="42">
        <f t="shared" si="26"/>
        <v>290219.88393608574</v>
      </c>
      <c r="O79" s="42">
        <f t="shared" si="27"/>
        <v>997765275643.04089</v>
      </c>
      <c r="P79" s="4">
        <f t="shared" si="28"/>
        <v>431511.71606391424</v>
      </c>
      <c r="Q79" s="4">
        <f t="shared" si="29"/>
        <v>186202361100.42413</v>
      </c>
      <c r="R79" s="43">
        <f t="shared" si="30"/>
        <v>2.9600551544111341E-3</v>
      </c>
      <c r="S79" s="4">
        <f t="shared" si="31"/>
        <v>0.35514389313996714</v>
      </c>
      <c r="T79" s="30">
        <f t="shared" si="32"/>
        <v>160175.47041429946</v>
      </c>
      <c r="U79" s="31">
        <f t="shared" si="33"/>
        <v>420264.29745787202</v>
      </c>
      <c r="V79" s="31">
        <f t="shared" si="34"/>
        <v>2679313.8162306426</v>
      </c>
      <c r="W79" s="42">
        <f t="shared" si="35"/>
        <v>2683996.483075805</v>
      </c>
    </row>
    <row r="80" spans="2:23" x14ac:dyDescent="0.3">
      <c r="B80" s="2">
        <v>72</v>
      </c>
      <c r="C80" s="2">
        <v>6798</v>
      </c>
      <c r="D80" s="4">
        <v>2868008.2199999997</v>
      </c>
      <c r="E80" s="4">
        <f t="shared" si="18"/>
        <v>19496719879.559998</v>
      </c>
      <c r="F80" s="2">
        <f t="shared" si="19"/>
        <v>46212804</v>
      </c>
      <c r="G80" s="2">
        <f t="shared" si="20"/>
        <v>8225471149987.5674</v>
      </c>
      <c r="H80" s="42">
        <f t="shared" si="21"/>
        <v>1773.5190000000002</v>
      </c>
      <c r="I80" s="2">
        <f t="shared" si="22"/>
        <v>3145369.6433610008</v>
      </c>
      <c r="J80" s="4">
        <f t="shared" si="23"/>
        <v>1578906.3231900006</v>
      </c>
      <c r="K80" s="2">
        <f t="shared" si="24"/>
        <v>2492945177409.3667</v>
      </c>
      <c r="L80" s="2">
        <f t="shared" si="25"/>
        <v>2800220363.3976068</v>
      </c>
      <c r="N80" s="42">
        <f t="shared" si="26"/>
        <v>1738219.5953336149</v>
      </c>
      <c r="O80" s="42">
        <f t="shared" si="27"/>
        <v>201706707127.14938</v>
      </c>
      <c r="P80" s="4">
        <f t="shared" si="28"/>
        <v>1129788.6246663849</v>
      </c>
      <c r="Q80" s="4">
        <f t="shared" si="29"/>
        <v>1276422336425.5615</v>
      </c>
      <c r="R80" s="43">
        <f t="shared" si="30"/>
        <v>1.3962417621008775E-3</v>
      </c>
      <c r="S80" s="4">
        <f t="shared" si="31"/>
        <v>0.92911321663533053</v>
      </c>
      <c r="T80" s="30">
        <f t="shared" si="32"/>
        <v>1648905.0666778039</v>
      </c>
      <c r="U80" s="31">
        <f t="shared" si="33"/>
        <v>1827534.1239894258</v>
      </c>
      <c r="V80" s="31">
        <f t="shared" si="34"/>
        <v>4129182.6401726361</v>
      </c>
      <c r="W80" s="42">
        <f t="shared" si="35"/>
        <v>4130129.2805286269</v>
      </c>
    </row>
    <row r="81" spans="2:23" x14ac:dyDescent="0.3">
      <c r="B81" s="2">
        <v>73</v>
      </c>
      <c r="C81" s="2">
        <v>4025</v>
      </c>
      <c r="D81" s="4">
        <v>2689786.75</v>
      </c>
      <c r="E81" s="4">
        <f t="shared" si="18"/>
        <v>10826391668.75</v>
      </c>
      <c r="F81" s="2">
        <f t="shared" si="19"/>
        <v>16200625</v>
      </c>
      <c r="G81" s="2">
        <f t="shared" si="20"/>
        <v>7234952760475.5625</v>
      </c>
      <c r="H81" s="42">
        <f t="shared" si="21"/>
        <v>-999.48099999999977</v>
      </c>
      <c r="I81" s="2">
        <f t="shared" si="22"/>
        <v>998962.26936099958</v>
      </c>
      <c r="J81" s="4">
        <f t="shared" si="23"/>
        <v>1400684.8531900009</v>
      </c>
      <c r="K81" s="2">
        <f t="shared" si="24"/>
        <v>1961918057955.8943</v>
      </c>
      <c r="L81" s="2">
        <f t="shared" si="25"/>
        <v>-1399957897.751195</v>
      </c>
      <c r="N81" s="42">
        <f t="shared" si="26"/>
        <v>1035997.9794355128</v>
      </c>
      <c r="O81" s="42">
        <f t="shared" si="27"/>
        <v>64061592990.310806</v>
      </c>
      <c r="P81" s="4">
        <f t="shared" si="28"/>
        <v>1653788.7705644872</v>
      </c>
      <c r="Q81" s="4">
        <f t="shared" si="29"/>
        <v>2735017297645.1982</v>
      </c>
      <c r="R81" s="43">
        <f t="shared" si="30"/>
        <v>1.1258454855121343E-3</v>
      </c>
      <c r="S81" s="4">
        <f t="shared" si="31"/>
        <v>1.359855271014901</v>
      </c>
      <c r="T81" s="30">
        <f t="shared" si="32"/>
        <v>955796.71891894052</v>
      </c>
      <c r="U81" s="31">
        <f t="shared" si="33"/>
        <v>1116199.2399520851</v>
      </c>
      <c r="V81" s="31">
        <f t="shared" si="34"/>
        <v>3427284.0611552317</v>
      </c>
      <c r="W81" s="42">
        <f t="shared" si="35"/>
        <v>3427584.7119813217</v>
      </c>
    </row>
    <row r="82" spans="2:23" x14ac:dyDescent="0.3">
      <c r="B82" s="2">
        <v>74</v>
      </c>
      <c r="C82" s="2">
        <v>6674</v>
      </c>
      <c r="D82" s="4">
        <v>4346175.54</v>
      </c>
      <c r="E82" s="4">
        <f t="shared" si="18"/>
        <v>29006375553.959999</v>
      </c>
      <c r="F82" s="2">
        <f t="shared" si="19"/>
        <v>44542276</v>
      </c>
      <c r="G82" s="2">
        <f t="shared" si="20"/>
        <v>18889241824494.293</v>
      </c>
      <c r="H82" s="42">
        <f t="shared" si="21"/>
        <v>1649.5190000000002</v>
      </c>
      <c r="I82" s="2">
        <f t="shared" si="22"/>
        <v>2720912.931361001</v>
      </c>
      <c r="J82" s="4">
        <f t="shared" si="23"/>
        <v>3057073.6431900011</v>
      </c>
      <c r="K82" s="2">
        <f t="shared" si="24"/>
        <v>9345699259886.9863</v>
      </c>
      <c r="L82" s="2">
        <f t="shared" si="25"/>
        <v>5042701058.8411283</v>
      </c>
      <c r="N82" s="42">
        <f t="shared" si="26"/>
        <v>1706818.4123652182</v>
      </c>
      <c r="O82" s="42">
        <f t="shared" si="27"/>
        <v>174487087367.59354</v>
      </c>
      <c r="P82" s="4">
        <f t="shared" si="28"/>
        <v>2639357.1276347819</v>
      </c>
      <c r="Q82" s="4">
        <f t="shared" si="29"/>
        <v>6966206047196.5264</v>
      </c>
      <c r="R82" s="43">
        <f t="shared" si="30"/>
        <v>1.3427703121384154E-3</v>
      </c>
      <c r="S82" s="4">
        <f t="shared" si="31"/>
        <v>2.1704909087799917</v>
      </c>
      <c r="T82" s="30">
        <f t="shared" si="32"/>
        <v>1619230.8047497831</v>
      </c>
      <c r="U82" s="31">
        <f t="shared" si="33"/>
        <v>1794406.0199806532</v>
      </c>
      <c r="V82" s="31">
        <f t="shared" si="34"/>
        <v>4097845.3419097392</v>
      </c>
      <c r="W82" s="42">
        <f t="shared" si="35"/>
        <v>4098664.2364325821</v>
      </c>
    </row>
    <row r="83" spans="2:23" x14ac:dyDescent="0.3">
      <c r="B83" s="2">
        <v>75</v>
      </c>
      <c r="C83" s="2">
        <v>5685</v>
      </c>
      <c r="D83" s="4">
        <v>53041.05</v>
      </c>
      <c r="E83" s="4">
        <f t="shared" si="18"/>
        <v>301538369.25</v>
      </c>
      <c r="F83" s="2">
        <f t="shared" si="19"/>
        <v>32319225</v>
      </c>
      <c r="G83" s="2">
        <f t="shared" si="20"/>
        <v>2813352985.1025004</v>
      </c>
      <c r="H83" s="42">
        <f t="shared" si="21"/>
        <v>660.51900000000023</v>
      </c>
      <c r="I83" s="2">
        <f t="shared" si="22"/>
        <v>436285.34936100029</v>
      </c>
      <c r="J83" s="4">
        <f t="shared" si="23"/>
        <v>-1236060.8468099991</v>
      </c>
      <c r="K83" s="2">
        <f t="shared" si="24"/>
        <v>1527846417016.6521</v>
      </c>
      <c r="L83" s="2">
        <f t="shared" si="25"/>
        <v>-816441674.47409403</v>
      </c>
      <c r="N83" s="42">
        <f t="shared" si="26"/>
        <v>1456368.6546576007</v>
      </c>
      <c r="O83" s="42">
        <f t="shared" si="27"/>
        <v>27978168280.848175</v>
      </c>
      <c r="P83" s="4">
        <f t="shared" si="28"/>
        <v>-1403327.6046576006</v>
      </c>
      <c r="Q83" s="4">
        <f t="shared" si="29"/>
        <v>1969328365994.0391</v>
      </c>
      <c r="R83" s="43">
        <f t="shared" si="30"/>
        <v>1.0549615769245085E-3</v>
      </c>
      <c r="S83" s="4">
        <f t="shared" si="31"/>
        <v>-1.1538684787403903</v>
      </c>
      <c r="T83" s="30">
        <f t="shared" si="32"/>
        <v>1378733.1965639014</v>
      </c>
      <c r="U83" s="31">
        <f t="shared" si="33"/>
        <v>1534004.1127513</v>
      </c>
      <c r="V83" s="31">
        <f t="shared" si="34"/>
        <v>3847739.412708614</v>
      </c>
      <c r="W83" s="42">
        <f t="shared" si="35"/>
        <v>3847870.7185191633</v>
      </c>
    </row>
    <row r="84" spans="2:23" x14ac:dyDescent="0.3">
      <c r="B84" s="2">
        <v>76</v>
      </c>
      <c r="C84" s="2">
        <v>4033</v>
      </c>
      <c r="D84" s="4">
        <v>621323.98</v>
      </c>
      <c r="E84" s="4">
        <f t="shared" si="18"/>
        <v>2505799611.3400002</v>
      </c>
      <c r="F84" s="2">
        <f t="shared" si="19"/>
        <v>16265089</v>
      </c>
      <c r="G84" s="2">
        <f t="shared" si="20"/>
        <v>386043488123.04041</v>
      </c>
      <c r="H84" s="42">
        <f t="shared" si="21"/>
        <v>-991.48099999999977</v>
      </c>
      <c r="I84" s="2">
        <f t="shared" si="22"/>
        <v>983034.57336099958</v>
      </c>
      <c r="J84" s="4">
        <f t="shared" si="23"/>
        <v>-667777.91680999915</v>
      </c>
      <c r="K84" s="2">
        <f t="shared" si="24"/>
        <v>445927346179.10217</v>
      </c>
      <c r="L84" s="2">
        <f t="shared" si="25"/>
        <v>662089116.73669457</v>
      </c>
      <c r="N84" s="42">
        <f t="shared" si="26"/>
        <v>1038023.8622076674</v>
      </c>
      <c r="O84" s="42">
        <f t="shared" si="27"/>
        <v>63040179459.769676</v>
      </c>
      <c r="P84" s="4">
        <f t="shared" si="28"/>
        <v>-416699.88220766746</v>
      </c>
      <c r="Q84" s="4">
        <f t="shared" si="29"/>
        <v>173638791831.88394</v>
      </c>
      <c r="R84" s="43">
        <f t="shared" si="30"/>
        <v>1.123838974658134E-3</v>
      </c>
      <c r="S84" s="4">
        <f t="shared" si="31"/>
        <v>-0.34263805160670152</v>
      </c>
      <c r="T84" s="30">
        <f t="shared" si="32"/>
        <v>957894.10193993268</v>
      </c>
      <c r="U84" s="31">
        <f t="shared" si="33"/>
        <v>1118153.6224754022</v>
      </c>
      <c r="V84" s="31">
        <f t="shared" si="34"/>
        <v>3429312.3409015974</v>
      </c>
      <c r="W84" s="42">
        <f t="shared" si="35"/>
        <v>3429608.1980781918</v>
      </c>
    </row>
    <row r="85" spans="2:23" x14ac:dyDescent="0.3">
      <c r="B85" s="2">
        <v>77</v>
      </c>
      <c r="C85" s="2">
        <v>1723</v>
      </c>
      <c r="D85" s="4">
        <v>81756.350000000006</v>
      </c>
      <c r="E85" s="4">
        <f t="shared" si="18"/>
        <v>140866191.05000001</v>
      </c>
      <c r="F85" s="2">
        <f t="shared" si="19"/>
        <v>2968729</v>
      </c>
      <c r="G85" s="2">
        <f t="shared" si="20"/>
        <v>6684100765.3225012</v>
      </c>
      <c r="H85" s="42">
        <f t="shared" si="21"/>
        <v>-3301.4809999999998</v>
      </c>
      <c r="I85" s="2">
        <f t="shared" si="22"/>
        <v>10899776.793360999</v>
      </c>
      <c r="J85" s="4">
        <f t="shared" si="23"/>
        <v>-1207345.546809999</v>
      </c>
      <c r="K85" s="2">
        <f t="shared" si="24"/>
        <v>1457683269401.9355</v>
      </c>
      <c r="L85" s="2">
        <f t="shared" si="25"/>
        <v>3986028383.2278223</v>
      </c>
      <c r="N85" s="42">
        <f t="shared" si="26"/>
        <v>453050.21174801496</v>
      </c>
      <c r="O85" s="42">
        <f t="shared" si="27"/>
        <v>698982420094.98328</v>
      </c>
      <c r="P85" s="4">
        <f t="shared" si="28"/>
        <v>-371293.86174801493</v>
      </c>
      <c r="Q85" s="4">
        <f t="shared" si="29"/>
        <v>137859131771.75403</v>
      </c>
      <c r="R85" s="43">
        <f t="shared" si="30"/>
        <v>2.3731126235746907E-3</v>
      </c>
      <c r="S85" s="4">
        <f t="shared" si="31"/>
        <v>-0.30549333185003574</v>
      </c>
      <c r="T85" s="30">
        <f t="shared" si="32"/>
        <v>336610.53971530491</v>
      </c>
      <c r="U85" s="31">
        <f t="shared" si="33"/>
        <v>569489.88378072495</v>
      </c>
      <c r="V85" s="31">
        <f t="shared" si="34"/>
        <v>2842845.8451844417</v>
      </c>
      <c r="W85" s="42">
        <f t="shared" si="35"/>
        <v>2846126.2770505329</v>
      </c>
    </row>
    <row r="86" spans="2:23" x14ac:dyDescent="0.3">
      <c r="B86" s="2">
        <v>78</v>
      </c>
      <c r="C86" s="2">
        <v>790</v>
      </c>
      <c r="D86" s="4">
        <v>345388</v>
      </c>
      <c r="E86" s="4">
        <f t="shared" si="18"/>
        <v>272856520</v>
      </c>
      <c r="F86" s="2">
        <f t="shared" si="19"/>
        <v>624100</v>
      </c>
      <c r="G86" s="2">
        <f t="shared" si="20"/>
        <v>119292870544</v>
      </c>
      <c r="H86" s="42">
        <f t="shared" si="21"/>
        <v>-4234.4809999999998</v>
      </c>
      <c r="I86" s="2">
        <f t="shared" si="22"/>
        <v>17930829.339360997</v>
      </c>
      <c r="J86" s="4">
        <f t="shared" si="23"/>
        <v>-943713.89680999913</v>
      </c>
      <c r="K86" s="2">
        <f t="shared" si="24"/>
        <v>890595919032.31372</v>
      </c>
      <c r="L86" s="2">
        <f t="shared" si="25"/>
        <v>3996138565.4779019</v>
      </c>
      <c r="N86" s="42">
        <f t="shared" si="26"/>
        <v>216781.63344548002</v>
      </c>
      <c r="O86" s="42">
        <f t="shared" si="27"/>
        <v>1149870747222.1514</v>
      </c>
      <c r="P86" s="4">
        <f t="shared" si="28"/>
        <v>128606.36655451998</v>
      </c>
      <c r="Q86" s="4">
        <f t="shared" si="29"/>
        <v>16539597518.355555</v>
      </c>
      <c r="R86" s="43">
        <f t="shared" si="30"/>
        <v>3.2588580100132488E-3</v>
      </c>
      <c r="S86" s="4">
        <f t="shared" si="31"/>
        <v>0.10586180982641293</v>
      </c>
      <c r="T86" s="30">
        <f t="shared" si="32"/>
        <v>80331.326174628863</v>
      </c>
      <c r="U86" s="31">
        <f t="shared" si="33"/>
        <v>353231.94071633118</v>
      </c>
      <c r="V86" s="31">
        <f t="shared" si="34"/>
        <v>2605518.2619712339</v>
      </c>
      <c r="W86" s="42">
        <f t="shared" si="35"/>
        <v>2610914.7841818803</v>
      </c>
    </row>
    <row r="87" spans="2:23" x14ac:dyDescent="0.3">
      <c r="B87" s="2">
        <v>79</v>
      </c>
      <c r="C87" s="2">
        <v>303</v>
      </c>
      <c r="D87" s="4">
        <v>62327.1</v>
      </c>
      <c r="E87" s="4">
        <f t="shared" si="18"/>
        <v>18885111.300000001</v>
      </c>
      <c r="F87" s="2">
        <f t="shared" si="19"/>
        <v>91809</v>
      </c>
      <c r="G87" s="2">
        <f t="shared" si="20"/>
        <v>3884667394.4099998</v>
      </c>
      <c r="H87" s="42">
        <f t="shared" si="21"/>
        <v>-4721.4809999999998</v>
      </c>
      <c r="I87" s="2">
        <f t="shared" si="22"/>
        <v>22292382.833360996</v>
      </c>
      <c r="J87" s="4">
        <f t="shared" si="23"/>
        <v>-1226774.796809999</v>
      </c>
      <c r="K87" s="2">
        <f t="shared" si="24"/>
        <v>1504976402088.2144</v>
      </c>
      <c r="L87" s="2">
        <f t="shared" si="25"/>
        <v>5792193894.4172707</v>
      </c>
      <c r="N87" s="42">
        <f t="shared" si="26"/>
        <v>93456.019690566289</v>
      </c>
      <c r="O87" s="42">
        <f t="shared" si="27"/>
        <v>1429569063472.698</v>
      </c>
      <c r="P87" s="4">
        <f t="shared" si="28"/>
        <v>-31128.91969056629</v>
      </c>
      <c r="Q87" s="4">
        <f t="shared" si="29"/>
        <v>969009641.1017257</v>
      </c>
      <c r="R87" s="43">
        <f t="shared" si="30"/>
        <v>3.8083100102281075E-3</v>
      </c>
      <c r="S87" s="4">
        <f t="shared" si="31"/>
        <v>-2.5630709602140145E-2</v>
      </c>
      <c r="T87" s="30">
        <f t="shared" si="32"/>
        <v>-54049.389238330041</v>
      </c>
      <c r="U87" s="31">
        <f t="shared" si="33"/>
        <v>240961.42861946262</v>
      </c>
      <c r="V87" s="31">
        <f t="shared" si="34"/>
        <v>2481535.4825961902</v>
      </c>
      <c r="W87" s="42">
        <f t="shared" si="35"/>
        <v>2488244.6748257065</v>
      </c>
    </row>
    <row r="88" spans="2:23" x14ac:dyDescent="0.3">
      <c r="B88" s="2">
        <v>80</v>
      </c>
      <c r="C88" s="2">
        <v>1359</v>
      </c>
      <c r="D88" s="4">
        <v>111071.07</v>
      </c>
      <c r="E88" s="4">
        <f t="shared" si="18"/>
        <v>150945584.13</v>
      </c>
      <c r="F88" s="2">
        <f t="shared" si="19"/>
        <v>1846881</v>
      </c>
      <c r="G88" s="2">
        <f t="shared" si="20"/>
        <v>12336782590.944902</v>
      </c>
      <c r="H88" s="42">
        <f t="shared" si="21"/>
        <v>-3665.4809999999998</v>
      </c>
      <c r="I88" s="2">
        <f t="shared" si="22"/>
        <v>13435750.961360998</v>
      </c>
      <c r="J88" s="4">
        <f t="shared" si="23"/>
        <v>-1178030.8268099991</v>
      </c>
      <c r="K88" s="2">
        <f t="shared" si="24"/>
        <v>1387756628914.6499</v>
      </c>
      <c r="L88" s="2">
        <f t="shared" si="25"/>
        <v>4318049613.0863419</v>
      </c>
      <c r="N88" s="42">
        <f t="shared" si="26"/>
        <v>360872.54561497882</v>
      </c>
      <c r="O88" s="42">
        <f t="shared" si="27"/>
        <v>861609728419.92847</v>
      </c>
      <c r="P88" s="4">
        <f t="shared" si="28"/>
        <v>-249801.47561497882</v>
      </c>
      <c r="Q88" s="4">
        <f t="shared" si="29"/>
        <v>62400777219.420853</v>
      </c>
      <c r="R88" s="43">
        <f t="shared" si="30"/>
        <v>2.6925850503184291E-3</v>
      </c>
      <c r="S88" s="4">
        <f t="shared" si="31"/>
        <v>-0.20556468819322216</v>
      </c>
      <c r="T88" s="30">
        <f t="shared" si="32"/>
        <v>236842.61125682283</v>
      </c>
      <c r="U88" s="31">
        <f t="shared" si="33"/>
        <v>484902.47997313482</v>
      </c>
      <c r="V88" s="31">
        <f t="shared" si="34"/>
        <v>2750286.2691459218</v>
      </c>
      <c r="W88" s="42">
        <f t="shared" si="35"/>
        <v>2754329.9364447342</v>
      </c>
    </row>
    <row r="89" spans="2:23" x14ac:dyDescent="0.3">
      <c r="B89" s="2">
        <v>81</v>
      </c>
      <c r="C89" s="2">
        <v>2089</v>
      </c>
      <c r="D89" s="4">
        <v>1396016.03</v>
      </c>
      <c r="E89" s="4">
        <f t="shared" si="18"/>
        <v>2916277486.6700001</v>
      </c>
      <c r="F89" s="2">
        <f t="shared" si="19"/>
        <v>4363921</v>
      </c>
      <c r="G89" s="2">
        <f t="shared" si="20"/>
        <v>1948860756016.9609</v>
      </c>
      <c r="H89" s="42">
        <f t="shared" si="21"/>
        <v>-2935.4809999999998</v>
      </c>
      <c r="I89" s="2">
        <f t="shared" si="22"/>
        <v>8617048.7013609987</v>
      </c>
      <c r="J89" s="4">
        <f t="shared" si="23"/>
        <v>106914.1331900009</v>
      </c>
      <c r="K89" s="2">
        <f t="shared" si="24"/>
        <v>11430631875.769251</v>
      </c>
      <c r="L89" s="2">
        <f t="shared" si="25"/>
        <v>-313844406.610717</v>
      </c>
      <c r="N89" s="42">
        <f t="shared" si="26"/>
        <v>545734.34857408982</v>
      </c>
      <c r="O89" s="42">
        <f t="shared" si="27"/>
        <v>552595311770.26697</v>
      </c>
      <c r="P89" s="4">
        <f t="shared" si="28"/>
        <v>850281.68142591021</v>
      </c>
      <c r="Q89" s="4">
        <f t="shared" si="29"/>
        <v>722978937768.47302</v>
      </c>
      <c r="R89" s="43">
        <f t="shared" si="30"/>
        <v>2.0855431789212056E-3</v>
      </c>
      <c r="S89" s="4">
        <f t="shared" si="31"/>
        <v>0.69949433863307786</v>
      </c>
      <c r="T89" s="30">
        <f t="shared" si="32"/>
        <v>436577.39874191105</v>
      </c>
      <c r="U89" s="31">
        <f t="shared" si="33"/>
        <v>654891.29840626859</v>
      </c>
      <c r="V89" s="31">
        <f t="shared" si="34"/>
        <v>2935873.7016491843</v>
      </c>
      <c r="W89" s="42">
        <f t="shared" si="35"/>
        <v>2938467.1161010773</v>
      </c>
    </row>
    <row r="90" spans="2:23" x14ac:dyDescent="0.3">
      <c r="B90" s="2">
        <v>82</v>
      </c>
      <c r="C90" s="2">
        <v>2653</v>
      </c>
      <c r="D90" s="4">
        <v>677257.84</v>
      </c>
      <c r="E90" s="4">
        <f t="shared" si="18"/>
        <v>1796765049.52</v>
      </c>
      <c r="F90" s="2">
        <f t="shared" si="19"/>
        <v>7038409</v>
      </c>
      <c r="G90" s="2">
        <f t="shared" si="20"/>
        <v>458678181841.46558</v>
      </c>
      <c r="H90" s="42">
        <f t="shared" si="21"/>
        <v>-2371.4809999999998</v>
      </c>
      <c r="I90" s="2">
        <f t="shared" si="22"/>
        <v>5623922.1333609987</v>
      </c>
      <c r="J90" s="4">
        <f t="shared" si="23"/>
        <v>-611844.05680999917</v>
      </c>
      <c r="K90" s="2">
        <f t="shared" si="24"/>
        <v>374353149853.71747</v>
      </c>
      <c r="L90" s="2">
        <f t="shared" si="25"/>
        <v>1450976555.6878335</v>
      </c>
      <c r="N90" s="42">
        <f t="shared" si="26"/>
        <v>688559.08401099197</v>
      </c>
      <c r="O90" s="42">
        <f t="shared" si="27"/>
        <v>360651670004.54333</v>
      </c>
      <c r="P90" s="4">
        <f t="shared" si="28"/>
        <v>-11301.244010991999</v>
      </c>
      <c r="Q90" s="4">
        <f t="shared" si="29"/>
        <v>127718116.19598253</v>
      </c>
      <c r="R90" s="43">
        <f t="shared" si="30"/>
        <v>1.708480423197537E-3</v>
      </c>
      <c r="S90" s="4">
        <f t="shared" si="31"/>
        <v>-9.2953468435656005E-3</v>
      </c>
      <c r="T90" s="30">
        <f t="shared" si="32"/>
        <v>589761.39134514693</v>
      </c>
      <c r="U90" s="31">
        <f t="shared" si="33"/>
        <v>787356.77667683701</v>
      </c>
      <c r="V90" s="31">
        <f t="shared" si="34"/>
        <v>3079149.0494251363</v>
      </c>
      <c r="W90" s="42">
        <f t="shared" si="35"/>
        <v>3080841.6428189576</v>
      </c>
    </row>
    <row r="91" spans="2:23" x14ac:dyDescent="0.3">
      <c r="B91" s="2">
        <v>83</v>
      </c>
      <c r="C91" s="2">
        <v>245</v>
      </c>
      <c r="D91" s="4">
        <v>159546.45000000001</v>
      </c>
      <c r="E91" s="4">
        <f t="shared" si="18"/>
        <v>39088880.25</v>
      </c>
      <c r="F91" s="2">
        <f t="shared" si="19"/>
        <v>60025</v>
      </c>
      <c r="G91" s="2">
        <f t="shared" si="20"/>
        <v>25455069707.602505</v>
      </c>
      <c r="H91" s="42">
        <f t="shared" si="21"/>
        <v>-4779.4809999999998</v>
      </c>
      <c r="I91" s="2">
        <f t="shared" si="22"/>
        <v>22843438.629360996</v>
      </c>
      <c r="J91" s="4">
        <f t="shared" si="23"/>
        <v>-1129555.4468099992</v>
      </c>
      <c r="K91" s="2">
        <f t="shared" si="24"/>
        <v>1275895507418.137</v>
      </c>
      <c r="L91" s="2">
        <f t="shared" si="25"/>
        <v>5398688796.4749012</v>
      </c>
      <c r="N91" s="42">
        <f t="shared" si="26"/>
        <v>78768.369592445146</v>
      </c>
      <c r="O91" s="42">
        <f t="shared" si="27"/>
        <v>1464907247106.8853</v>
      </c>
      <c r="P91" s="4">
        <f t="shared" si="28"/>
        <v>80778.080407554866</v>
      </c>
      <c r="Q91" s="4">
        <f t="shared" si="29"/>
        <v>6525098274.3293991</v>
      </c>
      <c r="R91" s="43">
        <f t="shared" si="30"/>
        <v>3.8777299336014447E-3</v>
      </c>
      <c r="S91" s="4">
        <f t="shared" si="31"/>
        <v>6.651280171971434E-2</v>
      </c>
      <c r="T91" s="30">
        <f t="shared" si="32"/>
        <v>-70075.371887246234</v>
      </c>
      <c r="U91" s="31">
        <f t="shared" si="33"/>
        <v>227612.11107213653</v>
      </c>
      <c r="V91" s="31">
        <f t="shared" si="34"/>
        <v>2466764.7907449603</v>
      </c>
      <c r="W91" s="42">
        <f t="shared" si="35"/>
        <v>2473639.8309611687</v>
      </c>
    </row>
    <row r="92" spans="2:23" x14ac:dyDescent="0.3">
      <c r="B92" s="2">
        <v>84</v>
      </c>
      <c r="C92" s="2">
        <v>4087</v>
      </c>
      <c r="D92" s="4">
        <v>1724264.43</v>
      </c>
      <c r="E92" s="4">
        <f t="shared" si="18"/>
        <v>7047068725.4099998</v>
      </c>
      <c r="F92" s="2">
        <f t="shared" si="19"/>
        <v>16703569</v>
      </c>
      <c r="G92" s="2">
        <f t="shared" si="20"/>
        <v>2973087824563.2246</v>
      </c>
      <c r="H92" s="42">
        <f t="shared" si="21"/>
        <v>-937.48099999999977</v>
      </c>
      <c r="I92" s="2">
        <f t="shared" si="22"/>
        <v>878870.62536099961</v>
      </c>
      <c r="J92" s="4">
        <f t="shared" si="23"/>
        <v>435162.5331900008</v>
      </c>
      <c r="K92" s="2">
        <f t="shared" si="24"/>
        <v>189366430292.33856</v>
      </c>
      <c r="L92" s="2">
        <f t="shared" si="25"/>
        <v>-407956606.77749503</v>
      </c>
      <c r="N92" s="42">
        <f t="shared" si="26"/>
        <v>1051698.5709197111</v>
      </c>
      <c r="O92" s="42">
        <f t="shared" si="27"/>
        <v>56360339143.770287</v>
      </c>
      <c r="P92" s="4">
        <f t="shared" si="28"/>
        <v>672565.85908028879</v>
      </c>
      <c r="Q92" s="4">
        <f t="shared" si="29"/>
        <v>452344834800.40686</v>
      </c>
      <c r="R92" s="43">
        <f t="shared" si="30"/>
        <v>1.1107167947610836E-3</v>
      </c>
      <c r="S92" s="4">
        <f t="shared" si="31"/>
        <v>0.55302425487645213</v>
      </c>
      <c r="T92" s="30">
        <f t="shared" si="32"/>
        <v>972037.99018788326</v>
      </c>
      <c r="U92" s="31">
        <f t="shared" si="33"/>
        <v>1131359.1516515391</v>
      </c>
      <c r="V92" s="31">
        <f t="shared" si="34"/>
        <v>3443002.7252866039</v>
      </c>
      <c r="W92" s="42">
        <f t="shared" si="35"/>
        <v>3443267.232953738</v>
      </c>
    </row>
    <row r="93" spans="2:23" x14ac:dyDescent="0.3">
      <c r="B93" s="2">
        <v>85</v>
      </c>
      <c r="C93" s="2">
        <v>435</v>
      </c>
      <c r="D93" s="4">
        <v>111046.8</v>
      </c>
      <c r="E93" s="4">
        <f t="shared" si="18"/>
        <v>48305358</v>
      </c>
      <c r="F93" s="2">
        <f t="shared" si="19"/>
        <v>189225</v>
      </c>
      <c r="G93" s="2">
        <f t="shared" si="20"/>
        <v>12331391790.24</v>
      </c>
      <c r="H93" s="42">
        <f t="shared" si="21"/>
        <v>-4589.4809999999998</v>
      </c>
      <c r="I93" s="2">
        <f t="shared" si="22"/>
        <v>21063335.849360999</v>
      </c>
      <c r="J93" s="4">
        <f t="shared" si="23"/>
        <v>-1178055.0968099991</v>
      </c>
      <c r="K93" s="2">
        <f t="shared" si="24"/>
        <v>1387813811120.0164</v>
      </c>
      <c r="L93" s="2">
        <f t="shared" si="25"/>
        <v>5406661483.7626514</v>
      </c>
      <c r="N93" s="42">
        <f t="shared" si="26"/>
        <v>126883.08543111786</v>
      </c>
      <c r="O93" s="42">
        <f t="shared" si="27"/>
        <v>1350752565522.9397</v>
      </c>
      <c r="P93" s="4">
        <f t="shared" si="28"/>
        <v>-15836.285431117853</v>
      </c>
      <c r="Q93" s="4">
        <f t="shared" si="29"/>
        <v>250787936.25583556</v>
      </c>
      <c r="R93" s="43">
        <f t="shared" si="30"/>
        <v>3.6534793232616812E-3</v>
      </c>
      <c r="S93" s="4">
        <f t="shared" si="31"/>
        <v>-1.3038155455741269E-2</v>
      </c>
      <c r="T93" s="30">
        <f t="shared" si="32"/>
        <v>-17592.720463646925</v>
      </c>
      <c r="U93" s="31">
        <f t="shared" si="33"/>
        <v>271358.89132588264</v>
      </c>
      <c r="V93" s="31">
        <f t="shared" si="34"/>
        <v>2515147.7500623129</v>
      </c>
      <c r="W93" s="42">
        <f t="shared" si="35"/>
        <v>2521487.0434144912</v>
      </c>
    </row>
    <row r="94" spans="2:23" x14ac:dyDescent="0.3">
      <c r="B94" s="2">
        <v>86</v>
      </c>
      <c r="C94" s="2">
        <v>7575</v>
      </c>
      <c r="D94" s="4">
        <v>3311790</v>
      </c>
      <c r="E94" s="4">
        <f t="shared" si="18"/>
        <v>25086809250</v>
      </c>
      <c r="F94" s="2">
        <f t="shared" si="19"/>
        <v>57380625</v>
      </c>
      <c r="G94" s="2">
        <f t="shared" si="20"/>
        <v>10967953004100</v>
      </c>
      <c r="H94" s="42">
        <f t="shared" si="21"/>
        <v>2550.5190000000002</v>
      </c>
      <c r="I94" s="2">
        <f t="shared" si="22"/>
        <v>6505147.1693610009</v>
      </c>
      <c r="J94" s="4">
        <f t="shared" si="23"/>
        <v>2022688.1031900009</v>
      </c>
      <c r="K94" s="2">
        <f t="shared" si="24"/>
        <v>4091267162786.3638</v>
      </c>
      <c r="L94" s="2">
        <f t="shared" si="25"/>
        <v>5158904438.2600584</v>
      </c>
      <c r="N94" s="42">
        <f t="shared" si="26"/>
        <v>1934983.4595791344</v>
      </c>
      <c r="O94" s="42">
        <f t="shared" si="27"/>
        <v>417162993125.10034</v>
      </c>
      <c r="P94" s="4">
        <f t="shared" si="28"/>
        <v>1376806.5404208656</v>
      </c>
      <c r="Q94" s="4">
        <f t="shared" si="29"/>
        <v>1895596249745.6729</v>
      </c>
      <c r="R94" s="43">
        <f t="shared" si="30"/>
        <v>1.8194938176992193E-3</v>
      </c>
      <c r="S94" s="4">
        <f t="shared" si="31"/>
        <v>1.1324953218584575</v>
      </c>
      <c r="T94" s="30">
        <f t="shared" si="32"/>
        <v>1833026.4495629773</v>
      </c>
      <c r="U94" s="31">
        <f t="shared" si="33"/>
        <v>2036940.4695952914</v>
      </c>
      <c r="V94" s="31">
        <f t="shared" si="34"/>
        <v>4325440.7662306167</v>
      </c>
      <c r="W94" s="42">
        <f t="shared" si="35"/>
        <v>4327398.5759400316</v>
      </c>
    </row>
    <row r="95" spans="2:23" x14ac:dyDescent="0.3">
      <c r="B95" s="2">
        <v>87</v>
      </c>
      <c r="C95" s="2">
        <v>824</v>
      </c>
      <c r="D95" s="4">
        <v>67345.52</v>
      </c>
      <c r="E95" s="4">
        <f t="shared" si="18"/>
        <v>55492708.480000004</v>
      </c>
      <c r="F95" s="2">
        <f t="shared" si="19"/>
        <v>678976</v>
      </c>
      <c r="G95" s="2">
        <f t="shared" si="20"/>
        <v>4535419064.0704002</v>
      </c>
      <c r="H95" s="42">
        <f t="shared" si="21"/>
        <v>-4200.4809999999998</v>
      </c>
      <c r="I95" s="2">
        <f t="shared" si="22"/>
        <v>17644040.631360997</v>
      </c>
      <c r="J95" s="4">
        <f t="shared" si="23"/>
        <v>-1221756.3768099991</v>
      </c>
      <c r="K95" s="2">
        <f t="shared" si="24"/>
        <v>1492688644275.8965</v>
      </c>
      <c r="L95" s="2">
        <f t="shared" si="25"/>
        <v>5131964447.4192419</v>
      </c>
      <c r="N95" s="42">
        <f t="shared" si="26"/>
        <v>225391.63522713725</v>
      </c>
      <c r="O95" s="42">
        <f t="shared" si="27"/>
        <v>1131479520596.6804</v>
      </c>
      <c r="P95" s="4">
        <f t="shared" si="28"/>
        <v>-158046.11522713723</v>
      </c>
      <c r="Q95" s="4">
        <f t="shared" si="29"/>
        <v>24978574538.389538</v>
      </c>
      <c r="R95" s="43">
        <f t="shared" si="30"/>
        <v>3.2227294541061838E-3</v>
      </c>
      <c r="S95" s="4">
        <f t="shared" si="31"/>
        <v>-0.13009266203529676</v>
      </c>
      <c r="T95" s="30">
        <f t="shared" si="32"/>
        <v>89699.797938398231</v>
      </c>
      <c r="U95" s="31">
        <f t="shared" si="33"/>
        <v>361083.47251587629</v>
      </c>
      <c r="V95" s="31">
        <f t="shared" si="34"/>
        <v>2614171.468553788</v>
      </c>
      <c r="W95" s="42">
        <f t="shared" si="35"/>
        <v>2619481.6777709606</v>
      </c>
    </row>
    <row r="96" spans="2:23" x14ac:dyDescent="0.3">
      <c r="B96" s="2">
        <v>88</v>
      </c>
      <c r="C96" s="2">
        <v>7531</v>
      </c>
      <c r="D96" s="4">
        <v>4904262.5100000007</v>
      </c>
      <c r="E96" s="4">
        <f t="shared" si="18"/>
        <v>36934000962.810005</v>
      </c>
      <c r="F96" s="2">
        <f t="shared" si="19"/>
        <v>56715961</v>
      </c>
      <c r="G96" s="2">
        <f t="shared" si="20"/>
        <v>24051790766991.508</v>
      </c>
      <c r="H96" s="42">
        <f t="shared" si="21"/>
        <v>2506.5190000000002</v>
      </c>
      <c r="I96" s="2">
        <f t="shared" si="22"/>
        <v>6282637.4973610016</v>
      </c>
      <c r="J96" s="4">
        <f t="shared" si="23"/>
        <v>3615160.6131900018</v>
      </c>
      <c r="K96" s="2">
        <f t="shared" si="24"/>
        <v>13069386259160.311</v>
      </c>
      <c r="L96" s="2">
        <f t="shared" si="25"/>
        <v>9061468765.0123901</v>
      </c>
      <c r="N96" s="42">
        <f t="shared" si="26"/>
        <v>1923841.1043322838</v>
      </c>
      <c r="O96" s="42">
        <f t="shared" si="27"/>
        <v>402893861566.01801</v>
      </c>
      <c r="P96" s="4">
        <f t="shared" si="28"/>
        <v>2980421.4056677166</v>
      </c>
      <c r="Q96" s="4">
        <f t="shared" si="29"/>
        <v>8882911755362.3281</v>
      </c>
      <c r="R96" s="43">
        <f t="shared" si="30"/>
        <v>1.791462891444219E-3</v>
      </c>
      <c r="S96" s="4">
        <f t="shared" si="31"/>
        <v>2.4515179207689313</v>
      </c>
      <c r="T96" s="30">
        <f t="shared" si="32"/>
        <v>1822672.5120426838</v>
      </c>
      <c r="U96" s="31">
        <f t="shared" si="33"/>
        <v>2025009.6966218839</v>
      </c>
      <c r="V96" s="31">
        <f t="shared" si="34"/>
        <v>4314331.9080688376</v>
      </c>
      <c r="W96" s="42">
        <f t="shared" si="35"/>
        <v>4316222.7505514966</v>
      </c>
    </row>
    <row r="97" spans="2:23" x14ac:dyDescent="0.3">
      <c r="B97" s="2">
        <v>89</v>
      </c>
      <c r="C97" s="2">
        <v>2075</v>
      </c>
      <c r="D97" s="4">
        <v>907190</v>
      </c>
      <c r="E97" s="4">
        <f t="shared" si="18"/>
        <v>1882419250</v>
      </c>
      <c r="F97" s="2">
        <f t="shared" si="19"/>
        <v>4305625</v>
      </c>
      <c r="G97" s="2">
        <f t="shared" si="20"/>
        <v>822993696100</v>
      </c>
      <c r="H97" s="42">
        <f t="shared" si="21"/>
        <v>-2949.4809999999998</v>
      </c>
      <c r="I97" s="2">
        <f t="shared" si="22"/>
        <v>8699438.169360999</v>
      </c>
      <c r="J97" s="4">
        <f t="shared" si="23"/>
        <v>-381911.89680999913</v>
      </c>
      <c r="K97" s="2">
        <f t="shared" si="24"/>
        <v>145856696925.01141</v>
      </c>
      <c r="L97" s="2">
        <f t="shared" si="25"/>
        <v>1126441883.315053</v>
      </c>
      <c r="N97" s="42">
        <f t="shared" si="26"/>
        <v>542189.05372281908</v>
      </c>
      <c r="O97" s="42">
        <f t="shared" si="27"/>
        <v>557878795168.57446</v>
      </c>
      <c r="P97" s="4">
        <f t="shared" si="28"/>
        <v>365000.94627718092</v>
      </c>
      <c r="Q97" s="4">
        <f t="shared" si="29"/>
        <v>133225690783.23752</v>
      </c>
      <c r="R97" s="43">
        <f t="shared" si="30"/>
        <v>2.0959222922466558E-3</v>
      </c>
      <c r="S97" s="4">
        <f t="shared" si="31"/>
        <v>0.30027393139320019</v>
      </c>
      <c r="T97" s="30">
        <f t="shared" si="32"/>
        <v>432760.82054561831</v>
      </c>
      <c r="U97" s="31">
        <f t="shared" si="33"/>
        <v>651617.28690001986</v>
      </c>
      <c r="V97" s="31">
        <f t="shared" si="34"/>
        <v>2932316.0019409703</v>
      </c>
      <c r="W97" s="42">
        <f t="shared" si="35"/>
        <v>2934934.2125972398</v>
      </c>
    </row>
    <row r="98" spans="2:23" x14ac:dyDescent="0.3">
      <c r="B98" s="2">
        <v>90</v>
      </c>
      <c r="C98" s="2">
        <v>869</v>
      </c>
      <c r="D98" s="4">
        <v>132592.02000000002</v>
      </c>
      <c r="E98" s="4">
        <f t="shared" si="18"/>
        <v>115222465.38000001</v>
      </c>
      <c r="F98" s="2">
        <f t="shared" si="19"/>
        <v>755161</v>
      </c>
      <c r="G98" s="2">
        <f t="shared" si="20"/>
        <v>17580643767.680405</v>
      </c>
      <c r="H98" s="42">
        <f t="shared" si="21"/>
        <v>-4155.4809999999998</v>
      </c>
      <c r="I98" s="2">
        <f t="shared" si="22"/>
        <v>17268022.341360997</v>
      </c>
      <c r="J98" s="4">
        <f t="shared" si="23"/>
        <v>-1156509.8768099991</v>
      </c>
      <c r="K98" s="2">
        <f t="shared" si="24"/>
        <v>1337515095159.0793</v>
      </c>
      <c r="L98" s="2">
        <f t="shared" si="25"/>
        <v>4805854819.3962917</v>
      </c>
      <c r="N98" s="42">
        <f t="shared" si="26"/>
        <v>236787.2258205071</v>
      </c>
      <c r="O98" s="42">
        <f t="shared" si="27"/>
        <v>1107366166779.7227</v>
      </c>
      <c r="P98" s="4">
        <f t="shared" si="28"/>
        <v>-104195.20582050708</v>
      </c>
      <c r="Q98" s="4">
        <f t="shared" si="29"/>
        <v>10856640915.977833</v>
      </c>
      <c r="R98" s="43">
        <f t="shared" si="30"/>
        <v>3.1753600932025315E-3</v>
      </c>
      <c r="S98" s="4">
        <f t="shared" si="31"/>
        <v>-8.5764269522972308E-2</v>
      </c>
      <c r="T98" s="30">
        <f t="shared" si="32"/>
        <v>102096.31493364333</v>
      </c>
      <c r="U98" s="31">
        <f t="shared" si="33"/>
        <v>371478.13670737087</v>
      </c>
      <c r="V98" s="31">
        <f t="shared" si="34"/>
        <v>2625623.705226195</v>
      </c>
      <c r="W98" s="42">
        <f t="shared" si="35"/>
        <v>2630820.7465917235</v>
      </c>
    </row>
    <row r="99" spans="2:23" x14ac:dyDescent="0.3">
      <c r="B99" s="2">
        <v>91</v>
      </c>
      <c r="C99" s="2">
        <v>7353</v>
      </c>
      <c r="D99" s="4">
        <v>4913789.3099999996</v>
      </c>
      <c r="E99" s="4">
        <f t="shared" si="18"/>
        <v>36131092796.43</v>
      </c>
      <c r="F99" s="2">
        <f t="shared" si="19"/>
        <v>54066609</v>
      </c>
      <c r="G99" s="2">
        <f t="shared" si="20"/>
        <v>24145325383070.273</v>
      </c>
      <c r="H99" s="42">
        <f t="shared" si="21"/>
        <v>2328.5190000000002</v>
      </c>
      <c r="I99" s="2">
        <f t="shared" si="22"/>
        <v>5422000.7333610011</v>
      </c>
      <c r="J99" s="4">
        <f t="shared" si="23"/>
        <v>3624687.4131900007</v>
      </c>
      <c r="K99" s="2">
        <f t="shared" si="24"/>
        <v>13138358843338.02</v>
      </c>
      <c r="L99" s="2">
        <f t="shared" si="25"/>
        <v>8440153510.673768</v>
      </c>
      <c r="N99" s="42">
        <f t="shared" si="26"/>
        <v>1878765.2126518432</v>
      </c>
      <c r="O99" s="42">
        <f t="shared" si="27"/>
        <v>347702826049.59839</v>
      </c>
      <c r="P99" s="4">
        <f t="shared" si="28"/>
        <v>3035024.0973481564</v>
      </c>
      <c r="Q99" s="4">
        <f t="shared" si="29"/>
        <v>9211371271483.9922</v>
      </c>
      <c r="R99" s="43">
        <f t="shared" si="30"/>
        <v>1.6830431295202252E-3</v>
      </c>
      <c r="S99" s="4">
        <f t="shared" si="31"/>
        <v>2.4962952941629317</v>
      </c>
      <c r="T99" s="30">
        <f t="shared" si="32"/>
        <v>1780705.769789662</v>
      </c>
      <c r="U99" s="31">
        <f t="shared" si="33"/>
        <v>1976824.6555140244</v>
      </c>
      <c r="V99" s="31">
        <f t="shared" si="34"/>
        <v>4269385.5740811639</v>
      </c>
      <c r="W99" s="42">
        <f t="shared" si="35"/>
        <v>4271017.3965645544</v>
      </c>
    </row>
    <row r="100" spans="2:23" x14ac:dyDescent="0.3">
      <c r="B100" s="2">
        <v>92</v>
      </c>
      <c r="C100" s="2">
        <v>7003</v>
      </c>
      <c r="D100" s="4">
        <v>2954495.67</v>
      </c>
      <c r="E100" s="4">
        <f t="shared" si="18"/>
        <v>20690333177.009998</v>
      </c>
      <c r="F100" s="2">
        <f t="shared" si="19"/>
        <v>49042009</v>
      </c>
      <c r="G100" s="2">
        <f t="shared" si="20"/>
        <v>8729044664048.748</v>
      </c>
      <c r="H100" s="42">
        <f t="shared" si="21"/>
        <v>1978.5190000000002</v>
      </c>
      <c r="I100" s="2">
        <f t="shared" si="22"/>
        <v>3914537.4333610008</v>
      </c>
      <c r="J100" s="4">
        <f t="shared" si="23"/>
        <v>1665393.7731900008</v>
      </c>
      <c r="K100" s="2">
        <f t="shared" si="24"/>
        <v>2773536419780.0278</v>
      </c>
      <c r="L100" s="2">
        <f t="shared" si="25"/>
        <v>3295013222.7381077</v>
      </c>
      <c r="N100" s="42">
        <f t="shared" si="26"/>
        <v>1790132.8413700776</v>
      </c>
      <c r="O100" s="42">
        <f t="shared" si="27"/>
        <v>251032007406.7644</v>
      </c>
      <c r="P100" s="4">
        <f t="shared" si="28"/>
        <v>1164362.8286299224</v>
      </c>
      <c r="Q100" s="4">
        <f t="shared" si="29"/>
        <v>1355740796695.074</v>
      </c>
      <c r="R100" s="43">
        <f t="shared" si="30"/>
        <v>1.4931386089004693E-3</v>
      </c>
      <c r="S100" s="4">
        <f t="shared" si="31"/>
        <v>0.95759273835135539</v>
      </c>
      <c r="T100" s="30">
        <f t="shared" si="32"/>
        <v>1697771.15337324</v>
      </c>
      <c r="U100" s="31">
        <f t="shared" si="33"/>
        <v>1882494.5293669151</v>
      </c>
      <c r="V100" s="31">
        <f t="shared" si="34"/>
        <v>4180980.1149125071</v>
      </c>
      <c r="W100" s="42">
        <f t="shared" si="35"/>
        <v>4182158.2464421717</v>
      </c>
    </row>
    <row r="101" spans="2:23" x14ac:dyDescent="0.3">
      <c r="B101" s="2">
        <v>93</v>
      </c>
      <c r="C101" s="2">
        <v>2322</v>
      </c>
      <c r="D101" s="4">
        <v>1512109.62</v>
      </c>
      <c r="E101" s="4">
        <f t="shared" si="18"/>
        <v>3511118537.6400003</v>
      </c>
      <c r="F101" s="2">
        <f t="shared" si="19"/>
        <v>5391684</v>
      </c>
      <c r="G101" s="2">
        <f t="shared" si="20"/>
        <v>2286475502896.5449</v>
      </c>
      <c r="H101" s="42">
        <f t="shared" si="21"/>
        <v>-2702.4809999999998</v>
      </c>
      <c r="I101" s="2">
        <f t="shared" si="22"/>
        <v>7303403.555360999</v>
      </c>
      <c r="J101" s="4">
        <f t="shared" si="23"/>
        <v>223007.72319000098</v>
      </c>
      <c r="K101" s="2">
        <f t="shared" si="24"/>
        <v>49732444602.3881</v>
      </c>
      <c r="L101" s="2">
        <f t="shared" si="25"/>
        <v>-602674134.77423704</v>
      </c>
      <c r="N101" s="42">
        <f t="shared" si="26"/>
        <v>604738.18431309366</v>
      </c>
      <c r="O101" s="42">
        <f t="shared" si="27"/>
        <v>468353690982.54712</v>
      </c>
      <c r="P101" s="4">
        <f t="shared" si="28"/>
        <v>907371.43568690645</v>
      </c>
      <c r="Q101" s="4">
        <f t="shared" si="29"/>
        <v>823322922300.51782</v>
      </c>
      <c r="R101" s="43">
        <f t="shared" si="30"/>
        <v>1.9200551357193584E-3</v>
      </c>
      <c r="S101" s="4">
        <f t="shared" si="31"/>
        <v>0.74639801753166379</v>
      </c>
      <c r="T101" s="30">
        <f t="shared" si="32"/>
        <v>500001.54158453492</v>
      </c>
      <c r="U101" s="31">
        <f t="shared" si="33"/>
        <v>709474.8270416524</v>
      </c>
      <c r="V101" s="31">
        <f t="shared" si="34"/>
        <v>2995075.3158668932</v>
      </c>
      <c r="W101" s="42">
        <f t="shared" si="35"/>
        <v>2997273.3713961891</v>
      </c>
    </row>
    <row r="102" spans="2:23" x14ac:dyDescent="0.3">
      <c r="B102" s="2">
        <v>94</v>
      </c>
      <c r="C102" s="2">
        <v>7846</v>
      </c>
      <c r="D102" s="4">
        <v>73203.180000000008</v>
      </c>
      <c r="E102" s="4">
        <f t="shared" si="18"/>
        <v>574352150.28000009</v>
      </c>
      <c r="F102" s="2">
        <f t="shared" si="19"/>
        <v>61559716</v>
      </c>
      <c r="G102" s="2">
        <f t="shared" si="20"/>
        <v>5358705562.112401</v>
      </c>
      <c r="H102" s="42">
        <f t="shared" si="21"/>
        <v>2821.5190000000002</v>
      </c>
      <c r="I102" s="2">
        <f t="shared" si="22"/>
        <v>7960969.4673610013</v>
      </c>
      <c r="J102" s="4">
        <f t="shared" si="23"/>
        <v>-1215898.7168099992</v>
      </c>
      <c r="K102" s="2">
        <f t="shared" si="24"/>
        <v>1478409689540.2026</v>
      </c>
      <c r="L102" s="2">
        <f t="shared" si="25"/>
        <v>-3430681331.5550323</v>
      </c>
      <c r="N102" s="42">
        <f t="shared" si="26"/>
        <v>2003610.2384858727</v>
      </c>
      <c r="O102" s="42">
        <f t="shared" si="27"/>
        <v>510522170324.40692</v>
      </c>
      <c r="P102" s="4">
        <f t="shared" si="28"/>
        <v>-1930407.0584858728</v>
      </c>
      <c r="Q102" s="4">
        <f t="shared" si="29"/>
        <v>3726471411452.0801</v>
      </c>
      <c r="R102" s="43">
        <f t="shared" si="30"/>
        <v>2.0028928003538822E-3</v>
      </c>
      <c r="S102" s="4">
        <f t="shared" si="31"/>
        <v>-1.5880065668235808</v>
      </c>
      <c r="T102" s="30">
        <f t="shared" si="32"/>
        <v>1896638.1065080822</v>
      </c>
      <c r="U102" s="31">
        <f t="shared" si="33"/>
        <v>2110582.3704636632</v>
      </c>
      <c r="V102" s="31">
        <f t="shared" si="34"/>
        <v>4393848.3709310526</v>
      </c>
      <c r="W102" s="42">
        <f t="shared" si="35"/>
        <v>4396244.3296332359</v>
      </c>
    </row>
    <row r="103" spans="2:23" x14ac:dyDescent="0.3">
      <c r="B103" s="2">
        <v>95</v>
      </c>
      <c r="C103" s="2">
        <v>5145</v>
      </c>
      <c r="D103" s="4">
        <v>244130.25000000003</v>
      </c>
      <c r="E103" s="4">
        <f t="shared" si="18"/>
        <v>1256050136.2500002</v>
      </c>
      <c r="F103" s="2">
        <f t="shared" si="19"/>
        <v>26471025</v>
      </c>
      <c r="G103" s="2">
        <f t="shared" si="20"/>
        <v>59599578965.062515</v>
      </c>
      <c r="H103" s="42">
        <f t="shared" si="21"/>
        <v>120.51900000000023</v>
      </c>
      <c r="I103" s="2">
        <f t="shared" si="22"/>
        <v>14524.829361000056</v>
      </c>
      <c r="J103" s="4">
        <f t="shared" si="23"/>
        <v>-1044971.6468099991</v>
      </c>
      <c r="K103" s="2">
        <f t="shared" si="24"/>
        <v>1091965742636.8015</v>
      </c>
      <c r="L103" s="2">
        <f t="shared" si="25"/>
        <v>-125938937.90189452</v>
      </c>
      <c r="N103" s="42">
        <f t="shared" si="26"/>
        <v>1319621.5675371625</v>
      </c>
      <c r="O103" s="42">
        <f t="shared" si="27"/>
        <v>931450301.29446971</v>
      </c>
      <c r="P103" s="4">
        <f t="shared" si="28"/>
        <v>-1075491.3175371625</v>
      </c>
      <c r="Q103" s="4">
        <f t="shared" si="29"/>
        <v>1156681574097.8215</v>
      </c>
      <c r="R103" s="43">
        <f t="shared" si="30"/>
        <v>1.0018297830248235E-3</v>
      </c>
      <c r="S103" s="4">
        <f t="shared" si="31"/>
        <v>-0.884285697237426</v>
      </c>
      <c r="T103" s="30">
        <f t="shared" si="32"/>
        <v>1243966.3702678757</v>
      </c>
      <c r="U103" s="31">
        <f t="shared" si="33"/>
        <v>1395276.7648064492</v>
      </c>
      <c r="V103" s="31">
        <f t="shared" si="34"/>
        <v>3711055.7936744904</v>
      </c>
      <c r="W103" s="42">
        <f t="shared" si="35"/>
        <v>3711060.1651128032</v>
      </c>
    </row>
    <row r="104" spans="2:23" x14ac:dyDescent="0.3">
      <c r="B104" s="2">
        <v>96</v>
      </c>
      <c r="C104" s="2">
        <v>7815</v>
      </c>
      <c r="D104" s="4">
        <v>370821.75</v>
      </c>
      <c r="E104" s="4">
        <f t="shared" si="18"/>
        <v>2897971976.25</v>
      </c>
      <c r="F104" s="2">
        <f t="shared" si="19"/>
        <v>61074225</v>
      </c>
      <c r="G104" s="2">
        <f t="shared" si="20"/>
        <v>137508770273.0625</v>
      </c>
      <c r="H104" s="42">
        <f t="shared" si="21"/>
        <v>2790.5190000000002</v>
      </c>
      <c r="I104" s="2">
        <f t="shared" si="22"/>
        <v>7786996.289361001</v>
      </c>
      <c r="J104" s="4">
        <f t="shared" si="23"/>
        <v>-918280.14680999913</v>
      </c>
      <c r="K104" s="2">
        <f t="shared" si="24"/>
        <v>843238428025.39355</v>
      </c>
      <c r="L104" s="2">
        <f t="shared" si="25"/>
        <v>-2562478196.9960923</v>
      </c>
      <c r="N104" s="42">
        <f t="shared" si="26"/>
        <v>1995759.9427437736</v>
      </c>
      <c r="O104" s="42">
        <f t="shared" si="27"/>
        <v>499365593882.94049</v>
      </c>
      <c r="P104" s="4">
        <f t="shared" si="28"/>
        <v>-1624938.1927437736</v>
      </c>
      <c r="Q104" s="4">
        <f t="shared" si="29"/>
        <v>2640424130237.4009</v>
      </c>
      <c r="R104" s="43">
        <f t="shared" si="30"/>
        <v>1.9809763178970392E-3</v>
      </c>
      <c r="S104" s="4">
        <f t="shared" si="31"/>
        <v>-1.3367046998461822</v>
      </c>
      <c r="T104" s="30">
        <f t="shared" si="32"/>
        <v>1889374.6873273076</v>
      </c>
      <c r="U104" s="31">
        <f t="shared" si="33"/>
        <v>2102145.1981602395</v>
      </c>
      <c r="V104" s="31">
        <f t="shared" si="34"/>
        <v>4386024.2679272601</v>
      </c>
      <c r="W104" s="42">
        <f t="shared" si="35"/>
        <v>4388367.8670955095</v>
      </c>
    </row>
    <row r="105" spans="2:23" x14ac:dyDescent="0.3">
      <c r="B105" s="2">
        <v>97</v>
      </c>
      <c r="C105" s="2">
        <v>6486</v>
      </c>
      <c r="D105" s="4">
        <v>1655746.08</v>
      </c>
      <c r="E105" s="4">
        <f t="shared" si="18"/>
        <v>10739169074.880001</v>
      </c>
      <c r="F105" s="2">
        <f t="shared" si="19"/>
        <v>42068196</v>
      </c>
      <c r="G105" s="2">
        <f t="shared" si="20"/>
        <v>2741495081435.3667</v>
      </c>
      <c r="H105" s="42">
        <f t="shared" si="21"/>
        <v>1461.5190000000002</v>
      </c>
      <c r="I105" s="2">
        <f t="shared" si="22"/>
        <v>2136037.7873610007</v>
      </c>
      <c r="J105" s="4">
        <f t="shared" si="23"/>
        <v>366644.18319000094</v>
      </c>
      <c r="K105" s="2">
        <f t="shared" si="24"/>
        <v>134427957067.06297</v>
      </c>
      <c r="L105" s="2">
        <f t="shared" si="25"/>
        <v>535857439.97166705</v>
      </c>
      <c r="N105" s="42">
        <f t="shared" si="26"/>
        <v>1659210.1672195839</v>
      </c>
      <c r="O105" s="42">
        <f t="shared" si="27"/>
        <v>136980131825.5743</v>
      </c>
      <c r="P105" s="4">
        <f t="shared" si="28"/>
        <v>-3464.0872195838019</v>
      </c>
      <c r="Q105" s="4">
        <f t="shared" si="29"/>
        <v>11999900.264883835</v>
      </c>
      <c r="R105" s="43">
        <f t="shared" si="30"/>
        <v>1.2690899553139867E-3</v>
      </c>
      <c r="S105" s="4">
        <f t="shared" si="31"/>
        <v>-2.8486074842599173E-3</v>
      </c>
      <c r="T105" s="30">
        <f t="shared" si="32"/>
        <v>1574059.5104323616</v>
      </c>
      <c r="U105" s="31">
        <f t="shared" si="33"/>
        <v>1744360.8240068061</v>
      </c>
      <c r="V105" s="31">
        <f t="shared" si="34"/>
        <v>4050325.123147801</v>
      </c>
      <c r="W105" s="42">
        <f t="shared" si="35"/>
        <v>4050967.9918021625</v>
      </c>
    </row>
    <row r="106" spans="2:23" x14ac:dyDescent="0.3">
      <c r="B106" s="2">
        <v>98</v>
      </c>
      <c r="C106" s="2">
        <v>3821</v>
      </c>
      <c r="D106" s="4">
        <v>2553459.67</v>
      </c>
      <c r="E106" s="4">
        <f t="shared" si="18"/>
        <v>9756769399.0699997</v>
      </c>
      <c r="F106" s="2">
        <f t="shared" si="19"/>
        <v>14600041</v>
      </c>
      <c r="G106" s="2">
        <f t="shared" si="20"/>
        <v>6520156286316.5088</v>
      </c>
      <c r="H106" s="42">
        <f t="shared" si="21"/>
        <v>-1203.4809999999998</v>
      </c>
      <c r="I106" s="2">
        <f t="shared" si="22"/>
        <v>1448366.5173609995</v>
      </c>
      <c r="J106" s="4">
        <f t="shared" si="23"/>
        <v>1264357.7731900008</v>
      </c>
      <c r="K106" s="2">
        <f t="shared" si="24"/>
        <v>1598600578625.9775</v>
      </c>
      <c r="L106" s="2">
        <f t="shared" si="25"/>
        <v>-1521630557.236475</v>
      </c>
      <c r="N106" s="42">
        <f t="shared" si="26"/>
        <v>984337.96874556947</v>
      </c>
      <c r="O106" s="42">
        <f t="shared" si="27"/>
        <v>92881051849.260864</v>
      </c>
      <c r="P106" s="4">
        <f t="shared" si="28"/>
        <v>1569121.7012544305</v>
      </c>
      <c r="Q106" s="4">
        <f t="shared" si="29"/>
        <v>2462142913347.5981</v>
      </c>
      <c r="R106" s="43">
        <f t="shared" si="30"/>
        <v>1.1824597316307112E-3</v>
      </c>
      <c r="S106" s="4">
        <f t="shared" si="31"/>
        <v>1.2902729333227596</v>
      </c>
      <c r="T106" s="30">
        <f t="shared" si="32"/>
        <v>902144.94102992234</v>
      </c>
      <c r="U106" s="31">
        <f t="shared" si="33"/>
        <v>1066530.9964612166</v>
      </c>
      <c r="V106" s="31">
        <f t="shared" si="34"/>
        <v>3375556.4181997031</v>
      </c>
      <c r="W106" s="42">
        <f t="shared" si="35"/>
        <v>3375992.3231424913</v>
      </c>
    </row>
    <row r="107" spans="2:23" x14ac:dyDescent="0.3">
      <c r="B107" s="2">
        <v>99</v>
      </c>
      <c r="C107" s="2">
        <v>9511</v>
      </c>
      <c r="D107" s="4">
        <v>777334.03</v>
      </c>
      <c r="E107" s="4">
        <f t="shared" si="18"/>
        <v>7393223959.3299999</v>
      </c>
      <c r="F107" s="2">
        <f t="shared" si="19"/>
        <v>90459121</v>
      </c>
      <c r="G107" s="2">
        <f t="shared" si="20"/>
        <v>604248194196.04089</v>
      </c>
      <c r="H107" s="42">
        <f t="shared" si="21"/>
        <v>4486.5190000000002</v>
      </c>
      <c r="I107" s="2">
        <f t="shared" si="22"/>
        <v>20128852.737361003</v>
      </c>
      <c r="J107" s="4">
        <f t="shared" si="23"/>
        <v>-511767.8668099991</v>
      </c>
      <c r="K107" s="2">
        <f t="shared" si="24"/>
        <v>261906349499.25699</v>
      </c>
      <c r="L107" s="2">
        <f t="shared" si="25"/>
        <v>-2296056258.0325303</v>
      </c>
      <c r="N107" s="42">
        <f t="shared" si="26"/>
        <v>2425247.0904405573</v>
      </c>
      <c r="O107" s="42">
        <f t="shared" si="27"/>
        <v>1290825901009.8186</v>
      </c>
      <c r="P107" s="4">
        <f t="shared" si="28"/>
        <v>-1647913.0604405573</v>
      </c>
      <c r="Q107" s="4">
        <f t="shared" si="29"/>
        <v>2715617454770.564</v>
      </c>
      <c r="R107" s="43">
        <f t="shared" si="30"/>
        <v>3.5357566779331898E-3</v>
      </c>
      <c r="S107" s="4">
        <f t="shared" si="31"/>
        <v>-1.3566614183989456</v>
      </c>
      <c r="T107" s="30">
        <f t="shared" si="32"/>
        <v>2283117.9976631529</v>
      </c>
      <c r="U107" s="31">
        <f t="shared" si="33"/>
        <v>2567376.1832179618</v>
      </c>
      <c r="V107" s="31">
        <f t="shared" si="34"/>
        <v>4813652.5601632269</v>
      </c>
      <c r="W107" s="42">
        <f t="shared" si="35"/>
        <v>4819710.6078311279</v>
      </c>
    </row>
    <row r="108" spans="2:23" x14ac:dyDescent="0.3">
      <c r="B108" s="2">
        <v>100</v>
      </c>
      <c r="C108" s="2">
        <v>5279</v>
      </c>
      <c r="D108" s="4">
        <v>805469.82000000007</v>
      </c>
      <c r="E108" s="4">
        <f t="shared" si="18"/>
        <v>4252075179.7800002</v>
      </c>
      <c r="F108" s="2">
        <f t="shared" si="19"/>
        <v>27867841</v>
      </c>
      <c r="G108" s="2">
        <f t="shared" si="20"/>
        <v>648781630930.83252</v>
      </c>
      <c r="H108" s="42">
        <f t="shared" si="21"/>
        <v>254.51900000000023</v>
      </c>
      <c r="I108" s="2">
        <f t="shared" si="22"/>
        <v>64779.921361000117</v>
      </c>
      <c r="J108" s="4">
        <f t="shared" si="23"/>
        <v>-483632.07680999907</v>
      </c>
      <c r="K108" s="2">
        <f t="shared" si="24"/>
        <v>233899985719.55283</v>
      </c>
      <c r="L108" s="2">
        <f t="shared" si="25"/>
        <v>-123093552.55760427</v>
      </c>
      <c r="N108" s="42">
        <f t="shared" si="26"/>
        <v>1353555.1039707526</v>
      </c>
      <c r="O108" s="42">
        <f t="shared" si="27"/>
        <v>4154215913.3069973</v>
      </c>
      <c r="P108" s="4">
        <f t="shared" si="28"/>
        <v>-548085.2839707525</v>
      </c>
      <c r="Q108" s="4">
        <f t="shared" si="29"/>
        <v>300397478505.30042</v>
      </c>
      <c r="R108" s="43">
        <f t="shared" si="30"/>
        <v>1.0081607292939379E-3</v>
      </c>
      <c r="S108" s="4">
        <f t="shared" si="31"/>
        <v>-0.450645677296731</v>
      </c>
      <c r="T108" s="30">
        <f t="shared" si="32"/>
        <v>1277661.2360802782</v>
      </c>
      <c r="U108" s="31">
        <f t="shared" si="33"/>
        <v>1429448.9718612269</v>
      </c>
      <c r="V108" s="31">
        <f t="shared" si="34"/>
        <v>3744981.7676239614</v>
      </c>
      <c r="W108" s="42">
        <f t="shared" si="35"/>
        <v>3745001.2639927734</v>
      </c>
    </row>
    <row r="109" spans="2:23" x14ac:dyDescent="0.3">
      <c r="B109" s="2">
        <v>101</v>
      </c>
      <c r="C109" s="2">
        <v>9882</v>
      </c>
      <c r="D109" s="4">
        <v>2032727.4</v>
      </c>
      <c r="E109" s="4">
        <f t="shared" si="18"/>
        <v>20087412166.799999</v>
      </c>
      <c r="F109" s="2">
        <f t="shared" si="19"/>
        <v>97653924</v>
      </c>
      <c r="G109" s="2">
        <f t="shared" si="20"/>
        <v>4131980682710.7598</v>
      </c>
      <c r="H109" s="42">
        <f t="shared" si="21"/>
        <v>4857.5190000000002</v>
      </c>
      <c r="I109" s="2">
        <f t="shared" si="22"/>
        <v>23595490.835361004</v>
      </c>
      <c r="J109" s="4">
        <f t="shared" si="23"/>
        <v>743625.50319000077</v>
      </c>
      <c r="K109" s="2">
        <f t="shared" si="24"/>
        <v>552978888994.58191</v>
      </c>
      <c r="L109" s="2">
        <f t="shared" si="25"/>
        <v>3612175010.6299896</v>
      </c>
      <c r="N109" s="42">
        <f t="shared" si="26"/>
        <v>2519197.403999229</v>
      </c>
      <c r="O109" s="42">
        <f t="shared" si="27"/>
        <v>1513134956807.1287</v>
      </c>
      <c r="P109" s="4">
        <f t="shared" si="28"/>
        <v>-486470.00399922905</v>
      </c>
      <c r="Q109" s="4">
        <f t="shared" si="29"/>
        <v>236653064791.00992</v>
      </c>
      <c r="R109" s="43">
        <f t="shared" si="30"/>
        <v>3.9724706239130832E-3</v>
      </c>
      <c r="S109" s="4">
        <f t="shared" si="31"/>
        <v>-0.40057923597024425</v>
      </c>
      <c r="T109" s="30">
        <f t="shared" si="32"/>
        <v>2368546.3599047349</v>
      </c>
      <c r="U109" s="31">
        <f t="shared" si="33"/>
        <v>2669848.448093723</v>
      </c>
      <c r="V109" s="31">
        <f t="shared" si="34"/>
        <v>4907080.4894387424</v>
      </c>
      <c r="W109" s="42">
        <f t="shared" si="35"/>
        <v>4914181.8703762982</v>
      </c>
    </row>
    <row r="110" spans="2:23" x14ac:dyDescent="0.3">
      <c r="B110" s="2">
        <v>102</v>
      </c>
      <c r="C110" s="2">
        <v>4104</v>
      </c>
      <c r="D110" s="4">
        <v>632262.24</v>
      </c>
      <c r="E110" s="4">
        <f t="shared" si="18"/>
        <v>2594804232.96</v>
      </c>
      <c r="F110" s="2">
        <f t="shared" si="19"/>
        <v>16842816</v>
      </c>
      <c r="G110" s="2">
        <f t="shared" si="20"/>
        <v>399755540129.81757</v>
      </c>
      <c r="H110" s="42">
        <f t="shared" si="21"/>
        <v>-920.48099999999977</v>
      </c>
      <c r="I110" s="2">
        <f t="shared" si="22"/>
        <v>847285.27136099956</v>
      </c>
      <c r="J110" s="4">
        <f t="shared" si="23"/>
        <v>-656839.65680999914</v>
      </c>
      <c r="K110" s="2">
        <f t="shared" si="24"/>
        <v>431438334758.27747</v>
      </c>
      <c r="L110" s="2">
        <f t="shared" si="25"/>
        <v>604608424.14012468</v>
      </c>
      <c r="N110" s="42">
        <f t="shared" si="26"/>
        <v>1056003.5718105398</v>
      </c>
      <c r="O110" s="42">
        <f t="shared" si="27"/>
        <v>54334829117.553558</v>
      </c>
      <c r="P110" s="4">
        <f t="shared" si="28"/>
        <v>-423741.33181053982</v>
      </c>
      <c r="Q110" s="4">
        <f t="shared" si="29"/>
        <v>179556716284.57001</v>
      </c>
      <c r="R110" s="43">
        <f t="shared" si="30"/>
        <v>1.1067377914181994E-3</v>
      </c>
      <c r="S110" s="4">
        <f t="shared" si="31"/>
        <v>-0.34842501204270687</v>
      </c>
      <c r="T110" s="30">
        <f t="shared" si="32"/>
        <v>976485.80610779312</v>
      </c>
      <c r="U110" s="31">
        <f t="shared" si="33"/>
        <v>1135521.3375132866</v>
      </c>
      <c r="V110" s="31">
        <f t="shared" si="34"/>
        <v>3447312.4794493122</v>
      </c>
      <c r="W110" s="42">
        <f t="shared" si="35"/>
        <v>3447567.4810889536</v>
      </c>
    </row>
    <row r="111" spans="2:23" x14ac:dyDescent="0.3">
      <c r="B111" s="2">
        <v>103</v>
      </c>
      <c r="C111" s="2">
        <v>5764</v>
      </c>
      <c r="D111" s="4">
        <v>879471.12000000011</v>
      </c>
      <c r="E111" s="4">
        <f t="shared" si="18"/>
        <v>5069271535.6800003</v>
      </c>
      <c r="F111" s="2">
        <f t="shared" si="19"/>
        <v>33223696</v>
      </c>
      <c r="G111" s="2">
        <f t="shared" si="20"/>
        <v>773469450914.05457</v>
      </c>
      <c r="H111" s="42">
        <f t="shared" si="21"/>
        <v>739.51900000000023</v>
      </c>
      <c r="I111" s="2">
        <f t="shared" si="22"/>
        <v>546888.35136100033</v>
      </c>
      <c r="J111" s="4">
        <f t="shared" si="23"/>
        <v>-409630.77680999902</v>
      </c>
      <c r="K111" s="2">
        <f t="shared" si="24"/>
        <v>167797373309.96323</v>
      </c>
      <c r="L111" s="2">
        <f t="shared" si="25"/>
        <v>-302929742.43575376</v>
      </c>
      <c r="N111" s="42">
        <f t="shared" si="26"/>
        <v>1476374.2470326277</v>
      </c>
      <c r="O111" s="42">
        <f t="shared" si="27"/>
        <v>35070933157.906845</v>
      </c>
      <c r="P111" s="4">
        <f t="shared" si="28"/>
        <v>-596903.12703262758</v>
      </c>
      <c r="Q111" s="4">
        <f t="shared" si="29"/>
        <v>356293343061.32916</v>
      </c>
      <c r="R111" s="43">
        <f t="shared" si="30"/>
        <v>1.068894924471952E-3</v>
      </c>
      <c r="S111" s="4">
        <f t="shared" si="31"/>
        <v>-0.49079951413820133</v>
      </c>
      <c r="T111" s="30">
        <f t="shared" si="32"/>
        <v>1398227.7876184632</v>
      </c>
      <c r="U111" s="31">
        <f t="shared" si="33"/>
        <v>1554520.7064467922</v>
      </c>
      <c r="V111" s="31">
        <f t="shared" si="34"/>
        <v>3867728.3608551547</v>
      </c>
      <c r="W111" s="42">
        <f t="shared" si="35"/>
        <v>3867892.9540929897</v>
      </c>
    </row>
    <row r="112" spans="2:23" x14ac:dyDescent="0.3">
      <c r="B112" s="2">
        <v>104</v>
      </c>
      <c r="C112" s="2">
        <v>4709</v>
      </c>
      <c r="D112" s="4">
        <v>3146883.4299999997</v>
      </c>
      <c r="E112" s="4">
        <f t="shared" si="18"/>
        <v>14818674071.869999</v>
      </c>
      <c r="F112" s="2">
        <f t="shared" si="19"/>
        <v>22174681</v>
      </c>
      <c r="G112" s="2">
        <f t="shared" si="20"/>
        <v>9902875322008.5625</v>
      </c>
      <c r="H112" s="42">
        <f t="shared" si="21"/>
        <v>-315.48099999999977</v>
      </c>
      <c r="I112" s="2">
        <f t="shared" si="22"/>
        <v>99528.261360999852</v>
      </c>
      <c r="J112" s="4">
        <f t="shared" si="23"/>
        <v>1857781.5331900006</v>
      </c>
      <c r="K112" s="2">
        <f t="shared" si="24"/>
        <v>3451352225061.7891</v>
      </c>
      <c r="L112" s="2">
        <f t="shared" si="25"/>
        <v>-586094775.8723141</v>
      </c>
      <c r="N112" s="42">
        <f t="shared" si="26"/>
        <v>1209210.9564547346</v>
      </c>
      <c r="O112" s="42">
        <f t="shared" si="27"/>
        <v>6382562350.848443</v>
      </c>
      <c r="P112" s="4">
        <f t="shared" si="28"/>
        <v>1937672.4735452652</v>
      </c>
      <c r="Q112" s="4">
        <f t="shared" si="29"/>
        <v>3754574614735.0264</v>
      </c>
      <c r="R112" s="43">
        <f t="shared" si="30"/>
        <v>1.0125381936408524E-3</v>
      </c>
      <c r="S112" s="4">
        <f t="shared" si="31"/>
        <v>1.5931929991587914</v>
      </c>
      <c r="T112" s="30">
        <f t="shared" si="32"/>
        <v>1133152.5002988372</v>
      </c>
      <c r="U112" s="31">
        <f t="shared" si="33"/>
        <v>1285269.4126106319</v>
      </c>
      <c r="V112" s="31">
        <f t="shared" si="34"/>
        <v>3600632.3910960816</v>
      </c>
      <c r="W112" s="42">
        <f t="shared" si="35"/>
        <v>3600662.3454345549</v>
      </c>
    </row>
    <row r="113" spans="2:23" x14ac:dyDescent="0.3">
      <c r="B113" s="2">
        <v>105</v>
      </c>
      <c r="C113" s="2">
        <v>7821</v>
      </c>
      <c r="D113" s="4">
        <v>371106.45</v>
      </c>
      <c r="E113" s="4">
        <f t="shared" si="18"/>
        <v>2902423545.4500003</v>
      </c>
      <c r="F113" s="2">
        <f t="shared" si="19"/>
        <v>61168041</v>
      </c>
      <c r="G113" s="2">
        <f t="shared" si="20"/>
        <v>137719997231.60251</v>
      </c>
      <c r="H113" s="42">
        <f t="shared" si="21"/>
        <v>2796.5190000000002</v>
      </c>
      <c r="I113" s="2">
        <f t="shared" si="22"/>
        <v>7820518.5173610011</v>
      </c>
      <c r="J113" s="4">
        <f t="shared" si="23"/>
        <v>-917995.44680999918</v>
      </c>
      <c r="K113" s="2">
        <f t="shared" si="24"/>
        <v>842715640363.89001</v>
      </c>
      <c r="L113" s="2">
        <f t="shared" si="25"/>
        <v>-2567191708.9176521</v>
      </c>
      <c r="N113" s="42">
        <f t="shared" si="26"/>
        <v>1997279.3548228897</v>
      </c>
      <c r="O113" s="42">
        <f t="shared" si="27"/>
        <v>501515312037.59937</v>
      </c>
      <c r="P113" s="4">
        <f t="shared" si="28"/>
        <v>-1626172.9048228897</v>
      </c>
      <c r="Q113" s="4">
        <f t="shared" si="29"/>
        <v>2644438316380.1152</v>
      </c>
      <c r="R113" s="43">
        <f t="shared" si="30"/>
        <v>1.9851993212951623E-3</v>
      </c>
      <c r="S113" s="4">
        <f t="shared" si="31"/>
        <v>-1.3377232274246742</v>
      </c>
      <c r="T113" s="30">
        <f t="shared" si="32"/>
        <v>1890780.7648570945</v>
      </c>
      <c r="U113" s="31">
        <f t="shared" si="33"/>
        <v>2103777.9447886851</v>
      </c>
      <c r="V113" s="31">
        <f t="shared" si="34"/>
        <v>4387538.6330498755</v>
      </c>
      <c r="W113" s="42">
        <f t="shared" si="35"/>
        <v>4389892.3211769126</v>
      </c>
    </row>
    <row r="114" spans="2:23" x14ac:dyDescent="0.3">
      <c r="B114" s="2">
        <v>106</v>
      </c>
      <c r="C114" s="2">
        <v>4009</v>
      </c>
      <c r="D114" s="4">
        <v>617626.54</v>
      </c>
      <c r="E114" s="4">
        <f t="shared" si="18"/>
        <v>2476064798.8600001</v>
      </c>
      <c r="F114" s="2">
        <f t="shared" si="19"/>
        <v>16072081</v>
      </c>
      <c r="G114" s="2">
        <f t="shared" si="20"/>
        <v>381462542912.37164</v>
      </c>
      <c r="H114" s="42">
        <f t="shared" si="21"/>
        <v>-1015.4809999999998</v>
      </c>
      <c r="I114" s="2">
        <f t="shared" si="22"/>
        <v>1031201.6613609996</v>
      </c>
      <c r="J114" s="4">
        <f t="shared" si="23"/>
        <v>-671475.3568099991</v>
      </c>
      <c r="K114" s="2">
        <f t="shared" si="24"/>
        <v>450879154803.1156</v>
      </c>
      <c r="L114" s="2">
        <f t="shared" si="25"/>
        <v>681870466.80877459</v>
      </c>
      <c r="N114" s="42">
        <f t="shared" si="26"/>
        <v>1031946.2138912035</v>
      </c>
      <c r="O114" s="42">
        <f t="shared" si="27"/>
        <v>66129045257.432152</v>
      </c>
      <c r="P114" s="4">
        <f t="shared" si="28"/>
        <v>-414319.67389120348</v>
      </c>
      <c r="Q114" s="4">
        <f t="shared" si="29"/>
        <v>171660792173.3132</v>
      </c>
      <c r="R114" s="43">
        <f t="shared" si="30"/>
        <v>1.1299068820866528E-3</v>
      </c>
      <c r="S114" s="4">
        <f t="shared" si="31"/>
        <v>-0.34068192254826146</v>
      </c>
      <c r="T114" s="30">
        <f t="shared" si="32"/>
        <v>951600.42382007989</v>
      </c>
      <c r="U114" s="31">
        <f t="shared" si="33"/>
        <v>1112292.0039623273</v>
      </c>
      <c r="V114" s="31">
        <f t="shared" si="34"/>
        <v>3423227.4438666203</v>
      </c>
      <c r="W114" s="42">
        <f t="shared" si="35"/>
        <v>3423537.7975615519</v>
      </c>
    </row>
    <row r="115" spans="2:23" x14ac:dyDescent="0.3">
      <c r="B115" s="2">
        <v>107</v>
      </c>
      <c r="C115" s="2">
        <v>9217</v>
      </c>
      <c r="D115" s="4">
        <v>2352915.7600000002</v>
      </c>
      <c r="E115" s="4">
        <f t="shared" si="18"/>
        <v>21686824559.920002</v>
      </c>
      <c r="F115" s="2">
        <f t="shared" si="19"/>
        <v>84953089</v>
      </c>
      <c r="G115" s="2">
        <f t="shared" si="20"/>
        <v>5536212573656.3789</v>
      </c>
      <c r="H115" s="42">
        <f t="shared" si="21"/>
        <v>4192.5190000000002</v>
      </c>
      <c r="I115" s="2">
        <f t="shared" si="22"/>
        <v>17577215.565361001</v>
      </c>
      <c r="J115" s="4">
        <f t="shared" si="23"/>
        <v>1063813.8631900011</v>
      </c>
      <c r="K115" s="2">
        <f t="shared" si="24"/>
        <v>1131699935515.2344</v>
      </c>
      <c r="L115" s="2">
        <f t="shared" si="25"/>
        <v>4460059833.8874807</v>
      </c>
      <c r="N115" s="42">
        <f t="shared" si="26"/>
        <v>2350795.8985638744</v>
      </c>
      <c r="O115" s="42">
        <f t="shared" si="27"/>
        <v>1127194153360.1577</v>
      </c>
      <c r="P115" s="4">
        <f t="shared" si="28"/>
        <v>2119.8614361258224</v>
      </c>
      <c r="Q115" s="4">
        <f t="shared" si="29"/>
        <v>4493812.5083734337</v>
      </c>
      <c r="R115" s="43">
        <f t="shared" si="30"/>
        <v>3.2143110852317224E-3</v>
      </c>
      <c r="S115" s="4">
        <f t="shared" si="31"/>
        <v>1.7449163646151467E-3</v>
      </c>
      <c r="T115" s="30">
        <f t="shared" si="32"/>
        <v>2215281.4033246832</v>
      </c>
      <c r="U115" s="31">
        <f t="shared" si="33"/>
        <v>2486310.3938030656</v>
      </c>
      <c r="V115" s="31">
        <f t="shared" si="34"/>
        <v>4739585.79899358</v>
      </c>
      <c r="W115" s="42">
        <f t="shared" si="35"/>
        <v>4744875.8962917328</v>
      </c>
    </row>
    <row r="116" spans="2:23" x14ac:dyDescent="0.3">
      <c r="B116" s="2">
        <v>108</v>
      </c>
      <c r="C116" s="2">
        <v>1417</v>
      </c>
      <c r="D116" s="4">
        <v>597818.13</v>
      </c>
      <c r="E116" s="4">
        <f t="shared" si="18"/>
        <v>847108290.21000004</v>
      </c>
      <c r="F116" s="2">
        <f t="shared" si="19"/>
        <v>2007889</v>
      </c>
      <c r="G116" s="2">
        <f t="shared" si="20"/>
        <v>357386516556.6969</v>
      </c>
      <c r="H116" s="42">
        <f t="shared" si="21"/>
        <v>-3607.4809999999998</v>
      </c>
      <c r="I116" s="2">
        <f t="shared" si="22"/>
        <v>13013919.165360998</v>
      </c>
      <c r="J116" s="4">
        <f t="shared" si="23"/>
        <v>-691283.76680999913</v>
      </c>
      <c r="K116" s="2">
        <f t="shared" si="24"/>
        <v>477873246255.02124</v>
      </c>
      <c r="L116" s="2">
        <f t="shared" si="25"/>
        <v>2493793054.3755021</v>
      </c>
      <c r="N116" s="42">
        <f t="shared" si="26"/>
        <v>375560.19571309997</v>
      </c>
      <c r="O116" s="42">
        <f t="shared" si="27"/>
        <v>834558439643.01611</v>
      </c>
      <c r="P116" s="4">
        <f t="shared" si="28"/>
        <v>222257.93428690004</v>
      </c>
      <c r="Q116" s="4">
        <f t="shared" si="29"/>
        <v>49398589353.479973</v>
      </c>
      <c r="R116" s="43">
        <f t="shared" si="30"/>
        <v>2.6394442773380517E-3</v>
      </c>
      <c r="S116" s="4">
        <f t="shared" si="31"/>
        <v>0.18289389868822578</v>
      </c>
      <c r="T116" s="30">
        <f t="shared" si="32"/>
        <v>252760.28595112881</v>
      </c>
      <c r="U116" s="31">
        <f t="shared" si="33"/>
        <v>498360.10547507112</v>
      </c>
      <c r="V116" s="31">
        <f t="shared" si="34"/>
        <v>2765037.4500466385</v>
      </c>
      <c r="W116" s="42">
        <f t="shared" si="35"/>
        <v>2768954.1613899255</v>
      </c>
    </row>
    <row r="117" spans="2:23" x14ac:dyDescent="0.3">
      <c r="B117" s="2">
        <v>109</v>
      </c>
      <c r="C117" s="2">
        <v>5616</v>
      </c>
      <c r="D117" s="4">
        <v>3753004.32</v>
      </c>
      <c r="E117" s="4">
        <f t="shared" si="18"/>
        <v>21076872261.119999</v>
      </c>
      <c r="F117" s="2">
        <f t="shared" si="19"/>
        <v>31539456</v>
      </c>
      <c r="G117" s="2">
        <f t="shared" si="20"/>
        <v>14085041425938.662</v>
      </c>
      <c r="H117" s="42">
        <f t="shared" si="21"/>
        <v>591.51900000000023</v>
      </c>
      <c r="I117" s="2">
        <f t="shared" si="22"/>
        <v>349894.72736100026</v>
      </c>
      <c r="J117" s="4">
        <f t="shared" si="23"/>
        <v>2463902.4231900005</v>
      </c>
      <c r="K117" s="2">
        <f t="shared" si="24"/>
        <v>6070815151001.5557</v>
      </c>
      <c r="L117" s="2">
        <f t="shared" si="25"/>
        <v>1457445097.4629264</v>
      </c>
      <c r="N117" s="42">
        <f t="shared" si="26"/>
        <v>1438895.4157477668</v>
      </c>
      <c r="O117" s="42">
        <f t="shared" si="27"/>
        <v>22438098315.759377</v>
      </c>
      <c r="P117" s="4">
        <f t="shared" si="28"/>
        <v>2314108.904252233</v>
      </c>
      <c r="Q117" s="4">
        <f t="shared" si="29"/>
        <v>5355100020739.4707</v>
      </c>
      <c r="R117" s="43">
        <f t="shared" si="30"/>
        <v>1.0440784133629462E-3</v>
      </c>
      <c r="S117" s="4">
        <f t="shared" si="31"/>
        <v>1.90273658617756</v>
      </c>
      <c r="T117" s="30">
        <f t="shared" si="32"/>
        <v>1361661.4461078485</v>
      </c>
      <c r="U117" s="31">
        <f t="shared" si="33"/>
        <v>1516129.3853876851</v>
      </c>
      <c r="V117" s="31">
        <f t="shared" si="34"/>
        <v>3830279.1743169669</v>
      </c>
      <c r="W117" s="42">
        <f t="shared" si="35"/>
        <v>3830384.4797342685</v>
      </c>
    </row>
    <row r="118" spans="2:23" x14ac:dyDescent="0.3">
      <c r="B118" s="2">
        <v>110</v>
      </c>
      <c r="C118" s="2">
        <v>8848</v>
      </c>
      <c r="D118" s="4">
        <v>2258717.44</v>
      </c>
      <c r="E118" s="4">
        <f t="shared" si="18"/>
        <v>19985131909.119999</v>
      </c>
      <c r="F118" s="2">
        <f t="shared" si="19"/>
        <v>78287104</v>
      </c>
      <c r="G118" s="2">
        <f t="shared" si="20"/>
        <v>5101804473760.1533</v>
      </c>
      <c r="H118" s="42">
        <f t="shared" si="21"/>
        <v>3823.5190000000002</v>
      </c>
      <c r="I118" s="2">
        <f t="shared" si="22"/>
        <v>14619297.543361003</v>
      </c>
      <c r="J118" s="4">
        <f t="shared" si="23"/>
        <v>969615.54319000081</v>
      </c>
      <c r="K118" s="2">
        <f t="shared" si="24"/>
        <v>940154301595.64038</v>
      </c>
      <c r="L118" s="2">
        <f t="shared" si="25"/>
        <v>3707343452.0822887</v>
      </c>
      <c r="N118" s="42">
        <f t="shared" si="26"/>
        <v>2257352.0556982416</v>
      </c>
      <c r="O118" s="42">
        <f t="shared" si="27"/>
        <v>937508370187.10669</v>
      </c>
      <c r="P118" s="4">
        <f t="shared" si="28"/>
        <v>1365.3843017583713</v>
      </c>
      <c r="Q118" s="4">
        <f t="shared" si="29"/>
        <v>1864274.2914881951</v>
      </c>
      <c r="R118" s="43">
        <f t="shared" si="30"/>
        <v>2.8416837688649181E-3</v>
      </c>
      <c r="S118" s="4">
        <f t="shared" si="31"/>
        <v>1.1236754328015153E-3</v>
      </c>
      <c r="T118" s="30">
        <f t="shared" si="32"/>
        <v>2129934.3819052717</v>
      </c>
      <c r="U118" s="31">
        <f t="shared" si="33"/>
        <v>2384769.7294912115</v>
      </c>
      <c r="V118" s="31">
        <f t="shared" si="34"/>
        <v>4646587.5198624758</v>
      </c>
      <c r="W118" s="42">
        <f t="shared" si="35"/>
        <v>4650987.391478423</v>
      </c>
    </row>
    <row r="119" spans="2:23" x14ac:dyDescent="0.3">
      <c r="B119" s="2">
        <v>111</v>
      </c>
      <c r="C119" s="2">
        <v>5182</v>
      </c>
      <c r="D119" s="4">
        <v>2265570.4</v>
      </c>
      <c r="E119" s="4">
        <f t="shared" si="18"/>
        <v>11740185812.799999</v>
      </c>
      <c r="F119" s="2">
        <f t="shared" si="19"/>
        <v>26853124</v>
      </c>
      <c r="G119" s="2">
        <f t="shared" si="20"/>
        <v>5132809237356.1592</v>
      </c>
      <c r="H119" s="42">
        <f t="shared" si="21"/>
        <v>157.51900000000023</v>
      </c>
      <c r="I119" s="2">
        <f t="shared" si="22"/>
        <v>24812.235361000072</v>
      </c>
      <c r="J119" s="4">
        <f t="shared" si="23"/>
        <v>976468.50319000077</v>
      </c>
      <c r="K119" s="2">
        <f t="shared" si="24"/>
        <v>953490737722.12061</v>
      </c>
      <c r="L119" s="2">
        <f t="shared" si="25"/>
        <v>153812342.15398595</v>
      </c>
      <c r="N119" s="42">
        <f t="shared" si="26"/>
        <v>1328991.2753583775</v>
      </c>
      <c r="O119" s="42">
        <f t="shared" si="27"/>
        <v>1591162520.9758275</v>
      </c>
      <c r="P119" s="4">
        <f t="shared" si="28"/>
        <v>936579.12464162242</v>
      </c>
      <c r="Q119" s="4">
        <f t="shared" si="29"/>
        <v>877180456714.46765</v>
      </c>
      <c r="R119" s="43">
        <f t="shared" si="30"/>
        <v>1.0031257514937415E-3</v>
      </c>
      <c r="S119" s="4">
        <f t="shared" si="31"/>
        <v>0.77007043008940945</v>
      </c>
      <c r="T119" s="30">
        <f t="shared" si="32"/>
        <v>1253287.1600673024</v>
      </c>
      <c r="U119" s="31">
        <f t="shared" si="33"/>
        <v>1404695.3906494526</v>
      </c>
      <c r="V119" s="31">
        <f t="shared" si="34"/>
        <v>3720423.953428762</v>
      </c>
      <c r="W119" s="42">
        <f t="shared" si="35"/>
        <v>3720431.4209971298</v>
      </c>
    </row>
    <row r="120" spans="2:23" x14ac:dyDescent="0.3">
      <c r="B120" s="2">
        <v>112</v>
      </c>
      <c r="C120" s="2">
        <v>716</v>
      </c>
      <c r="D120" s="4">
        <v>302073.24</v>
      </c>
      <c r="E120" s="4">
        <f t="shared" si="18"/>
        <v>216284439.84</v>
      </c>
      <c r="F120" s="2">
        <f t="shared" si="19"/>
        <v>512656</v>
      </c>
      <c r="G120" s="2">
        <f t="shared" si="20"/>
        <v>91248242324.097595</v>
      </c>
      <c r="H120" s="42">
        <f t="shared" si="21"/>
        <v>-4308.4809999999998</v>
      </c>
      <c r="I120" s="2">
        <f t="shared" si="22"/>
        <v>18563008.527360998</v>
      </c>
      <c r="J120" s="4">
        <f t="shared" si="23"/>
        <v>-987028.65680999914</v>
      </c>
      <c r="K120" s="2">
        <f t="shared" si="24"/>
        <v>974225569364.15112</v>
      </c>
      <c r="L120" s="2">
        <f t="shared" si="25"/>
        <v>4252594214.3214016</v>
      </c>
      <c r="N120" s="42">
        <f t="shared" si="26"/>
        <v>198042.2178030496</v>
      </c>
      <c r="O120" s="42">
        <f t="shared" si="27"/>
        <v>1190411223154.7478</v>
      </c>
      <c r="P120" s="4">
        <f t="shared" si="28"/>
        <v>104031.02219695039</v>
      </c>
      <c r="Q120" s="4">
        <f t="shared" si="29"/>
        <v>10822453579.342384</v>
      </c>
      <c r="R120" s="43">
        <f t="shared" si="30"/>
        <v>3.3384975512497929E-3</v>
      </c>
      <c r="S120" s="4">
        <f t="shared" si="31"/>
        <v>8.5636135867229221E-2</v>
      </c>
      <c r="T120" s="30">
        <f t="shared" si="32"/>
        <v>59934.696827193053</v>
      </c>
      <c r="U120" s="31">
        <f t="shared" si="33"/>
        <v>336149.73877890618</v>
      </c>
      <c r="V120" s="31">
        <f t="shared" si="34"/>
        <v>2586683.6055933554</v>
      </c>
      <c r="W120" s="42">
        <f t="shared" si="35"/>
        <v>2592270.3908163877</v>
      </c>
    </row>
    <row r="121" spans="2:23" x14ac:dyDescent="0.3">
      <c r="B121" s="2">
        <v>113</v>
      </c>
      <c r="C121" s="2">
        <v>8579</v>
      </c>
      <c r="D121" s="4">
        <v>701161.67</v>
      </c>
      <c r="E121" s="4">
        <f t="shared" si="18"/>
        <v>6015265966.9300003</v>
      </c>
      <c r="F121" s="2">
        <f t="shared" si="19"/>
        <v>73599241</v>
      </c>
      <c r="G121" s="2">
        <f t="shared" si="20"/>
        <v>491627687477.18896</v>
      </c>
      <c r="H121" s="42">
        <f t="shared" si="21"/>
        <v>3554.5190000000002</v>
      </c>
      <c r="I121" s="2">
        <f t="shared" si="22"/>
        <v>12634605.321361002</v>
      </c>
      <c r="J121" s="4">
        <f t="shared" si="23"/>
        <v>-587940.22680999909</v>
      </c>
      <c r="K121" s="2">
        <f t="shared" si="24"/>
        <v>345673710301.39319</v>
      </c>
      <c r="L121" s="2">
        <f t="shared" si="25"/>
        <v>-2089844707.0604513</v>
      </c>
      <c r="N121" s="42">
        <f t="shared" si="26"/>
        <v>2189231.747484542</v>
      </c>
      <c r="O121" s="42">
        <f t="shared" si="27"/>
        <v>810233748075.37476</v>
      </c>
      <c r="P121" s="4">
        <f t="shared" si="28"/>
        <v>-1488070.077484542</v>
      </c>
      <c r="Q121" s="4">
        <f t="shared" si="29"/>
        <v>2214352555504.8511</v>
      </c>
      <c r="R121" s="43">
        <f t="shared" si="30"/>
        <v>2.5916597550155141E-3</v>
      </c>
      <c r="S121" s="4">
        <f t="shared" si="31"/>
        <v>-1.2244891027133629</v>
      </c>
      <c r="T121" s="30">
        <f t="shared" si="32"/>
        <v>2067548.5001441839</v>
      </c>
      <c r="U121" s="31">
        <f t="shared" si="33"/>
        <v>2310914.9948249003</v>
      </c>
      <c r="V121" s="31">
        <f t="shared" si="34"/>
        <v>4578766.1276790602</v>
      </c>
      <c r="W121" s="42">
        <f t="shared" si="35"/>
        <v>4582568.6794237094</v>
      </c>
    </row>
    <row r="122" spans="2:23" x14ac:dyDescent="0.3">
      <c r="B122" s="2">
        <v>114</v>
      </c>
      <c r="C122" s="2">
        <v>3934</v>
      </c>
      <c r="D122" s="4">
        <v>1659715.26</v>
      </c>
      <c r="E122" s="4">
        <f t="shared" si="18"/>
        <v>6529319832.8400002</v>
      </c>
      <c r="F122" s="2">
        <f t="shared" si="19"/>
        <v>15476356</v>
      </c>
      <c r="G122" s="2">
        <f t="shared" si="20"/>
        <v>2754654744276.8677</v>
      </c>
      <c r="H122" s="42">
        <f t="shared" si="21"/>
        <v>-1090.4809999999998</v>
      </c>
      <c r="I122" s="2">
        <f t="shared" si="22"/>
        <v>1189148.8113609995</v>
      </c>
      <c r="J122" s="4">
        <f t="shared" si="23"/>
        <v>370613.36319000088</v>
      </c>
      <c r="K122" s="2">
        <f t="shared" si="24"/>
        <v>137354264975.00349</v>
      </c>
      <c r="L122" s="2">
        <f t="shared" si="25"/>
        <v>-404146830.90479529</v>
      </c>
      <c r="N122" s="42">
        <f t="shared" si="26"/>
        <v>1012953.5629022537</v>
      </c>
      <c r="O122" s="42">
        <f t="shared" si="27"/>
        <v>76257902320.023666</v>
      </c>
      <c r="P122" s="4">
        <f t="shared" si="28"/>
        <v>646761.69709774631</v>
      </c>
      <c r="Q122" s="4">
        <f t="shared" si="29"/>
        <v>418300692832.75696</v>
      </c>
      <c r="R122" s="43">
        <f t="shared" si="30"/>
        <v>1.1498044661963334E-3</v>
      </c>
      <c r="S122" s="4">
        <f t="shared" si="31"/>
        <v>0.53181692039369266</v>
      </c>
      <c r="T122" s="30">
        <f t="shared" si="32"/>
        <v>931903.41823111649</v>
      </c>
      <c r="U122" s="31">
        <f t="shared" si="33"/>
        <v>1094003.707573391</v>
      </c>
      <c r="V122" s="31">
        <f t="shared" si="34"/>
        <v>3404211.0230816635</v>
      </c>
      <c r="W122" s="42">
        <f t="shared" si="35"/>
        <v>3404568.9130478213</v>
      </c>
    </row>
    <row r="123" spans="2:23" x14ac:dyDescent="0.3">
      <c r="B123" s="2">
        <v>115</v>
      </c>
      <c r="C123" s="2">
        <v>8972</v>
      </c>
      <c r="D123" s="4">
        <v>5995718.4399999995</v>
      </c>
      <c r="E123" s="4">
        <f t="shared" si="18"/>
        <v>53793585843.679993</v>
      </c>
      <c r="F123" s="2">
        <f t="shared" si="19"/>
        <v>80496784</v>
      </c>
      <c r="G123" s="2">
        <f t="shared" si="20"/>
        <v>35948639611756.031</v>
      </c>
      <c r="H123" s="42">
        <f t="shared" si="21"/>
        <v>3947.5190000000002</v>
      </c>
      <c r="I123" s="2">
        <f t="shared" si="22"/>
        <v>15582906.255361002</v>
      </c>
      <c r="J123" s="4">
        <f t="shared" si="23"/>
        <v>4706616.5431900006</v>
      </c>
      <c r="K123" s="2">
        <f t="shared" si="24"/>
        <v>22152239284629.789</v>
      </c>
      <c r="L123" s="2">
        <f t="shared" si="25"/>
        <v>18579458229.956848</v>
      </c>
      <c r="N123" s="42">
        <f t="shared" si="26"/>
        <v>2288753.2386666383</v>
      </c>
      <c r="O123" s="42">
        <f t="shared" si="27"/>
        <v>999302805275.77917</v>
      </c>
      <c r="P123" s="4">
        <f t="shared" si="28"/>
        <v>3706965.2013333612</v>
      </c>
      <c r="Q123" s="4">
        <f t="shared" si="29"/>
        <v>13741591003896.486</v>
      </c>
      <c r="R123" s="43">
        <f t="shared" si="30"/>
        <v>2.9630755470378134E-3</v>
      </c>
      <c r="S123" s="4">
        <f t="shared" si="31"/>
        <v>3.0509207477245783</v>
      </c>
      <c r="T123" s="30">
        <f t="shared" si="32"/>
        <v>2158642.4944482222</v>
      </c>
      <c r="U123" s="31">
        <f t="shared" si="33"/>
        <v>2418863.9828850543</v>
      </c>
      <c r="V123" s="31">
        <f t="shared" si="34"/>
        <v>4677843.5594904087</v>
      </c>
      <c r="W123" s="42">
        <f t="shared" si="35"/>
        <v>4682533.4422070058</v>
      </c>
    </row>
    <row r="124" spans="2:23" x14ac:dyDescent="0.3">
      <c r="B124" s="2">
        <v>116</v>
      </c>
      <c r="C124" s="2">
        <v>7917</v>
      </c>
      <c r="D124" s="4">
        <v>2021051.76</v>
      </c>
      <c r="E124" s="4">
        <f t="shared" si="18"/>
        <v>16000666783.92</v>
      </c>
      <c r="F124" s="2">
        <f t="shared" si="19"/>
        <v>62678889</v>
      </c>
      <c r="G124" s="2">
        <f t="shared" si="20"/>
        <v>4084650216599.0977</v>
      </c>
      <c r="H124" s="42">
        <f t="shared" si="21"/>
        <v>2892.5190000000002</v>
      </c>
      <c r="I124" s="2">
        <f t="shared" si="22"/>
        <v>8366666.1653610012</v>
      </c>
      <c r="J124" s="4">
        <f t="shared" si="23"/>
        <v>731949.86319000088</v>
      </c>
      <c r="K124" s="2">
        <f t="shared" si="24"/>
        <v>535750602223.86102</v>
      </c>
      <c r="L124" s="2">
        <f t="shared" si="25"/>
        <v>2117178886.3244784</v>
      </c>
      <c r="N124" s="42">
        <f t="shared" si="26"/>
        <v>2021589.9480887454</v>
      </c>
      <c r="O124" s="42">
        <f t="shared" si="27"/>
        <v>536538745266.13513</v>
      </c>
      <c r="P124" s="4">
        <f t="shared" si="28"/>
        <v>-538.18808874534443</v>
      </c>
      <c r="Q124" s="4">
        <f t="shared" si="29"/>
        <v>289646.41886736674</v>
      </c>
      <c r="R124" s="43">
        <f t="shared" si="30"/>
        <v>2.0540009347613389E-3</v>
      </c>
      <c r="S124" s="4">
        <f t="shared" si="31"/>
        <v>-4.4273983547387145E-4</v>
      </c>
      <c r="T124" s="30">
        <f t="shared" si="32"/>
        <v>1913261.6008429087</v>
      </c>
      <c r="U124" s="31">
        <f t="shared" si="33"/>
        <v>2129918.2953345822</v>
      </c>
      <c r="V124" s="31">
        <f t="shared" si="34"/>
        <v>4411766.9992709123</v>
      </c>
      <c r="W124" s="42">
        <f t="shared" si="35"/>
        <v>4414285.0577752488</v>
      </c>
    </row>
    <row r="125" spans="2:23" x14ac:dyDescent="0.3">
      <c r="B125" s="2">
        <v>117</v>
      </c>
      <c r="C125" s="2">
        <v>2024</v>
      </c>
      <c r="D125" s="4">
        <v>96038.8</v>
      </c>
      <c r="E125" s="4">
        <f t="shared" si="18"/>
        <v>194382531.20000002</v>
      </c>
      <c r="F125" s="2">
        <f t="shared" si="19"/>
        <v>4096576</v>
      </c>
      <c r="G125" s="2">
        <f t="shared" si="20"/>
        <v>9223451105.4400005</v>
      </c>
      <c r="H125" s="42">
        <f t="shared" si="21"/>
        <v>-3000.4809999999998</v>
      </c>
      <c r="I125" s="2">
        <f t="shared" si="22"/>
        <v>9002886.231360998</v>
      </c>
      <c r="J125" s="4">
        <f t="shared" si="23"/>
        <v>-1193063.0968099991</v>
      </c>
      <c r="K125" s="2">
        <f t="shared" si="24"/>
        <v>1423399552969.8652</v>
      </c>
      <c r="L125" s="2">
        <f t="shared" si="25"/>
        <v>3579763153.7795625</v>
      </c>
      <c r="N125" s="42">
        <f t="shared" si="26"/>
        <v>529274.05105033331</v>
      </c>
      <c r="O125" s="42">
        <f t="shared" si="27"/>
        <v>577338355191.77454</v>
      </c>
      <c r="P125" s="4">
        <f t="shared" si="28"/>
        <v>-433235.25105033332</v>
      </c>
      <c r="Q125" s="4">
        <f t="shared" si="29"/>
        <v>187692782752.64532</v>
      </c>
      <c r="R125" s="43">
        <f t="shared" si="30"/>
        <v>2.1341495305131552E-3</v>
      </c>
      <c r="S125" s="4">
        <f t="shared" si="31"/>
        <v>-0.35641481247729917</v>
      </c>
      <c r="T125" s="30">
        <f t="shared" si="32"/>
        <v>418852.40384751599</v>
      </c>
      <c r="U125" s="31">
        <f t="shared" si="33"/>
        <v>639695.69825315056</v>
      </c>
      <c r="V125" s="31">
        <f t="shared" si="34"/>
        <v>2919355.3104730984</v>
      </c>
      <c r="W125" s="42">
        <f t="shared" si="35"/>
        <v>2922064.8478546999</v>
      </c>
    </row>
    <row r="126" spans="2:23" x14ac:dyDescent="0.3">
      <c r="B126" s="2">
        <v>118</v>
      </c>
      <c r="C126" s="2">
        <v>4578</v>
      </c>
      <c r="D126" s="4">
        <v>941694.6</v>
      </c>
      <c r="E126" s="4">
        <f t="shared" si="18"/>
        <v>4311077878.8000002</v>
      </c>
      <c r="F126" s="2">
        <f t="shared" si="19"/>
        <v>20958084</v>
      </c>
      <c r="G126" s="2">
        <f t="shared" si="20"/>
        <v>886788719669.15991</v>
      </c>
      <c r="H126" s="42">
        <f t="shared" si="21"/>
        <v>-446.48099999999977</v>
      </c>
      <c r="I126" s="2">
        <f t="shared" si="22"/>
        <v>199345.28336099981</v>
      </c>
      <c r="J126" s="4">
        <f t="shared" si="23"/>
        <v>-347407.29680999916</v>
      </c>
      <c r="K126" s="2">
        <f t="shared" si="24"/>
        <v>120691829876.83086</v>
      </c>
      <c r="L126" s="2">
        <f t="shared" si="25"/>
        <v>155110757.28702515</v>
      </c>
      <c r="N126" s="42">
        <f t="shared" si="26"/>
        <v>1176037.1260607024</v>
      </c>
      <c r="O126" s="42">
        <f t="shared" si="27"/>
        <v>12783642384.591032</v>
      </c>
      <c r="P126" s="4">
        <f t="shared" si="28"/>
        <v>-234342.5260607024</v>
      </c>
      <c r="Q126" s="4">
        <f t="shared" si="29"/>
        <v>54916419520.510979</v>
      </c>
      <c r="R126" s="43">
        <f t="shared" si="30"/>
        <v>1.0251127642540154E-3</v>
      </c>
      <c r="S126" s="4">
        <f t="shared" si="31"/>
        <v>-0.19268231695494628</v>
      </c>
      <c r="T126" s="30">
        <f t="shared" si="32"/>
        <v>1099507.847484133</v>
      </c>
      <c r="U126" s="31">
        <f t="shared" si="33"/>
        <v>1252566.4046372718</v>
      </c>
      <c r="V126" s="31">
        <f t="shared" si="34"/>
        <v>3567443.5399384112</v>
      </c>
      <c r="W126" s="42">
        <f t="shared" si="35"/>
        <v>3567503.5355216726</v>
      </c>
    </row>
    <row r="127" spans="2:23" x14ac:dyDescent="0.3">
      <c r="B127" s="2">
        <v>119</v>
      </c>
      <c r="C127" s="2">
        <v>5899</v>
      </c>
      <c r="D127" s="4">
        <v>482125.27</v>
      </c>
      <c r="E127" s="4">
        <f t="shared" si="18"/>
        <v>2844056967.73</v>
      </c>
      <c r="F127" s="2">
        <f t="shared" si="19"/>
        <v>34798201</v>
      </c>
      <c r="G127" s="2">
        <f t="shared" si="20"/>
        <v>232444775972.57291</v>
      </c>
      <c r="H127" s="42">
        <f t="shared" si="21"/>
        <v>874.51900000000023</v>
      </c>
      <c r="I127" s="2">
        <f t="shared" si="22"/>
        <v>764783.48136100045</v>
      </c>
      <c r="J127" s="4">
        <f t="shared" si="23"/>
        <v>-806976.62680999911</v>
      </c>
      <c r="K127" s="2">
        <f t="shared" si="24"/>
        <v>651211276217.64453</v>
      </c>
      <c r="L127" s="2">
        <f t="shared" si="25"/>
        <v>-705716392.70125377</v>
      </c>
      <c r="N127" s="42">
        <f t="shared" si="26"/>
        <v>1510561.0188127372</v>
      </c>
      <c r="O127" s="42">
        <f t="shared" si="27"/>
        <v>49044142718.223625</v>
      </c>
      <c r="P127" s="4">
        <f t="shared" si="28"/>
        <v>-1028435.7488127372</v>
      </c>
      <c r="Q127" s="4">
        <f t="shared" si="29"/>
        <v>1057680089436.0154</v>
      </c>
      <c r="R127" s="43">
        <f t="shared" si="30"/>
        <v>1.0963445281923407E-3</v>
      </c>
      <c r="S127" s="4">
        <f t="shared" si="31"/>
        <v>-0.84563587994193834</v>
      </c>
      <c r="T127" s="30">
        <f t="shared" si="32"/>
        <v>1431417.5054919939</v>
      </c>
      <c r="U127" s="31">
        <f t="shared" si="33"/>
        <v>1589704.5321334805</v>
      </c>
      <c r="V127" s="31">
        <f t="shared" si="34"/>
        <v>3901882.3420803035</v>
      </c>
      <c r="W127" s="42">
        <f t="shared" si="35"/>
        <v>3902112.5137217315</v>
      </c>
    </row>
    <row r="128" spans="2:23" x14ac:dyDescent="0.3">
      <c r="B128" s="2">
        <v>120</v>
      </c>
      <c r="C128" s="2">
        <v>8333</v>
      </c>
      <c r="D128" s="4">
        <v>77746.89</v>
      </c>
      <c r="E128" s="4">
        <f t="shared" si="18"/>
        <v>647864834.37</v>
      </c>
      <c r="F128" s="2">
        <f t="shared" si="19"/>
        <v>69438889</v>
      </c>
      <c r="G128" s="2">
        <f t="shared" si="20"/>
        <v>6044578904.6721001</v>
      </c>
      <c r="H128" s="42">
        <f t="shared" si="21"/>
        <v>3308.5190000000002</v>
      </c>
      <c r="I128" s="2">
        <f t="shared" si="22"/>
        <v>10946297.973361002</v>
      </c>
      <c r="J128" s="4">
        <f t="shared" si="23"/>
        <v>-1211355.0068099992</v>
      </c>
      <c r="K128" s="2">
        <f t="shared" si="24"/>
        <v>1467380952523.6533</v>
      </c>
      <c r="L128" s="2">
        <f t="shared" si="25"/>
        <v>-4007791055.7760119</v>
      </c>
      <c r="N128" s="42">
        <f t="shared" si="26"/>
        <v>2126935.8522407864</v>
      </c>
      <c r="O128" s="42">
        <f t="shared" si="27"/>
        <v>701965736872.79846</v>
      </c>
      <c r="P128" s="4">
        <f t="shared" si="28"/>
        <v>-2049188.9622407865</v>
      </c>
      <c r="Q128" s="4">
        <f t="shared" si="29"/>
        <v>4199175402969.4717</v>
      </c>
      <c r="R128" s="43">
        <f t="shared" si="30"/>
        <v>2.3789731857433126E-3</v>
      </c>
      <c r="S128" s="4">
        <f t="shared" si="31"/>
        <v>-1.6860375754272496</v>
      </c>
      <c r="T128" s="30">
        <f t="shared" si="32"/>
        <v>2010352.4910421991</v>
      </c>
      <c r="U128" s="31">
        <f t="shared" si="33"/>
        <v>2243519.2134393738</v>
      </c>
      <c r="V128" s="31">
        <f t="shared" si="34"/>
        <v>4516724.4802802075</v>
      </c>
      <c r="W128" s="42">
        <f t="shared" si="35"/>
        <v>4520018.9133168226</v>
      </c>
    </row>
    <row r="129" spans="2:23" x14ac:dyDescent="0.3">
      <c r="B129" s="2">
        <v>121</v>
      </c>
      <c r="C129" s="2">
        <v>1261</v>
      </c>
      <c r="D129" s="4">
        <v>192403.38</v>
      </c>
      <c r="E129" s="4">
        <f t="shared" si="18"/>
        <v>242620662.18000001</v>
      </c>
      <c r="F129" s="2">
        <f t="shared" si="19"/>
        <v>1590121</v>
      </c>
      <c r="G129" s="2">
        <f t="shared" si="20"/>
        <v>37019060635.4244</v>
      </c>
      <c r="H129" s="42">
        <f t="shared" si="21"/>
        <v>-3763.4809999999998</v>
      </c>
      <c r="I129" s="2">
        <f t="shared" si="22"/>
        <v>14163789.237360999</v>
      </c>
      <c r="J129" s="4">
        <f t="shared" si="23"/>
        <v>-1096698.516809999</v>
      </c>
      <c r="K129" s="2">
        <f t="shared" si="24"/>
        <v>1202747636773.2517</v>
      </c>
      <c r="L129" s="2">
        <f t="shared" si="25"/>
        <v>4127404030.7426114</v>
      </c>
      <c r="N129" s="42">
        <f t="shared" si="26"/>
        <v>336055.48165608448</v>
      </c>
      <c r="O129" s="42">
        <f t="shared" si="27"/>
        <v>908297469437.72778</v>
      </c>
      <c r="P129" s="4">
        <f t="shared" si="28"/>
        <v>-143652.10165608447</v>
      </c>
      <c r="Q129" s="4">
        <f t="shared" si="29"/>
        <v>20635926310.210026</v>
      </c>
      <c r="R129" s="43">
        <f t="shared" si="30"/>
        <v>2.7843005566240316E-3</v>
      </c>
      <c r="S129" s="4">
        <f t="shared" si="31"/>
        <v>-0.11821850664616818</v>
      </c>
      <c r="T129" s="30">
        <f t="shared" si="32"/>
        <v>209930.86598269414</v>
      </c>
      <c r="U129" s="31">
        <f t="shared" si="33"/>
        <v>462180.09732947481</v>
      </c>
      <c r="V129" s="31">
        <f t="shared" si="34"/>
        <v>2725359.5535850078</v>
      </c>
      <c r="W129" s="42">
        <f t="shared" si="35"/>
        <v>2729622.333820329</v>
      </c>
    </row>
    <row r="130" spans="2:23" x14ac:dyDescent="0.3">
      <c r="B130" s="2">
        <v>122</v>
      </c>
      <c r="C130" s="2">
        <v>6095</v>
      </c>
      <c r="D130" s="4">
        <v>289207.75</v>
      </c>
      <c r="E130" s="4">
        <f t="shared" si="18"/>
        <v>1762721236.25</v>
      </c>
      <c r="F130" s="2">
        <f t="shared" si="19"/>
        <v>37149025</v>
      </c>
      <c r="G130" s="2">
        <f t="shared" si="20"/>
        <v>83641122660.0625</v>
      </c>
      <c r="H130" s="42">
        <f t="shared" si="21"/>
        <v>1070.5190000000002</v>
      </c>
      <c r="I130" s="2">
        <f t="shared" si="22"/>
        <v>1146010.9293610004</v>
      </c>
      <c r="J130" s="4">
        <f t="shared" si="23"/>
        <v>-999894.14680999913</v>
      </c>
      <c r="K130" s="2">
        <f t="shared" si="24"/>
        <v>999788304824.89612</v>
      </c>
      <c r="L130" s="2">
        <f t="shared" si="25"/>
        <v>-1070405682.1488937</v>
      </c>
      <c r="N130" s="42">
        <f t="shared" si="26"/>
        <v>1560195.1467305259</v>
      </c>
      <c r="O130" s="42">
        <f t="shared" si="27"/>
        <v>73491550152.473175</v>
      </c>
      <c r="P130" s="4">
        <f t="shared" si="28"/>
        <v>-1270987.3967305259</v>
      </c>
      <c r="Q130" s="4">
        <f t="shared" si="29"/>
        <v>1615408962647.8391</v>
      </c>
      <c r="R130" s="43">
        <f t="shared" si="30"/>
        <v>1.1443701191035972E-3</v>
      </c>
      <c r="S130" s="4">
        <f t="shared" si="31"/>
        <v>-1.0451001775285904</v>
      </c>
      <c r="T130" s="30">
        <f t="shared" si="32"/>
        <v>1479336.7634837064</v>
      </c>
      <c r="U130" s="31">
        <f t="shared" si="33"/>
        <v>1641053.5299773454</v>
      </c>
      <c r="V130" s="31">
        <f t="shared" si="34"/>
        <v>3951459.0988432164</v>
      </c>
      <c r="W130" s="42">
        <f t="shared" si="35"/>
        <v>3951804.0058966693</v>
      </c>
    </row>
    <row r="131" spans="2:23" x14ac:dyDescent="0.3">
      <c r="B131" s="2">
        <v>123</v>
      </c>
      <c r="C131" s="2">
        <v>1276</v>
      </c>
      <c r="D131" s="4">
        <v>11905.08</v>
      </c>
      <c r="E131" s="4">
        <f t="shared" si="18"/>
        <v>15190882.08</v>
      </c>
      <c r="F131" s="2">
        <f t="shared" si="19"/>
        <v>1628176</v>
      </c>
      <c r="G131" s="2">
        <f t="shared" si="20"/>
        <v>141730929.8064</v>
      </c>
      <c r="H131" s="42">
        <f t="shared" si="21"/>
        <v>-3748.4809999999998</v>
      </c>
      <c r="I131" s="2">
        <f t="shared" si="22"/>
        <v>14051109.807360997</v>
      </c>
      <c r="J131" s="4">
        <f t="shared" si="23"/>
        <v>-1277196.8168099991</v>
      </c>
      <c r="K131" s="2">
        <f t="shared" si="24"/>
        <v>1631231708869.5942</v>
      </c>
      <c r="L131" s="2">
        <f t="shared" si="25"/>
        <v>4787548001.0727615</v>
      </c>
      <c r="N131" s="42">
        <f t="shared" si="26"/>
        <v>339854.01185387443</v>
      </c>
      <c r="O131" s="42">
        <f t="shared" si="27"/>
        <v>901071547093.67615</v>
      </c>
      <c r="P131" s="4">
        <f t="shared" si="28"/>
        <v>-327948.93185387441</v>
      </c>
      <c r="Q131" s="4">
        <f t="shared" si="29"/>
        <v>107550501904.09717</v>
      </c>
      <c r="R131" s="43">
        <f t="shared" si="30"/>
        <v>2.770105628536656E-3</v>
      </c>
      <c r="S131" s="4">
        <f t="shared" si="31"/>
        <v>-0.26988367452760109</v>
      </c>
      <c r="T131" s="30">
        <f t="shared" si="32"/>
        <v>214051.31141815637</v>
      </c>
      <c r="U131" s="31">
        <f t="shared" si="33"/>
        <v>465656.71228959248</v>
      </c>
      <c r="V131" s="31">
        <f t="shared" si="34"/>
        <v>2729175.0550328726</v>
      </c>
      <c r="W131" s="42">
        <f t="shared" si="35"/>
        <v>2733403.9228725713</v>
      </c>
    </row>
    <row r="132" spans="2:23" x14ac:dyDescent="0.3">
      <c r="B132" s="2">
        <v>124</v>
      </c>
      <c r="C132" s="2">
        <v>7277</v>
      </c>
      <c r="D132" s="4">
        <v>67894.41</v>
      </c>
      <c r="E132" s="4">
        <f t="shared" si="18"/>
        <v>494067621.57000005</v>
      </c>
      <c r="F132" s="2">
        <f t="shared" si="19"/>
        <v>52954729</v>
      </c>
      <c r="G132" s="2">
        <f t="shared" si="20"/>
        <v>4609650909.2481003</v>
      </c>
      <c r="H132" s="42">
        <f t="shared" si="21"/>
        <v>2252.5190000000002</v>
      </c>
      <c r="I132" s="2">
        <f t="shared" si="22"/>
        <v>5073841.8453610009</v>
      </c>
      <c r="J132" s="4">
        <f t="shared" si="23"/>
        <v>-1221207.4868099992</v>
      </c>
      <c r="K132" s="2">
        <f t="shared" si="24"/>
        <v>1491347725840.7944</v>
      </c>
      <c r="L132" s="2">
        <f t="shared" si="25"/>
        <v>-2750793066.9817729</v>
      </c>
      <c r="N132" s="42">
        <f t="shared" si="26"/>
        <v>1859519.3263163741</v>
      </c>
      <c r="O132" s="42">
        <f t="shared" si="27"/>
        <v>325376043884.66028</v>
      </c>
      <c r="P132" s="4">
        <f t="shared" si="28"/>
        <v>-1791624.9163163742</v>
      </c>
      <c r="Q132" s="4">
        <f t="shared" si="29"/>
        <v>3209919840765.6548</v>
      </c>
      <c r="R132" s="43">
        <f t="shared" si="30"/>
        <v>1.6391833906296352E-3</v>
      </c>
      <c r="S132" s="4">
        <f t="shared" si="31"/>
        <v>-1.4735720252128246</v>
      </c>
      <c r="T132" s="30">
        <f t="shared" si="32"/>
        <v>1762746.0217939308</v>
      </c>
      <c r="U132" s="31">
        <f t="shared" si="33"/>
        <v>1956292.6308388175</v>
      </c>
      <c r="V132" s="31">
        <f t="shared" si="34"/>
        <v>4250192.0965521298</v>
      </c>
      <c r="W132" s="42">
        <f t="shared" si="35"/>
        <v>4251719.1360247703</v>
      </c>
    </row>
    <row r="133" spans="2:23" x14ac:dyDescent="0.3">
      <c r="B133" s="2">
        <v>125</v>
      </c>
      <c r="C133" s="2">
        <v>1605</v>
      </c>
      <c r="D133" s="4">
        <v>677133.45</v>
      </c>
      <c r="E133" s="4">
        <f t="shared" si="18"/>
        <v>1086799187.25</v>
      </c>
      <c r="F133" s="2">
        <f t="shared" si="19"/>
        <v>2576025</v>
      </c>
      <c r="G133" s="2">
        <f t="shared" si="20"/>
        <v>458509709108.90247</v>
      </c>
      <c r="H133" s="42">
        <f t="shared" si="21"/>
        <v>-3419.4809999999998</v>
      </c>
      <c r="I133" s="2">
        <f t="shared" si="22"/>
        <v>11692850.309360998</v>
      </c>
      <c r="J133" s="4">
        <f t="shared" si="23"/>
        <v>-611968.44680999918</v>
      </c>
      <c r="K133" s="2">
        <f t="shared" si="24"/>
        <v>374505379891.04279</v>
      </c>
      <c r="L133" s="2">
        <f t="shared" si="25"/>
        <v>2092614476.4663026</v>
      </c>
      <c r="N133" s="42">
        <f t="shared" si="26"/>
        <v>423168.44085873401</v>
      </c>
      <c r="O133" s="42">
        <f t="shared" si="27"/>
        <v>749840750135.70154</v>
      </c>
      <c r="P133" s="4">
        <f t="shared" si="28"/>
        <v>253965.00914126594</v>
      </c>
      <c r="Q133" s="4">
        <f t="shared" si="29"/>
        <v>64498225868.123291</v>
      </c>
      <c r="R133" s="43">
        <f t="shared" si="30"/>
        <v>2.4730210232499624E-3</v>
      </c>
      <c r="S133" s="4">
        <f t="shared" si="31"/>
        <v>0.20896790924358011</v>
      </c>
      <c r="T133" s="30">
        <f t="shared" si="32"/>
        <v>304302.97332171141</v>
      </c>
      <c r="U133" s="31">
        <f t="shared" si="33"/>
        <v>542033.90839575662</v>
      </c>
      <c r="V133" s="31">
        <f t="shared" si="34"/>
        <v>2812844.6464234334</v>
      </c>
      <c r="W133" s="42">
        <f t="shared" si="35"/>
        <v>2816363.7643694347</v>
      </c>
    </row>
    <row r="134" spans="2:23" x14ac:dyDescent="0.3">
      <c r="B134" s="2">
        <v>126</v>
      </c>
      <c r="C134" s="2">
        <v>3795</v>
      </c>
      <c r="D134" s="4">
        <v>35407.35</v>
      </c>
      <c r="E134" s="4">
        <f t="shared" si="18"/>
        <v>134370893.25</v>
      </c>
      <c r="F134" s="2">
        <f t="shared" si="19"/>
        <v>14402025</v>
      </c>
      <c r="G134" s="2">
        <f t="shared" si="20"/>
        <v>1253680434.0224998</v>
      </c>
      <c r="H134" s="42">
        <f t="shared" si="21"/>
        <v>-1229.4809999999998</v>
      </c>
      <c r="I134" s="2">
        <f t="shared" si="22"/>
        <v>1511623.5293609994</v>
      </c>
      <c r="J134" s="4">
        <f t="shared" si="23"/>
        <v>-1253694.546809999</v>
      </c>
      <c r="K134" s="2">
        <f t="shared" si="24"/>
        <v>1571750016701.1289</v>
      </c>
      <c r="L134" s="2">
        <f t="shared" si="25"/>
        <v>1541393625.1065042</v>
      </c>
      <c r="N134" s="42">
        <f t="shared" si="26"/>
        <v>977753.84973606677</v>
      </c>
      <c r="O134" s="42">
        <f t="shared" si="27"/>
        <v>96937606416.751602</v>
      </c>
      <c r="P134" s="4">
        <f t="shared" si="28"/>
        <v>-942346.49973606679</v>
      </c>
      <c r="Q134" s="4">
        <f t="shared" si="29"/>
        <v>888016925564.81689</v>
      </c>
      <c r="R134" s="43">
        <f t="shared" si="30"/>
        <v>1.1904286105677293E-3</v>
      </c>
      <c r="S134" s="4">
        <f t="shared" si="31"/>
        <v>-0.77488510408730293</v>
      </c>
      <c r="T134" s="30">
        <f t="shared" si="32"/>
        <v>895284.32784247445</v>
      </c>
      <c r="U134" s="31">
        <f t="shared" si="33"/>
        <v>1060223.3716296591</v>
      </c>
      <c r="V134" s="31">
        <f t="shared" si="34"/>
        <v>3368962.779288969</v>
      </c>
      <c r="W134" s="42">
        <f t="shared" si="35"/>
        <v>3369417.7222612277</v>
      </c>
    </row>
    <row r="135" spans="2:23" x14ac:dyDescent="0.3">
      <c r="B135" s="2">
        <v>127</v>
      </c>
      <c r="C135" s="2">
        <v>415</v>
      </c>
      <c r="D135" s="4">
        <v>19691.75</v>
      </c>
      <c r="E135" s="4">
        <f t="shared" si="18"/>
        <v>8172076.25</v>
      </c>
      <c r="F135" s="2">
        <f t="shared" si="19"/>
        <v>172225</v>
      </c>
      <c r="G135" s="2">
        <f t="shared" si="20"/>
        <v>387765018.0625</v>
      </c>
      <c r="H135" s="42">
        <f t="shared" si="21"/>
        <v>-4609.4809999999998</v>
      </c>
      <c r="I135" s="2">
        <f t="shared" si="22"/>
        <v>21247315.089360997</v>
      </c>
      <c r="J135" s="4">
        <f t="shared" si="23"/>
        <v>-1269410.1468099991</v>
      </c>
      <c r="K135" s="2">
        <f t="shared" si="24"/>
        <v>1611402120824.1836</v>
      </c>
      <c r="L135" s="2">
        <f t="shared" si="25"/>
        <v>5851321952.9279013</v>
      </c>
      <c r="N135" s="42">
        <f t="shared" si="26"/>
        <v>121818.37850073125</v>
      </c>
      <c r="O135" s="42">
        <f t="shared" si="27"/>
        <v>1362550812116.4631</v>
      </c>
      <c r="P135" s="4">
        <f t="shared" si="28"/>
        <v>-102126.62850073125</v>
      </c>
      <c r="Q135" s="4">
        <f t="shared" si="29"/>
        <v>10429848248.926373</v>
      </c>
      <c r="R135" s="43">
        <f t="shared" si="30"/>
        <v>3.6766563315352402E-3</v>
      </c>
      <c r="S135" s="4">
        <f t="shared" si="31"/>
        <v>-8.4082744769741646E-2</v>
      </c>
      <c r="T135" s="30">
        <f t="shared" si="32"/>
        <v>-23114.967020697077</v>
      </c>
      <c r="U135" s="31">
        <f t="shared" si="33"/>
        <v>266751.72402215959</v>
      </c>
      <c r="V135" s="31">
        <f t="shared" si="34"/>
        <v>2510055.3207179103</v>
      </c>
      <c r="W135" s="42">
        <f t="shared" si="35"/>
        <v>2516449.9851878076</v>
      </c>
    </row>
    <row r="136" spans="2:23" x14ac:dyDescent="0.3">
      <c r="B136" s="2">
        <v>128</v>
      </c>
      <c r="C136" s="2">
        <v>62</v>
      </c>
      <c r="D136" s="4">
        <v>26157.18</v>
      </c>
      <c r="E136" s="4">
        <f t="shared" si="18"/>
        <v>1621745.16</v>
      </c>
      <c r="F136" s="2">
        <f t="shared" si="19"/>
        <v>3844</v>
      </c>
      <c r="G136" s="2">
        <f t="shared" si="20"/>
        <v>684198065.55239999</v>
      </c>
      <c r="H136" s="42">
        <f t="shared" si="21"/>
        <v>-4962.4809999999998</v>
      </c>
      <c r="I136" s="2">
        <f t="shared" si="22"/>
        <v>24626217.675360996</v>
      </c>
      <c r="J136" s="4">
        <f t="shared" si="23"/>
        <v>-1262944.7168099992</v>
      </c>
      <c r="K136" s="2">
        <f t="shared" si="24"/>
        <v>1595029357718.2891</v>
      </c>
      <c r="L136" s="2">
        <f t="shared" si="25"/>
        <v>6267339161.2200012</v>
      </c>
      <c r="N136" s="42">
        <f t="shared" si="26"/>
        <v>32426.301179407747</v>
      </c>
      <c r="O136" s="42">
        <f t="shared" si="27"/>
        <v>1579233552653.5015</v>
      </c>
      <c r="P136" s="4">
        <f t="shared" si="28"/>
        <v>-6269.1211794077462</v>
      </c>
      <c r="Q136" s="4">
        <f t="shared" si="29"/>
        <v>39301880.362098768</v>
      </c>
      <c r="R136" s="43">
        <f t="shared" si="30"/>
        <v>4.1023176898019285E-3</v>
      </c>
      <c r="S136" s="4">
        <f t="shared" si="31"/>
        <v>-5.1625865089861278E-3</v>
      </c>
      <c r="T136" s="30">
        <f t="shared" si="32"/>
        <v>-120667.09014311462</v>
      </c>
      <c r="U136" s="31">
        <f t="shared" si="33"/>
        <v>185519.69250193011</v>
      </c>
      <c r="V136" s="31">
        <f t="shared" si="34"/>
        <v>2420154.0453638788</v>
      </c>
      <c r="W136" s="42">
        <f t="shared" si="35"/>
        <v>2427565.6381632341</v>
      </c>
    </row>
    <row r="137" spans="2:23" x14ac:dyDescent="0.3">
      <c r="B137" s="2">
        <v>129</v>
      </c>
      <c r="C137" s="2">
        <v>8367</v>
      </c>
      <c r="D137" s="4">
        <v>1289020.02</v>
      </c>
      <c r="E137" s="4">
        <f t="shared" si="18"/>
        <v>10785230507.34</v>
      </c>
      <c r="F137" s="2">
        <f t="shared" si="19"/>
        <v>70006689</v>
      </c>
      <c r="G137" s="2">
        <f t="shared" si="20"/>
        <v>1661572611960.8005</v>
      </c>
      <c r="H137" s="42">
        <f t="shared" si="21"/>
        <v>3342.5190000000002</v>
      </c>
      <c r="I137" s="2">
        <f t="shared" si="22"/>
        <v>11172433.265361002</v>
      </c>
      <c r="J137" s="4">
        <f t="shared" si="23"/>
        <v>-81.876809999113902</v>
      </c>
      <c r="K137" s="2">
        <f t="shared" si="24"/>
        <v>6703.8120156309988</v>
      </c>
      <c r="L137" s="2">
        <f t="shared" si="25"/>
        <v>-273674.79308142822</v>
      </c>
      <c r="N137" s="42">
        <f t="shared" si="26"/>
        <v>2135545.8540224438</v>
      </c>
      <c r="O137" s="42">
        <f t="shared" si="27"/>
        <v>716467372701.46277</v>
      </c>
      <c r="P137" s="4">
        <f t="shared" si="28"/>
        <v>-846525.83402244374</v>
      </c>
      <c r="Q137" s="4">
        <f t="shared" si="29"/>
        <v>716605987667.39392</v>
      </c>
      <c r="R137" s="43">
        <f t="shared" si="30"/>
        <v>2.407460853882543E-3</v>
      </c>
      <c r="S137" s="4">
        <f t="shared" si="31"/>
        <v>-0.69651690000622357</v>
      </c>
      <c r="T137" s="30">
        <f t="shared" si="32"/>
        <v>2018266.5403446932</v>
      </c>
      <c r="U137" s="31">
        <f t="shared" si="33"/>
        <v>2252825.1677001943</v>
      </c>
      <c r="V137" s="31">
        <f t="shared" si="34"/>
        <v>4525300.4291615244</v>
      </c>
      <c r="W137" s="42">
        <f t="shared" si="35"/>
        <v>4528662.9206360728</v>
      </c>
    </row>
    <row r="138" spans="2:23" x14ac:dyDescent="0.3">
      <c r="B138" s="2">
        <v>130</v>
      </c>
      <c r="C138" s="2">
        <v>2992</v>
      </c>
      <c r="D138" s="4">
        <v>460947.52</v>
      </c>
      <c r="E138" s="4">
        <f t="shared" ref="E138:E201" si="36">C138*D138</f>
        <v>1379154979.8400002</v>
      </c>
      <c r="F138" s="2">
        <f t="shared" ref="F138:F201" si="37">POWER(C138,2)</f>
        <v>8952064</v>
      </c>
      <c r="G138" s="2">
        <f t="shared" ref="G138:G201" si="38">POWER(D138,2)</f>
        <v>212472616194.15042</v>
      </c>
      <c r="H138" s="42">
        <f t="shared" ref="H138:H201" si="39">C138-$AG$9</f>
        <v>-2032.4809999999998</v>
      </c>
      <c r="I138" s="2">
        <f t="shared" ref="I138:I201" si="40">POWER(H138,2)</f>
        <v>4130979.0153609989</v>
      </c>
      <c r="J138" s="4">
        <f t="shared" ref="J138:J201" si="41">D138-$AG$10</f>
        <v>-828154.37680999911</v>
      </c>
      <c r="K138" s="2">
        <f t="shared" ref="K138:K201" si="42">POWER(J138,2)</f>
        <v>685839671829.55798</v>
      </c>
      <c r="L138" s="2">
        <f t="shared" ref="L138:L201" si="43">H138*J138</f>
        <v>1683208035.9331636</v>
      </c>
      <c r="N138" s="42">
        <f t="shared" ref="N138:N201" si="44">$AG$18+$AG$17*C138</f>
        <v>774405.8664810448</v>
      </c>
      <c r="O138" s="42">
        <f t="shared" ref="O138:O201" si="45">(N138-$AG$10)^2</f>
        <v>264912003636.38388</v>
      </c>
      <c r="P138" s="4">
        <f t="shared" ref="P138:P201" si="46">D138-N138</f>
        <v>-313458.34648104478</v>
      </c>
      <c r="Q138" s="4">
        <f t="shared" ref="Q138:Q201" si="47">P138^2</f>
        <v>98256134978.630722</v>
      </c>
      <c r="R138" s="43">
        <f t="shared" ref="R138:R201" si="48">(1/$AG$8)+((I138)/($I$1009))</f>
        <v>1.5204051001456566E-3</v>
      </c>
      <c r="S138" s="4">
        <f t="shared" ref="S138:S201" si="49">P138 / ($AG$19*SQRT(1-R138))</f>
        <v>-0.25779724963526668</v>
      </c>
      <c r="T138" s="30">
        <f t="shared" ref="T138:T201" si="50">N138-$AK$16*SQRT($AG$25*((1/$AG$8)+((C138-$AG$9)^2)/$I$1009))</f>
        <v>681204.67645018827</v>
      </c>
      <c r="U138" s="31">
        <f t="shared" ref="U138:U201" si="51">N138+$AK$16*SQRT($AG$25*((1/$AG$8)+((C138-$AG$9)^2)/$I$1009))</f>
        <v>867607.05651190132</v>
      </c>
      <c r="V138" s="31">
        <f t="shared" ref="V138:V201" si="52">N138+$AK$16*SQRT($AG$25*(1+(1/$AG$8)-((C138-$AG$9)^2)/$I$1009))</f>
        <v>3165220.5613061637</v>
      </c>
      <c r="W138" s="42">
        <f t="shared" ref="W138:W201" si="53">N138+$AK$16*SQRT($AG$25*(1+(1/$AG$8)+((C138-$AG$9)^2)/$I$1009))</f>
        <v>3166463.8337811395</v>
      </c>
    </row>
    <row r="139" spans="2:23" x14ac:dyDescent="0.3">
      <c r="B139" s="2">
        <v>131</v>
      </c>
      <c r="C139" s="2">
        <v>8628</v>
      </c>
      <c r="D139" s="4">
        <v>5765833.5599999996</v>
      </c>
      <c r="E139" s="4">
        <f t="shared" si="36"/>
        <v>49747611955.679993</v>
      </c>
      <c r="F139" s="2">
        <f t="shared" si="37"/>
        <v>74442384</v>
      </c>
      <c r="G139" s="2">
        <f t="shared" si="38"/>
        <v>33244836641622.27</v>
      </c>
      <c r="H139" s="42">
        <f t="shared" si="39"/>
        <v>3603.5190000000002</v>
      </c>
      <c r="I139" s="2">
        <f t="shared" si="40"/>
        <v>12985349.183361001</v>
      </c>
      <c r="J139" s="4">
        <f t="shared" si="41"/>
        <v>4476731.6631900007</v>
      </c>
      <c r="K139" s="2">
        <f t="shared" si="42"/>
        <v>20041126384207.91</v>
      </c>
      <c r="L139" s="2">
        <f t="shared" si="43"/>
        <v>16131987606.20677</v>
      </c>
      <c r="N139" s="42">
        <f t="shared" si="44"/>
        <v>2201640.2794639892</v>
      </c>
      <c r="O139" s="42">
        <f t="shared" si="45"/>
        <v>832726299816.76001</v>
      </c>
      <c r="P139" s="4">
        <f t="shared" si="46"/>
        <v>3564193.2805360104</v>
      </c>
      <c r="Q139" s="4">
        <f t="shared" si="47"/>
        <v>12703473741018.047</v>
      </c>
      <c r="R139" s="43">
        <f t="shared" si="48"/>
        <v>2.6358451391462136E-3</v>
      </c>
      <c r="S139" s="4">
        <f t="shared" si="49"/>
        <v>2.9329347933611842</v>
      </c>
      <c r="T139" s="30">
        <f t="shared" si="50"/>
        <v>2078924.1230550129</v>
      </c>
      <c r="U139" s="31">
        <f t="shared" si="51"/>
        <v>2324356.4358729655</v>
      </c>
      <c r="V139" s="31">
        <f t="shared" si="52"/>
        <v>4591121.836574465</v>
      </c>
      <c r="W139" s="42">
        <f t="shared" si="53"/>
        <v>4595029.9493975099</v>
      </c>
    </row>
    <row r="140" spans="2:23" x14ac:dyDescent="0.3">
      <c r="B140" s="2">
        <v>132</v>
      </c>
      <c r="C140" s="2">
        <v>1999</v>
      </c>
      <c r="D140" s="4">
        <v>510304.72000000003</v>
      </c>
      <c r="E140" s="4">
        <f t="shared" si="36"/>
        <v>1020099135.2800001</v>
      </c>
      <c r="F140" s="2">
        <f t="shared" si="37"/>
        <v>3996001</v>
      </c>
      <c r="G140" s="2">
        <f t="shared" si="38"/>
        <v>260410907254.27844</v>
      </c>
      <c r="H140" s="42">
        <f t="shared" si="39"/>
        <v>-3025.4809999999998</v>
      </c>
      <c r="I140" s="2">
        <f t="shared" si="40"/>
        <v>9153535.2813609987</v>
      </c>
      <c r="J140" s="4">
        <f t="shared" si="41"/>
        <v>-778797.17680999916</v>
      </c>
      <c r="K140" s="2">
        <f t="shared" si="42"/>
        <v>606525042607.2251</v>
      </c>
      <c r="L140" s="2">
        <f t="shared" si="43"/>
        <v>2356236061.2922931</v>
      </c>
      <c r="N140" s="42">
        <f t="shared" si="44"/>
        <v>522943.16738735005</v>
      </c>
      <c r="O140" s="42">
        <f t="shared" si="45"/>
        <v>586999198670.52808</v>
      </c>
      <c r="P140" s="4">
        <f t="shared" si="46"/>
        <v>-12638.447387350025</v>
      </c>
      <c r="Q140" s="4">
        <f t="shared" si="47"/>
        <v>159730352.36281466</v>
      </c>
      <c r="R140" s="43">
        <f t="shared" si="48"/>
        <v>2.1531277276089465E-3</v>
      </c>
      <c r="S140" s="4">
        <f t="shared" si="49"/>
        <v>-1.0397521163389789E-2</v>
      </c>
      <c r="T140" s="30">
        <f t="shared" si="50"/>
        <v>412031.63756416173</v>
      </c>
      <c r="U140" s="31">
        <f t="shared" si="51"/>
        <v>633854.69721053843</v>
      </c>
      <c r="V140" s="31">
        <f t="shared" si="52"/>
        <v>2913001.7439429904</v>
      </c>
      <c r="W140" s="42">
        <f t="shared" si="53"/>
        <v>2915756.6211585402</v>
      </c>
    </row>
    <row r="141" spans="2:23" x14ac:dyDescent="0.3">
      <c r="B141" s="2">
        <v>133</v>
      </c>
      <c r="C141" s="2">
        <v>6861</v>
      </c>
      <c r="D141" s="4">
        <v>4467951.8100000005</v>
      </c>
      <c r="E141" s="4">
        <f t="shared" si="36"/>
        <v>30654617368.410004</v>
      </c>
      <c r="F141" s="2">
        <f t="shared" si="37"/>
        <v>47073321</v>
      </c>
      <c r="G141" s="2">
        <f t="shared" si="38"/>
        <v>19962593376482.281</v>
      </c>
      <c r="H141" s="42">
        <f t="shared" si="39"/>
        <v>1836.5190000000002</v>
      </c>
      <c r="I141" s="2">
        <f t="shared" si="40"/>
        <v>3372802.0373610007</v>
      </c>
      <c r="J141" s="4">
        <f t="shared" si="41"/>
        <v>3178849.9131900016</v>
      </c>
      <c r="K141" s="2">
        <f t="shared" si="42"/>
        <v>10105086770588.08</v>
      </c>
      <c r="L141" s="2">
        <f t="shared" si="43"/>
        <v>5838018263.7217894</v>
      </c>
      <c r="N141" s="42">
        <f t="shared" si="44"/>
        <v>1754173.4221643328</v>
      </c>
      <c r="O141" s="42">
        <f t="shared" si="45"/>
        <v>216291523695.40665</v>
      </c>
      <c r="P141" s="4">
        <f t="shared" si="46"/>
        <v>2713778.3878356675</v>
      </c>
      <c r="Q141" s="4">
        <f t="shared" si="47"/>
        <v>7364593138283.9541</v>
      </c>
      <c r="R141" s="43">
        <f t="shared" si="48"/>
        <v>1.4248928342403939E-3</v>
      </c>
      <c r="S141" s="4">
        <f t="shared" si="49"/>
        <v>2.2317834362122575</v>
      </c>
      <c r="T141" s="30">
        <f t="shared" si="50"/>
        <v>1663947.1737325604</v>
      </c>
      <c r="U141" s="31">
        <f t="shared" si="51"/>
        <v>1844399.6705961053</v>
      </c>
      <c r="V141" s="31">
        <f t="shared" si="52"/>
        <v>4145102.2355983136</v>
      </c>
      <c r="W141" s="42">
        <f t="shared" si="53"/>
        <v>4146117.3247270091</v>
      </c>
    </row>
    <row r="142" spans="2:23" x14ac:dyDescent="0.3">
      <c r="B142" s="2">
        <v>134</v>
      </c>
      <c r="C142" s="2">
        <v>8998</v>
      </c>
      <c r="D142" s="4">
        <v>1386231.8800000001</v>
      </c>
      <c r="E142" s="4">
        <f t="shared" si="36"/>
        <v>12473314456.240002</v>
      </c>
      <c r="F142" s="2">
        <f t="shared" si="37"/>
        <v>80964004</v>
      </c>
      <c r="G142" s="2">
        <f t="shared" si="38"/>
        <v>1921638825128.3347</v>
      </c>
      <c r="H142" s="42">
        <f t="shared" si="39"/>
        <v>3973.5190000000002</v>
      </c>
      <c r="I142" s="2">
        <f t="shared" si="40"/>
        <v>15788853.243361002</v>
      </c>
      <c r="J142" s="4">
        <f t="shared" si="41"/>
        <v>97129.983190000989</v>
      </c>
      <c r="K142" s="2">
        <f t="shared" si="42"/>
        <v>9434233634.4898739</v>
      </c>
      <c r="L142" s="2">
        <f t="shared" si="43"/>
        <v>385947833.67514956</v>
      </c>
      <c r="N142" s="42">
        <f t="shared" si="44"/>
        <v>2295337.357676141</v>
      </c>
      <c r="O142" s="42">
        <f t="shared" si="45"/>
        <v>1012509802704.4968</v>
      </c>
      <c r="P142" s="4">
        <f t="shared" si="46"/>
        <v>-909105.47767614084</v>
      </c>
      <c r="Q142" s="4">
        <f t="shared" si="47"/>
        <v>826472769540.76416</v>
      </c>
      <c r="R142" s="43">
        <f t="shared" si="48"/>
        <v>2.9890199690540725E-3</v>
      </c>
      <c r="S142" s="4">
        <f t="shared" si="49"/>
        <v>-0.74822521942876274</v>
      </c>
      <c r="T142" s="30">
        <f t="shared" si="50"/>
        <v>2164658.2359459689</v>
      </c>
      <c r="U142" s="31">
        <f t="shared" si="51"/>
        <v>2426016.479406313</v>
      </c>
      <c r="V142" s="31">
        <f t="shared" si="52"/>
        <v>4684396.6566385431</v>
      </c>
      <c r="W142" s="42">
        <f t="shared" si="53"/>
        <v>4689148.5218987623</v>
      </c>
    </row>
    <row r="143" spans="2:23" x14ac:dyDescent="0.3">
      <c r="B143" s="2">
        <v>135</v>
      </c>
      <c r="C143" s="2">
        <v>1229</v>
      </c>
      <c r="D143" s="4">
        <v>134305.12</v>
      </c>
      <c r="E143" s="4">
        <f t="shared" si="36"/>
        <v>165060992.47999999</v>
      </c>
      <c r="F143" s="2">
        <f t="shared" si="37"/>
        <v>1510441</v>
      </c>
      <c r="G143" s="2">
        <f t="shared" si="38"/>
        <v>18037865258.214397</v>
      </c>
      <c r="H143" s="42">
        <f t="shared" si="39"/>
        <v>-3795.4809999999998</v>
      </c>
      <c r="I143" s="2">
        <f t="shared" si="40"/>
        <v>14405676.021360999</v>
      </c>
      <c r="J143" s="4">
        <f t="shared" si="41"/>
        <v>-1154796.7768099993</v>
      </c>
      <c r="K143" s="2">
        <f t="shared" si="42"/>
        <v>1333555595730.7632</v>
      </c>
      <c r="L143" s="2">
        <f t="shared" si="43"/>
        <v>4383009225.2435923</v>
      </c>
      <c r="N143" s="42">
        <f t="shared" si="44"/>
        <v>327951.95056746592</v>
      </c>
      <c r="O143" s="42">
        <f t="shared" si="45"/>
        <v>923809219162.02441</v>
      </c>
      <c r="P143" s="4">
        <f t="shared" si="46"/>
        <v>-193646.83056746592</v>
      </c>
      <c r="Q143" s="4">
        <f t="shared" si="47"/>
        <v>37499094988.824852</v>
      </c>
      <c r="R143" s="43">
        <f t="shared" si="48"/>
        <v>2.814772538104293E-3</v>
      </c>
      <c r="S143" s="4">
        <f t="shared" si="49"/>
        <v>-0.15936410700878112</v>
      </c>
      <c r="T143" s="30">
        <f t="shared" si="50"/>
        <v>201139.04556581398</v>
      </c>
      <c r="U143" s="31">
        <f t="shared" si="51"/>
        <v>454764.85556911782</v>
      </c>
      <c r="V143" s="31">
        <f t="shared" si="52"/>
        <v>2717219.5902302847</v>
      </c>
      <c r="W143" s="42">
        <f t="shared" si="53"/>
        <v>2721555.1695608837</v>
      </c>
    </row>
    <row r="144" spans="2:23" x14ac:dyDescent="0.3">
      <c r="B144" s="2">
        <v>136</v>
      </c>
      <c r="C144" s="2">
        <v>8402</v>
      </c>
      <c r="D144" s="4">
        <v>1728291.4</v>
      </c>
      <c r="E144" s="4">
        <f t="shared" si="36"/>
        <v>14521104342.799999</v>
      </c>
      <c r="F144" s="2">
        <f t="shared" si="37"/>
        <v>70593604</v>
      </c>
      <c r="G144" s="2">
        <f t="shared" si="38"/>
        <v>2986991163313.9595</v>
      </c>
      <c r="H144" s="42">
        <f t="shared" si="39"/>
        <v>3377.5190000000002</v>
      </c>
      <c r="I144" s="2">
        <f t="shared" si="40"/>
        <v>11407634.595361002</v>
      </c>
      <c r="J144" s="4">
        <f t="shared" si="41"/>
        <v>439189.50319000077</v>
      </c>
      <c r="K144" s="2">
        <f t="shared" si="42"/>
        <v>192887419712.27969</v>
      </c>
      <c r="L144" s="2">
        <f t="shared" si="43"/>
        <v>1483370891.6247883</v>
      </c>
      <c r="N144" s="42">
        <f t="shared" si="44"/>
        <v>2144409.0911506205</v>
      </c>
      <c r="O144" s="42">
        <f t="shared" si="45"/>
        <v>731550396690.82544</v>
      </c>
      <c r="P144" s="4">
        <f t="shared" si="46"/>
        <v>-416117.69115062058</v>
      </c>
      <c r="Q144" s="4">
        <f t="shared" si="47"/>
        <v>173153932888.52325</v>
      </c>
      <c r="R144" s="43">
        <f t="shared" si="48"/>
        <v>2.4370906271730629E-3</v>
      </c>
      <c r="S144" s="4">
        <f t="shared" si="49"/>
        <v>-0.34238448128859572</v>
      </c>
      <c r="T144" s="30">
        <f t="shared" si="50"/>
        <v>2026410.278178239</v>
      </c>
      <c r="U144" s="31">
        <f t="shared" si="51"/>
        <v>2262407.9041230022</v>
      </c>
      <c r="V144" s="31">
        <f t="shared" si="52"/>
        <v>4534128.2476524897</v>
      </c>
      <c r="W144" s="42">
        <f t="shared" si="53"/>
        <v>4537561.5261124186</v>
      </c>
    </row>
    <row r="145" spans="2:23" x14ac:dyDescent="0.3">
      <c r="B145" s="2">
        <v>137</v>
      </c>
      <c r="C145" s="2">
        <v>2397</v>
      </c>
      <c r="D145" s="4">
        <v>113737.65000000001</v>
      </c>
      <c r="E145" s="4">
        <f t="shared" si="36"/>
        <v>272629147.05000001</v>
      </c>
      <c r="F145" s="2">
        <f t="shared" si="37"/>
        <v>5745609</v>
      </c>
      <c r="G145" s="2">
        <f t="shared" si="38"/>
        <v>12936253027.522503</v>
      </c>
      <c r="H145" s="42">
        <f t="shared" si="39"/>
        <v>-2627.4809999999998</v>
      </c>
      <c r="I145" s="2">
        <f t="shared" si="40"/>
        <v>6903656.4053609986</v>
      </c>
      <c r="J145" s="4">
        <f t="shared" si="41"/>
        <v>-1175364.2468099992</v>
      </c>
      <c r="K145" s="2">
        <f t="shared" si="42"/>
        <v>1381481112679.2368</v>
      </c>
      <c r="L145" s="2">
        <f t="shared" si="43"/>
        <v>3088247226.5725832</v>
      </c>
      <c r="N145" s="42">
        <f t="shared" si="44"/>
        <v>623730.83530204347</v>
      </c>
      <c r="O145" s="42">
        <f t="shared" si="45"/>
        <v>442718649492.22369</v>
      </c>
      <c r="P145" s="4">
        <f t="shared" si="46"/>
        <v>-509993.18530204345</v>
      </c>
      <c r="Q145" s="4">
        <f t="shared" si="47"/>
        <v>260093049054.52441</v>
      </c>
      <c r="R145" s="43">
        <f t="shared" si="48"/>
        <v>1.8696965028492489E-3</v>
      </c>
      <c r="S145" s="4">
        <f t="shared" si="49"/>
        <v>-0.41950659312410354</v>
      </c>
      <c r="T145" s="30">
        <f t="shared" si="50"/>
        <v>520376.81928811368</v>
      </c>
      <c r="U145" s="31">
        <f t="shared" si="51"/>
        <v>727084.85131597321</v>
      </c>
      <c r="V145" s="31">
        <f t="shared" si="52"/>
        <v>3014128.1483420096</v>
      </c>
      <c r="W145" s="42">
        <f t="shared" si="53"/>
        <v>3016205.8946761014</v>
      </c>
    </row>
    <row r="146" spans="2:23" x14ac:dyDescent="0.3">
      <c r="B146" s="2">
        <v>138</v>
      </c>
      <c r="C146" s="2">
        <v>7126</v>
      </c>
      <c r="D146" s="4">
        <v>582407.98</v>
      </c>
      <c r="E146" s="4">
        <f t="shared" si="36"/>
        <v>4150239265.48</v>
      </c>
      <c r="F146" s="2">
        <f t="shared" si="37"/>
        <v>50779876</v>
      </c>
      <c r="G146" s="2">
        <f t="shared" si="38"/>
        <v>339199055167.68036</v>
      </c>
      <c r="H146" s="42">
        <f t="shared" si="39"/>
        <v>2101.5190000000002</v>
      </c>
      <c r="I146" s="2">
        <f t="shared" si="40"/>
        <v>4416382.107361001</v>
      </c>
      <c r="J146" s="4">
        <f t="shared" si="41"/>
        <v>-706693.91680999915</v>
      </c>
      <c r="K146" s="2">
        <f t="shared" si="42"/>
        <v>499416292056.258</v>
      </c>
      <c r="L146" s="2">
        <f t="shared" si="43"/>
        <v>-1485130693.3606327</v>
      </c>
      <c r="N146" s="42">
        <f t="shared" si="44"/>
        <v>1821280.7889919551</v>
      </c>
      <c r="O146" s="42">
        <f t="shared" si="45"/>
        <v>283214373284.01392</v>
      </c>
      <c r="P146" s="4">
        <f t="shared" si="46"/>
        <v>-1238872.8089919551</v>
      </c>
      <c r="Q146" s="4">
        <f t="shared" si="47"/>
        <v>1534805836859.6174</v>
      </c>
      <c r="R146" s="43">
        <f t="shared" si="48"/>
        <v>1.5563591013937508E-3</v>
      </c>
      <c r="S146" s="4">
        <f t="shared" si="49"/>
        <v>-1.0189033303723034</v>
      </c>
      <c r="T146" s="30">
        <f t="shared" si="50"/>
        <v>1726984.0435792385</v>
      </c>
      <c r="U146" s="31">
        <f t="shared" si="51"/>
        <v>1915577.5344046718</v>
      </c>
      <c r="V146" s="31">
        <f t="shared" si="52"/>
        <v>4212052.5243568067</v>
      </c>
      <c r="W146" s="42">
        <f t="shared" si="53"/>
        <v>4213381.6926530283</v>
      </c>
    </row>
    <row r="147" spans="2:23" x14ac:dyDescent="0.3">
      <c r="B147" s="2">
        <v>139</v>
      </c>
      <c r="C147" s="2">
        <v>3530</v>
      </c>
      <c r="D147" s="4">
        <v>1489271.7</v>
      </c>
      <c r="E147" s="4">
        <f t="shared" si="36"/>
        <v>5257129101</v>
      </c>
      <c r="F147" s="2">
        <f t="shared" si="37"/>
        <v>12460900</v>
      </c>
      <c r="G147" s="2">
        <f t="shared" si="38"/>
        <v>2217930196420.8896</v>
      </c>
      <c r="H147" s="42">
        <f t="shared" si="39"/>
        <v>-1494.4809999999998</v>
      </c>
      <c r="I147" s="2">
        <f t="shared" si="40"/>
        <v>2233473.4593609995</v>
      </c>
      <c r="J147" s="4">
        <f t="shared" si="41"/>
        <v>200169.80319000082</v>
      </c>
      <c r="K147" s="2">
        <f t="shared" si="42"/>
        <v>40067950109.123665</v>
      </c>
      <c r="L147" s="2">
        <f t="shared" si="43"/>
        <v>-299149967.6411956</v>
      </c>
      <c r="N147" s="42">
        <f t="shared" si="44"/>
        <v>910646.48290844436</v>
      </c>
      <c r="O147" s="42">
        <f t="shared" si="45"/>
        <v>143228500311.39713</v>
      </c>
      <c r="P147" s="4">
        <f t="shared" si="46"/>
        <v>578625.21709155559</v>
      </c>
      <c r="Q147" s="4">
        <f t="shared" si="47"/>
        <v>334807141854.24982</v>
      </c>
      <c r="R147" s="43">
        <f t="shared" si="48"/>
        <v>1.281364532467821E-3</v>
      </c>
      <c r="S147" s="4">
        <f t="shared" si="49"/>
        <v>0.47582123324265246</v>
      </c>
      <c r="T147" s="30">
        <f t="shared" si="50"/>
        <v>825085.03049651801</v>
      </c>
      <c r="U147" s="31">
        <f t="shared" si="51"/>
        <v>996207.93532037071</v>
      </c>
      <c r="V147" s="31">
        <f t="shared" si="52"/>
        <v>3301746.7745474335</v>
      </c>
      <c r="W147" s="42">
        <f t="shared" si="53"/>
        <v>3302418.9677488259</v>
      </c>
    </row>
    <row r="148" spans="2:23" x14ac:dyDescent="0.3">
      <c r="B148" s="2">
        <v>140</v>
      </c>
      <c r="C148" s="2">
        <v>4583</v>
      </c>
      <c r="D148" s="4">
        <v>217463.35</v>
      </c>
      <c r="E148" s="4">
        <f t="shared" si="36"/>
        <v>996634533.05000007</v>
      </c>
      <c r="F148" s="2">
        <f t="shared" si="37"/>
        <v>21003889</v>
      </c>
      <c r="G148" s="2">
        <f t="shared" si="38"/>
        <v>47290308593.222504</v>
      </c>
      <c r="H148" s="42">
        <f t="shared" si="39"/>
        <v>-441.48099999999977</v>
      </c>
      <c r="I148" s="2">
        <f t="shared" si="40"/>
        <v>194905.47336099981</v>
      </c>
      <c r="J148" s="4">
        <f t="shared" si="41"/>
        <v>-1071638.546809999</v>
      </c>
      <c r="K148" s="2">
        <f t="shared" si="42"/>
        <v>1148409175009.0464</v>
      </c>
      <c r="L148" s="2">
        <f t="shared" si="43"/>
        <v>473108057.28422493</v>
      </c>
      <c r="N148" s="42">
        <f t="shared" si="44"/>
        <v>1177303.3027932988</v>
      </c>
      <c r="O148" s="42">
        <f t="shared" si="45"/>
        <v>12498925624.110973</v>
      </c>
      <c r="P148" s="4">
        <f t="shared" si="46"/>
        <v>-959839.95279329887</v>
      </c>
      <c r="Q148" s="4">
        <f t="shared" si="47"/>
        <v>921292734978.24219</v>
      </c>
      <c r="R148" s="43">
        <f t="shared" si="48"/>
        <v>1.0245534537953842E-3</v>
      </c>
      <c r="S148" s="4">
        <f t="shared" si="49"/>
        <v>-0.78920432132139617</v>
      </c>
      <c r="T148" s="30">
        <f t="shared" si="50"/>
        <v>1100794.9045859401</v>
      </c>
      <c r="U148" s="31">
        <f t="shared" si="51"/>
        <v>1253811.7010006576</v>
      </c>
      <c r="V148" s="31">
        <f t="shared" si="52"/>
        <v>3568710.3847888838</v>
      </c>
      <c r="W148" s="42">
        <f t="shared" si="53"/>
        <v>3568769.0441529672</v>
      </c>
    </row>
    <row r="149" spans="2:23" x14ac:dyDescent="0.3">
      <c r="B149" s="2">
        <v>141</v>
      </c>
      <c r="C149" s="2">
        <v>290</v>
      </c>
      <c r="D149" s="4">
        <v>126788</v>
      </c>
      <c r="E149" s="4">
        <f t="shared" si="36"/>
        <v>36768520</v>
      </c>
      <c r="F149" s="2">
        <f t="shared" si="37"/>
        <v>84100</v>
      </c>
      <c r="G149" s="2">
        <f t="shared" si="38"/>
        <v>16075196944</v>
      </c>
      <c r="H149" s="42">
        <f t="shared" si="39"/>
        <v>-4734.4809999999998</v>
      </c>
      <c r="I149" s="2">
        <f t="shared" si="40"/>
        <v>22415310.339360997</v>
      </c>
      <c r="J149" s="4">
        <f t="shared" si="41"/>
        <v>-1162313.8968099991</v>
      </c>
      <c r="K149" s="2">
        <f t="shared" si="42"/>
        <v>1350973594717.6453</v>
      </c>
      <c r="L149" s="2">
        <f t="shared" si="43"/>
        <v>5502953060.4829016</v>
      </c>
      <c r="N149" s="42">
        <f t="shared" si="44"/>
        <v>90163.960185814998</v>
      </c>
      <c r="O149" s="42">
        <f t="shared" si="45"/>
        <v>1437452175876.6565</v>
      </c>
      <c r="P149" s="4">
        <f t="shared" si="46"/>
        <v>36624.039814185002</v>
      </c>
      <c r="Q149" s="4">
        <f t="shared" si="47"/>
        <v>1341320292.3110082</v>
      </c>
      <c r="R149" s="43">
        <f t="shared" si="48"/>
        <v>3.8237959521398692E-3</v>
      </c>
      <c r="S149" s="4">
        <f t="shared" si="49"/>
        <v>3.0155477108247848E-2</v>
      </c>
      <c r="T149" s="30">
        <f t="shared" si="50"/>
        <v>-57641.049188445002</v>
      </c>
      <c r="U149" s="31">
        <f t="shared" si="51"/>
        <v>237968.969560075</v>
      </c>
      <c r="V149" s="31">
        <f t="shared" si="52"/>
        <v>2478224.8986919434</v>
      </c>
      <c r="W149" s="42">
        <f t="shared" si="53"/>
        <v>2484971.0876799729</v>
      </c>
    </row>
    <row r="150" spans="2:23" x14ac:dyDescent="0.3">
      <c r="B150" s="2">
        <v>142</v>
      </c>
      <c r="C150" s="2">
        <v>2687</v>
      </c>
      <c r="D150" s="4">
        <v>552715.9</v>
      </c>
      <c r="E150" s="4">
        <f t="shared" si="36"/>
        <v>1485147623.3</v>
      </c>
      <c r="F150" s="2">
        <f t="shared" si="37"/>
        <v>7219969</v>
      </c>
      <c r="G150" s="2">
        <f t="shared" si="38"/>
        <v>305494866112.81</v>
      </c>
      <c r="H150" s="42">
        <f t="shared" si="39"/>
        <v>-2337.4809999999998</v>
      </c>
      <c r="I150" s="2">
        <f t="shared" si="40"/>
        <v>5463817.4253609991</v>
      </c>
      <c r="J150" s="4">
        <f t="shared" si="41"/>
        <v>-736385.99680999911</v>
      </c>
      <c r="K150" s="2">
        <f t="shared" si="42"/>
        <v>542264336297.85602</v>
      </c>
      <c r="L150" s="2">
        <f t="shared" si="43"/>
        <v>1721288276.2094333</v>
      </c>
      <c r="N150" s="42">
        <f t="shared" si="44"/>
        <v>697169.08579264907</v>
      </c>
      <c r="O150" s="42">
        <f t="shared" si="45"/>
        <v>350384452758.90186</v>
      </c>
      <c r="P150" s="4">
        <f t="shared" si="46"/>
        <v>-144453.18579264905</v>
      </c>
      <c r="Q150" s="4">
        <f t="shared" si="47"/>
        <v>20866722885.645584</v>
      </c>
      <c r="R150" s="43">
        <f t="shared" si="48"/>
        <v>1.6883110380976106E-3</v>
      </c>
      <c r="S150" s="4">
        <f t="shared" si="49"/>
        <v>-0.11881248641131376</v>
      </c>
      <c r="T150" s="30">
        <f t="shared" si="50"/>
        <v>598956.30027717818</v>
      </c>
      <c r="U150" s="31">
        <f t="shared" si="51"/>
        <v>795381.87130811997</v>
      </c>
      <c r="V150" s="31">
        <f t="shared" si="52"/>
        <v>3087783.152424105</v>
      </c>
      <c r="W150" s="42">
        <f t="shared" si="53"/>
        <v>3089427.5601928127</v>
      </c>
    </row>
    <row r="151" spans="2:23" x14ac:dyDescent="0.3">
      <c r="B151" s="2">
        <v>143</v>
      </c>
      <c r="C151" s="2">
        <v>842</v>
      </c>
      <c r="D151" s="4">
        <v>173199.4</v>
      </c>
      <c r="E151" s="4">
        <f t="shared" si="36"/>
        <v>145833894.79999998</v>
      </c>
      <c r="F151" s="2">
        <f t="shared" si="37"/>
        <v>708964</v>
      </c>
      <c r="G151" s="2">
        <f t="shared" si="38"/>
        <v>29998032160.359997</v>
      </c>
      <c r="H151" s="42">
        <f t="shared" si="39"/>
        <v>-4182.4809999999998</v>
      </c>
      <c r="I151" s="2">
        <f t="shared" si="40"/>
        <v>17493147.315360997</v>
      </c>
      <c r="J151" s="4">
        <f t="shared" si="41"/>
        <v>-1115902.4968099992</v>
      </c>
      <c r="K151" s="2">
        <f t="shared" si="42"/>
        <v>1245238382386.7903</v>
      </c>
      <c r="L151" s="2">
        <f t="shared" si="43"/>
        <v>4667240990.7603817</v>
      </c>
      <c r="N151" s="42">
        <f t="shared" si="44"/>
        <v>229949.87146448519</v>
      </c>
      <c r="O151" s="42">
        <f t="shared" si="45"/>
        <v>1121803012793.5044</v>
      </c>
      <c r="P151" s="4">
        <f t="shared" si="46"/>
        <v>-56750.471464485192</v>
      </c>
      <c r="Q151" s="4">
        <f t="shared" si="47"/>
        <v>3220616011.4413481</v>
      </c>
      <c r="R151" s="43">
        <f t="shared" si="48"/>
        <v>3.2037204853042861E-3</v>
      </c>
      <c r="S151" s="4">
        <f t="shared" si="49"/>
        <v>-4.6712628767896988E-2</v>
      </c>
      <c r="T151" s="30">
        <f t="shared" si="50"/>
        <v>94658.808849626192</v>
      </c>
      <c r="U151" s="31">
        <f t="shared" si="51"/>
        <v>365240.93407934415</v>
      </c>
      <c r="V151" s="31">
        <f t="shared" si="52"/>
        <v>2618752.4365986232</v>
      </c>
      <c r="W151" s="42">
        <f t="shared" si="53"/>
        <v>2624017.2324057245</v>
      </c>
    </row>
    <row r="152" spans="2:23" x14ac:dyDescent="0.3">
      <c r="B152" s="2">
        <v>144</v>
      </c>
      <c r="C152" s="2">
        <v>5854</v>
      </c>
      <c r="D152" s="4">
        <v>639725.12</v>
      </c>
      <c r="E152" s="4">
        <f t="shared" si="36"/>
        <v>3744950852.48</v>
      </c>
      <c r="F152" s="2">
        <f t="shared" si="37"/>
        <v>34269316</v>
      </c>
      <c r="G152" s="2">
        <f t="shared" si="38"/>
        <v>409248229159.0144</v>
      </c>
      <c r="H152" s="42">
        <f t="shared" si="39"/>
        <v>829.51900000000023</v>
      </c>
      <c r="I152" s="2">
        <f t="shared" si="40"/>
        <v>688101.77136100037</v>
      </c>
      <c r="J152" s="4">
        <f t="shared" si="41"/>
        <v>-649376.77680999914</v>
      </c>
      <c r="K152" s="2">
        <f t="shared" si="42"/>
        <v>421690198260.14343</v>
      </c>
      <c r="L152" s="2">
        <f t="shared" si="43"/>
        <v>-538670374.52265382</v>
      </c>
      <c r="N152" s="42">
        <f t="shared" si="44"/>
        <v>1499165.4282193673</v>
      </c>
      <c r="O152" s="42">
        <f t="shared" si="45"/>
        <v>44126687228.174599</v>
      </c>
      <c r="P152" s="4">
        <f t="shared" si="46"/>
        <v>-859440.30821936729</v>
      </c>
      <c r="Q152" s="4">
        <f t="shared" si="47"/>
        <v>738637643392.20105</v>
      </c>
      <c r="R152" s="43">
        <f t="shared" si="48"/>
        <v>1.0866844566152394E-3</v>
      </c>
      <c r="S152" s="4">
        <f t="shared" si="49"/>
        <v>-0.70667520841051379</v>
      </c>
      <c r="T152" s="30">
        <f t="shared" si="50"/>
        <v>1420371.3595981009</v>
      </c>
      <c r="U152" s="31">
        <f t="shared" si="51"/>
        <v>1577959.4968406337</v>
      </c>
      <c r="V152" s="31">
        <f t="shared" si="52"/>
        <v>3890498.2911987146</v>
      </c>
      <c r="W152" s="42">
        <f t="shared" si="53"/>
        <v>3890705.3844715278</v>
      </c>
    </row>
    <row r="153" spans="2:23" x14ac:dyDescent="0.3">
      <c r="B153" s="2">
        <v>145</v>
      </c>
      <c r="C153" s="2">
        <v>5851</v>
      </c>
      <c r="D153" s="4">
        <v>54589.83</v>
      </c>
      <c r="E153" s="4">
        <f t="shared" si="36"/>
        <v>319405095.32999998</v>
      </c>
      <c r="F153" s="2">
        <f t="shared" si="37"/>
        <v>34234201</v>
      </c>
      <c r="G153" s="2">
        <f t="shared" si="38"/>
        <v>2980049539.4289002</v>
      </c>
      <c r="H153" s="42">
        <f t="shared" si="39"/>
        <v>826.51900000000023</v>
      </c>
      <c r="I153" s="2">
        <f t="shared" si="40"/>
        <v>683133.65736100043</v>
      </c>
      <c r="J153" s="4">
        <f t="shared" si="41"/>
        <v>-1234512.0668099991</v>
      </c>
      <c r="K153" s="2">
        <f t="shared" si="42"/>
        <v>1524020043099.4956</v>
      </c>
      <c r="L153" s="2">
        <f t="shared" si="43"/>
        <v>-1020347678.9477339</v>
      </c>
      <c r="N153" s="42">
        <f t="shared" si="44"/>
        <v>1498405.7221798094</v>
      </c>
      <c r="O153" s="42">
        <f t="shared" si="45"/>
        <v>43808091314.436012</v>
      </c>
      <c r="P153" s="4">
        <f t="shared" si="46"/>
        <v>-1443815.8921798093</v>
      </c>
      <c r="Q153" s="4">
        <f t="shared" si="47"/>
        <v>2084604330510.9788</v>
      </c>
      <c r="R153" s="43">
        <f t="shared" si="48"/>
        <v>1.0860585924183769E-3</v>
      </c>
      <c r="S153" s="4">
        <f t="shared" si="49"/>
        <v>-1.1871779425751052</v>
      </c>
      <c r="T153" s="30">
        <f t="shared" si="50"/>
        <v>1419634.3471237002</v>
      </c>
      <c r="U153" s="31">
        <f t="shared" si="51"/>
        <v>1577177.0972359185</v>
      </c>
      <c r="V153" s="31">
        <f t="shared" si="52"/>
        <v>3889739.3328010179</v>
      </c>
      <c r="W153" s="42">
        <f t="shared" si="53"/>
        <v>3889944.9308546167</v>
      </c>
    </row>
    <row r="154" spans="2:23" x14ac:dyDescent="0.3">
      <c r="B154" s="2">
        <v>146</v>
      </c>
      <c r="C154" s="2">
        <v>996</v>
      </c>
      <c r="D154" s="4">
        <v>9292.68</v>
      </c>
      <c r="E154" s="4">
        <f t="shared" si="36"/>
        <v>9255509.2800000012</v>
      </c>
      <c r="F154" s="2">
        <f t="shared" si="37"/>
        <v>992016</v>
      </c>
      <c r="G154" s="2">
        <f t="shared" si="38"/>
        <v>86353901.582400009</v>
      </c>
      <c r="H154" s="42">
        <f t="shared" si="39"/>
        <v>-4028.4809999999998</v>
      </c>
      <c r="I154" s="2">
        <f t="shared" si="40"/>
        <v>16228659.167360999</v>
      </c>
      <c r="J154" s="4">
        <f t="shared" si="41"/>
        <v>-1279809.2168099992</v>
      </c>
      <c r="K154" s="2">
        <f t="shared" si="42"/>
        <v>1637911631431.8235</v>
      </c>
      <c r="L154" s="2">
        <f t="shared" si="43"/>
        <v>5155687113.5439625</v>
      </c>
      <c r="N154" s="42">
        <f t="shared" si="44"/>
        <v>268948.11482846201</v>
      </c>
      <c r="O154" s="42">
        <f t="shared" si="45"/>
        <v>1040713738891.2335</v>
      </c>
      <c r="P154" s="4">
        <f t="shared" si="46"/>
        <v>-259655.43482846202</v>
      </c>
      <c r="Q154" s="4">
        <f t="shared" si="47"/>
        <v>67420944835.957687</v>
      </c>
      <c r="R154" s="43">
        <f t="shared" si="48"/>
        <v>3.0444250546458398E-3</v>
      </c>
      <c r="S154" s="4">
        <f t="shared" si="49"/>
        <v>-0.21371133262558356</v>
      </c>
      <c r="T154" s="30">
        <f t="shared" si="50"/>
        <v>137063.40672879494</v>
      </c>
      <c r="U154" s="31">
        <f t="shared" si="51"/>
        <v>400832.82292812911</v>
      </c>
      <c r="V154" s="31">
        <f t="shared" si="52"/>
        <v>2657941.1643337049</v>
      </c>
      <c r="W154" s="42">
        <f t="shared" si="53"/>
        <v>2662825.3951691287</v>
      </c>
    </row>
    <row r="155" spans="2:23" x14ac:dyDescent="0.3">
      <c r="B155" s="2">
        <v>147</v>
      </c>
      <c r="C155" s="2">
        <v>8480</v>
      </c>
      <c r="D155" s="4">
        <v>693070.4</v>
      </c>
      <c r="E155" s="4">
        <f t="shared" si="36"/>
        <v>5877236992</v>
      </c>
      <c r="F155" s="2">
        <f t="shared" si="37"/>
        <v>71910400</v>
      </c>
      <c r="G155" s="2">
        <f t="shared" si="38"/>
        <v>480346579356.16003</v>
      </c>
      <c r="H155" s="42">
        <f t="shared" si="39"/>
        <v>3455.5190000000002</v>
      </c>
      <c r="I155" s="2">
        <f t="shared" si="40"/>
        <v>11940611.559361001</v>
      </c>
      <c r="J155" s="4">
        <f t="shared" si="41"/>
        <v>-596031.49680999911</v>
      </c>
      <c r="K155" s="2">
        <f t="shared" si="42"/>
        <v>355253545189.56799</v>
      </c>
      <c r="L155" s="2">
        <f t="shared" si="43"/>
        <v>-2059598161.8253915</v>
      </c>
      <c r="N155" s="42">
        <f t="shared" si="44"/>
        <v>2164161.4481791281</v>
      </c>
      <c r="O155" s="42">
        <f t="shared" si="45"/>
        <v>765729218442.34131</v>
      </c>
      <c r="P155" s="4">
        <f t="shared" si="46"/>
        <v>-1471091.0481791282</v>
      </c>
      <c r="Q155" s="4">
        <f t="shared" si="47"/>
        <v>2164108872032.7661</v>
      </c>
      <c r="R155" s="43">
        <f t="shared" si="48"/>
        <v>2.5042330477214056E-3</v>
      </c>
      <c r="S155" s="4">
        <f t="shared" si="49"/>
        <v>-1.2104645090594337</v>
      </c>
      <c r="T155" s="30">
        <f t="shared" si="50"/>
        <v>2044548.231421086</v>
      </c>
      <c r="U155" s="31">
        <f t="shared" si="51"/>
        <v>2283774.6649371702</v>
      </c>
      <c r="V155" s="31">
        <f t="shared" si="52"/>
        <v>4553800.3424875736</v>
      </c>
      <c r="W155" s="42">
        <f t="shared" si="53"/>
        <v>4557394.0275002234</v>
      </c>
    </row>
    <row r="156" spans="2:23" x14ac:dyDescent="0.3">
      <c r="B156" s="2">
        <v>148</v>
      </c>
      <c r="C156" s="2">
        <v>7527</v>
      </c>
      <c r="D156" s="4">
        <v>1148469.6600000001</v>
      </c>
      <c r="E156" s="4">
        <f t="shared" si="36"/>
        <v>8644531130.8200016</v>
      </c>
      <c r="F156" s="2">
        <f t="shared" si="37"/>
        <v>56655729</v>
      </c>
      <c r="G156" s="2">
        <f t="shared" si="38"/>
        <v>1318982559940.5159</v>
      </c>
      <c r="H156" s="42">
        <f t="shared" si="39"/>
        <v>2502.5190000000002</v>
      </c>
      <c r="I156" s="2">
        <f t="shared" si="40"/>
        <v>6262601.3453610009</v>
      </c>
      <c r="J156" s="4">
        <f t="shared" si="41"/>
        <v>-140632.23680999898</v>
      </c>
      <c r="K156" s="2">
        <f t="shared" si="42"/>
        <v>19777426030.183632</v>
      </c>
      <c r="L156" s="2">
        <f t="shared" si="43"/>
        <v>-351934844.62952191</v>
      </c>
      <c r="N156" s="42">
        <f t="shared" si="44"/>
        <v>1922828.1629462065</v>
      </c>
      <c r="O156" s="42">
        <f t="shared" si="45"/>
        <v>401608980390.93915</v>
      </c>
      <c r="P156" s="4">
        <f t="shared" si="46"/>
        <v>-774358.50294620637</v>
      </c>
      <c r="Q156" s="4">
        <f t="shared" si="47"/>
        <v>599631091085.08984</v>
      </c>
      <c r="R156" s="43">
        <f t="shared" si="48"/>
        <v>1.7889388128542959E-3</v>
      </c>
      <c r="S156" s="4">
        <f t="shared" si="49"/>
        <v>-0.63694058275459642</v>
      </c>
      <c r="T156" s="30">
        <f t="shared" si="50"/>
        <v>1821730.8664363802</v>
      </c>
      <c r="U156" s="31">
        <f t="shared" si="51"/>
        <v>2023925.4594560328</v>
      </c>
      <c r="V156" s="31">
        <f t="shared" si="52"/>
        <v>4313321.9829451833</v>
      </c>
      <c r="W156" s="42">
        <f t="shared" si="53"/>
        <v>4315206.7952831304</v>
      </c>
    </row>
    <row r="157" spans="2:23" x14ac:dyDescent="0.3">
      <c r="B157" s="2">
        <v>149</v>
      </c>
      <c r="C157" s="2">
        <v>4393</v>
      </c>
      <c r="D157" s="4">
        <v>359039.89</v>
      </c>
      <c r="E157" s="4">
        <f t="shared" si="36"/>
        <v>1577262236.77</v>
      </c>
      <c r="F157" s="2">
        <f t="shared" si="37"/>
        <v>19298449</v>
      </c>
      <c r="G157" s="2">
        <f t="shared" si="38"/>
        <v>128909642611.21211</v>
      </c>
      <c r="H157" s="42">
        <f t="shared" si="39"/>
        <v>-631.48099999999977</v>
      </c>
      <c r="I157" s="2">
        <f t="shared" si="40"/>
        <v>398768.25336099969</v>
      </c>
      <c r="J157" s="4">
        <f t="shared" si="41"/>
        <v>-930062.00680999912</v>
      </c>
      <c r="K157" s="2">
        <f t="shared" si="42"/>
        <v>865015336511.44287</v>
      </c>
      <c r="L157" s="2">
        <f t="shared" si="43"/>
        <v>587316486.12238479</v>
      </c>
      <c r="N157" s="42">
        <f t="shared" si="44"/>
        <v>1129188.5869546263</v>
      </c>
      <c r="O157" s="42">
        <f t="shared" si="45"/>
        <v>25572266668.900497</v>
      </c>
      <c r="P157" s="4">
        <f t="shared" si="46"/>
        <v>-770148.69695462624</v>
      </c>
      <c r="Q157" s="4">
        <f t="shared" si="47"/>
        <v>593129015420.90869</v>
      </c>
      <c r="R157" s="43">
        <f t="shared" si="48"/>
        <v>1.0502353151767595E-3</v>
      </c>
      <c r="S157" s="4">
        <f t="shared" si="49"/>
        <v>-0.63324358489226873</v>
      </c>
      <c r="T157" s="30">
        <f t="shared" si="50"/>
        <v>1051727.2287459536</v>
      </c>
      <c r="U157" s="31">
        <f t="shared" si="51"/>
        <v>1206649.9451632989</v>
      </c>
      <c r="V157" s="31">
        <f t="shared" si="52"/>
        <v>3520564.9907855582</v>
      </c>
      <c r="W157" s="42">
        <f t="shared" si="53"/>
        <v>3520685.005332924</v>
      </c>
    </row>
    <row r="158" spans="2:23" x14ac:dyDescent="0.3">
      <c r="B158" s="2">
        <v>150</v>
      </c>
      <c r="C158" s="2">
        <v>7363</v>
      </c>
      <c r="D158" s="4">
        <v>68696.789999999994</v>
      </c>
      <c r="E158" s="4">
        <f t="shared" si="36"/>
        <v>505814464.76999998</v>
      </c>
      <c r="F158" s="2">
        <f t="shared" si="37"/>
        <v>54213769</v>
      </c>
      <c r="G158" s="2">
        <f t="shared" si="38"/>
        <v>4719248956.3040991</v>
      </c>
      <c r="H158" s="42">
        <f t="shared" si="39"/>
        <v>2338.5190000000002</v>
      </c>
      <c r="I158" s="2">
        <f t="shared" si="40"/>
        <v>5468671.113361001</v>
      </c>
      <c r="J158" s="4">
        <f t="shared" si="41"/>
        <v>-1220405.1068099991</v>
      </c>
      <c r="K158" s="2">
        <f t="shared" si="42"/>
        <v>1489388624727.9253</v>
      </c>
      <c r="L158" s="2">
        <f t="shared" si="43"/>
        <v>-2853940529.9722128</v>
      </c>
      <c r="N158" s="42">
        <f t="shared" si="44"/>
        <v>1881297.5661170364</v>
      </c>
      <c r="O158" s="42">
        <f t="shared" si="45"/>
        <v>350695710746.00983</v>
      </c>
      <c r="P158" s="4">
        <f t="shared" si="46"/>
        <v>-1812600.7761170364</v>
      </c>
      <c r="Q158" s="4">
        <f t="shared" si="47"/>
        <v>3285521573580.0825</v>
      </c>
      <c r="R158" s="43">
        <f t="shared" si="48"/>
        <v>1.6889224873401082E-3</v>
      </c>
      <c r="S158" s="4">
        <f t="shared" si="49"/>
        <v>-1.4908613461996281</v>
      </c>
      <c r="T158" s="30">
        <f t="shared" si="50"/>
        <v>1783066.9975344283</v>
      </c>
      <c r="U158" s="31">
        <f t="shared" si="51"/>
        <v>1979528.1346996445</v>
      </c>
      <c r="V158" s="31">
        <f t="shared" si="52"/>
        <v>4271910.9021065338</v>
      </c>
      <c r="W158" s="42">
        <f t="shared" si="53"/>
        <v>4273556.7706567021</v>
      </c>
    </row>
    <row r="159" spans="2:23" x14ac:dyDescent="0.3">
      <c r="B159" s="2">
        <v>151</v>
      </c>
      <c r="C159" s="2">
        <v>1755</v>
      </c>
      <c r="D159" s="4">
        <v>1142873.55</v>
      </c>
      <c r="E159" s="4">
        <f t="shared" si="36"/>
        <v>2005743080.25</v>
      </c>
      <c r="F159" s="2">
        <f t="shared" si="37"/>
        <v>3080025</v>
      </c>
      <c r="G159" s="2">
        <f t="shared" si="38"/>
        <v>1306159951289.6025</v>
      </c>
      <c r="H159" s="42">
        <f t="shared" si="39"/>
        <v>-3269.4809999999998</v>
      </c>
      <c r="I159" s="2">
        <f t="shared" si="40"/>
        <v>10689506.009360999</v>
      </c>
      <c r="J159" s="4">
        <f t="shared" si="41"/>
        <v>-146228.34680999909</v>
      </c>
      <c r="K159" s="2">
        <f t="shared" si="42"/>
        <v>21382729410.78537</v>
      </c>
      <c r="L159" s="2">
        <f t="shared" si="43"/>
        <v>478090801.55670261</v>
      </c>
      <c r="N159" s="42">
        <f t="shared" si="44"/>
        <v>461153.74283663352</v>
      </c>
      <c r="O159" s="42">
        <f t="shared" si="45"/>
        <v>685498145667.90405</v>
      </c>
      <c r="P159" s="4">
        <f t="shared" si="46"/>
        <v>681719.80716336658</v>
      </c>
      <c r="Q159" s="4">
        <f t="shared" si="47"/>
        <v>464741895478.85773</v>
      </c>
      <c r="R159" s="43">
        <f t="shared" si="48"/>
        <v>2.3466235061043944E-3</v>
      </c>
      <c r="S159" s="4">
        <f t="shared" si="49"/>
        <v>0.56089828544051012</v>
      </c>
      <c r="T159" s="30">
        <f t="shared" si="50"/>
        <v>345365.75492753478</v>
      </c>
      <c r="U159" s="31">
        <f t="shared" si="51"/>
        <v>576941.7307457322</v>
      </c>
      <c r="V159" s="31">
        <f t="shared" si="52"/>
        <v>2850981.0396660212</v>
      </c>
      <c r="W159" s="42">
        <f t="shared" si="53"/>
        <v>2854198.187732033</v>
      </c>
    </row>
    <row r="160" spans="2:23" x14ac:dyDescent="0.3">
      <c r="B160" s="2">
        <v>152</v>
      </c>
      <c r="C160" s="2">
        <v>4917</v>
      </c>
      <c r="D160" s="4">
        <v>45875.61</v>
      </c>
      <c r="E160" s="4">
        <f t="shared" si="36"/>
        <v>225570374.37</v>
      </c>
      <c r="F160" s="2">
        <f t="shared" si="37"/>
        <v>24176889</v>
      </c>
      <c r="G160" s="2">
        <f t="shared" si="38"/>
        <v>2104571592.8721001</v>
      </c>
      <c r="H160" s="42">
        <f t="shared" si="39"/>
        <v>-107.48099999999977</v>
      </c>
      <c r="I160" s="2">
        <f t="shared" si="40"/>
        <v>11552.16536099995</v>
      </c>
      <c r="J160" s="4">
        <f t="shared" si="41"/>
        <v>-1243226.286809999</v>
      </c>
      <c r="K160" s="2">
        <f t="shared" si="42"/>
        <v>1545611600215.3779</v>
      </c>
      <c r="L160" s="2">
        <f t="shared" si="43"/>
        <v>133623204.53262521</v>
      </c>
      <c r="N160" s="42">
        <f t="shared" si="44"/>
        <v>1261883.9085307552</v>
      </c>
      <c r="O160" s="42">
        <f t="shared" si="45"/>
        <v>740818885.96906006</v>
      </c>
      <c r="P160" s="4">
        <f t="shared" si="46"/>
        <v>-1216008.2985307551</v>
      </c>
      <c r="Q160" s="4">
        <f t="shared" si="47"/>
        <v>1478676182095.6621</v>
      </c>
      <c r="R160" s="43">
        <f t="shared" si="48"/>
        <v>1.0014552980659635E-3</v>
      </c>
      <c r="S160" s="4">
        <f t="shared" si="49"/>
        <v>-0.99982075822955219</v>
      </c>
      <c r="T160" s="30">
        <f t="shared" si="50"/>
        <v>1186242.8525766996</v>
      </c>
      <c r="U160" s="31">
        <f t="shared" si="51"/>
        <v>1337524.9644848108</v>
      </c>
      <c r="V160" s="31">
        <f t="shared" si="52"/>
        <v>3653318.5819996018</v>
      </c>
      <c r="W160" s="42">
        <f t="shared" si="53"/>
        <v>3653322.0587756112</v>
      </c>
    </row>
    <row r="161" spans="2:23" x14ac:dyDescent="0.3">
      <c r="B161" s="2">
        <v>153</v>
      </c>
      <c r="C161" s="2">
        <v>1229</v>
      </c>
      <c r="D161" s="4">
        <v>11466.57</v>
      </c>
      <c r="E161" s="4">
        <f t="shared" si="36"/>
        <v>14092414.529999999</v>
      </c>
      <c r="F161" s="2">
        <f t="shared" si="37"/>
        <v>1510441</v>
      </c>
      <c r="G161" s="2">
        <f t="shared" si="38"/>
        <v>131482227.5649</v>
      </c>
      <c r="H161" s="42">
        <f t="shared" si="39"/>
        <v>-3795.4809999999998</v>
      </c>
      <c r="I161" s="2">
        <f t="shared" si="40"/>
        <v>14405676.021360999</v>
      </c>
      <c r="J161" s="4">
        <f t="shared" si="41"/>
        <v>-1277635.3268099991</v>
      </c>
      <c r="K161" s="2">
        <f t="shared" si="42"/>
        <v>1632352028312.8931</v>
      </c>
      <c r="L161" s="2">
        <f t="shared" si="43"/>
        <v>4849240607.8361416</v>
      </c>
      <c r="N161" s="42">
        <f t="shared" si="44"/>
        <v>327951.95056746592</v>
      </c>
      <c r="O161" s="42">
        <f t="shared" si="45"/>
        <v>923809219162.02441</v>
      </c>
      <c r="P161" s="4">
        <f t="shared" si="46"/>
        <v>-316485.38056746591</v>
      </c>
      <c r="Q161" s="4">
        <f t="shared" si="47"/>
        <v>100162996112.93373</v>
      </c>
      <c r="R161" s="43">
        <f t="shared" si="48"/>
        <v>2.814772538104293E-3</v>
      </c>
      <c r="S161" s="4">
        <f t="shared" si="49"/>
        <v>-0.26045564447230429</v>
      </c>
      <c r="T161" s="30">
        <f t="shared" si="50"/>
        <v>201139.04556581398</v>
      </c>
      <c r="U161" s="31">
        <f t="shared" si="51"/>
        <v>454764.85556911782</v>
      </c>
      <c r="V161" s="31">
        <f t="shared" si="52"/>
        <v>2717219.5902302847</v>
      </c>
      <c r="W161" s="42">
        <f t="shared" si="53"/>
        <v>2721555.1695608837</v>
      </c>
    </row>
    <row r="162" spans="2:23" x14ac:dyDescent="0.3">
      <c r="B162" s="2">
        <v>154</v>
      </c>
      <c r="C162" s="2">
        <v>7102</v>
      </c>
      <c r="D162" s="4">
        <v>66261.66</v>
      </c>
      <c r="E162" s="4">
        <f t="shared" si="36"/>
        <v>470590309.32000005</v>
      </c>
      <c r="F162" s="2">
        <f t="shared" si="37"/>
        <v>50438404</v>
      </c>
      <c r="G162" s="2">
        <f t="shared" si="38"/>
        <v>4390607585.9556007</v>
      </c>
      <c r="H162" s="42">
        <f t="shared" si="39"/>
        <v>2077.5190000000002</v>
      </c>
      <c r="I162" s="2">
        <f t="shared" si="40"/>
        <v>4316085.1953610014</v>
      </c>
      <c r="J162" s="4">
        <f t="shared" si="41"/>
        <v>-1222840.2368099992</v>
      </c>
      <c r="K162" s="2">
        <f t="shared" si="42"/>
        <v>1495338244761.5349</v>
      </c>
      <c r="L162" s="2">
        <f t="shared" si="43"/>
        <v>-2540473825.937273</v>
      </c>
      <c r="N162" s="42">
        <f t="shared" si="44"/>
        <v>1815203.1406754912</v>
      </c>
      <c r="O162" s="42">
        <f t="shared" si="45"/>
        <v>276782518796.81793</v>
      </c>
      <c r="P162" s="4">
        <f t="shared" si="46"/>
        <v>-1748941.4806754913</v>
      </c>
      <c r="Q162" s="4">
        <f t="shared" si="47"/>
        <v>3058796302827.3799</v>
      </c>
      <c r="R162" s="43">
        <f t="shared" si="48"/>
        <v>1.5437240760548246E-3</v>
      </c>
      <c r="S162" s="4">
        <f t="shared" si="49"/>
        <v>-1.4383970744122472</v>
      </c>
      <c r="T162" s="30">
        <f t="shared" si="50"/>
        <v>1721289.9409879951</v>
      </c>
      <c r="U162" s="31">
        <f t="shared" si="51"/>
        <v>1909116.3403629872</v>
      </c>
      <c r="V162" s="31">
        <f t="shared" si="52"/>
        <v>4205989.9730257429</v>
      </c>
      <c r="W162" s="42">
        <f t="shared" si="53"/>
        <v>4207288.955644561</v>
      </c>
    </row>
    <row r="163" spans="2:23" x14ac:dyDescent="0.3">
      <c r="B163" s="2">
        <v>155</v>
      </c>
      <c r="C163" s="2">
        <v>5979</v>
      </c>
      <c r="D163" s="4">
        <v>3995586.33</v>
      </c>
      <c r="E163" s="4">
        <f t="shared" si="36"/>
        <v>23889610667.07</v>
      </c>
      <c r="F163" s="2">
        <f t="shared" si="37"/>
        <v>35748441</v>
      </c>
      <c r="G163" s="2">
        <f t="shared" si="38"/>
        <v>15964710120482.869</v>
      </c>
      <c r="H163" s="42">
        <f t="shared" si="39"/>
        <v>954.51900000000023</v>
      </c>
      <c r="I163" s="2">
        <f t="shared" si="40"/>
        <v>911106.52136100049</v>
      </c>
      <c r="J163" s="4">
        <f t="shared" si="41"/>
        <v>2706484.4331900012</v>
      </c>
      <c r="K163" s="2">
        <f t="shared" si="42"/>
        <v>7325057987099.8018</v>
      </c>
      <c r="L163" s="2">
        <f t="shared" si="43"/>
        <v>2583390814.6840873</v>
      </c>
      <c r="N163" s="42">
        <f t="shared" si="44"/>
        <v>1530819.8465342836</v>
      </c>
      <c r="O163" s="42">
        <f t="shared" si="45"/>
        <v>58427567218.911713</v>
      </c>
      <c r="P163" s="4">
        <f t="shared" si="46"/>
        <v>2464766.4834657162</v>
      </c>
      <c r="Q163" s="4">
        <f t="shared" si="47"/>
        <v>6075073818015.9531</v>
      </c>
      <c r="R163" s="43">
        <f t="shared" si="48"/>
        <v>1.1147777509227549E-3</v>
      </c>
      <c r="S163" s="4">
        <f t="shared" si="49"/>
        <v>2.0266839304157704</v>
      </c>
      <c r="T163" s="30">
        <f t="shared" si="50"/>
        <v>1451013.7728302903</v>
      </c>
      <c r="U163" s="31">
        <f t="shared" si="51"/>
        <v>1610625.9202382769</v>
      </c>
      <c r="V163" s="31">
        <f t="shared" si="52"/>
        <v>3922119.1497196555</v>
      </c>
      <c r="W163" s="42">
        <f t="shared" si="53"/>
        <v>3922393.3592034513</v>
      </c>
    </row>
    <row r="164" spans="2:23" x14ac:dyDescent="0.3">
      <c r="B164" s="2">
        <v>156</v>
      </c>
      <c r="C164" s="2">
        <v>3333</v>
      </c>
      <c r="D164" s="4">
        <v>2170482.9300000002</v>
      </c>
      <c r="E164" s="4">
        <f t="shared" si="36"/>
        <v>7234219605.6900005</v>
      </c>
      <c r="F164" s="2">
        <f t="shared" si="37"/>
        <v>11108889</v>
      </c>
      <c r="G164" s="2">
        <f t="shared" si="38"/>
        <v>4710996149421.3857</v>
      </c>
      <c r="H164" s="42">
        <f t="shared" si="39"/>
        <v>-1691.4809999999998</v>
      </c>
      <c r="I164" s="2">
        <f t="shared" si="40"/>
        <v>2861107.973360999</v>
      </c>
      <c r="J164" s="4">
        <f t="shared" si="41"/>
        <v>881381.03319000104</v>
      </c>
      <c r="K164" s="2">
        <f t="shared" si="42"/>
        <v>776832525667.07373</v>
      </c>
      <c r="L164" s="2">
        <f t="shared" si="43"/>
        <v>-1490839271.4012558</v>
      </c>
      <c r="N164" s="42">
        <f t="shared" si="44"/>
        <v>860759.1196441364</v>
      </c>
      <c r="O164" s="42">
        <f t="shared" si="45"/>
        <v>183477534750.16394</v>
      </c>
      <c r="P164" s="4">
        <f t="shared" si="46"/>
        <v>1309723.8103558638</v>
      </c>
      <c r="Q164" s="4">
        <f t="shared" si="47"/>
        <v>1715376459413.0825</v>
      </c>
      <c r="R164" s="43">
        <f t="shared" si="48"/>
        <v>1.3604315528759354E-3</v>
      </c>
      <c r="S164" s="4">
        <f t="shared" si="49"/>
        <v>1.0770686281526038</v>
      </c>
      <c r="T164" s="30">
        <f t="shared" si="50"/>
        <v>772597.38090662356</v>
      </c>
      <c r="U164" s="31">
        <f t="shared" si="51"/>
        <v>948920.85838164925</v>
      </c>
      <c r="V164" s="31">
        <f t="shared" si="52"/>
        <v>3251764.9487122446</v>
      </c>
      <c r="W164" s="42">
        <f t="shared" si="53"/>
        <v>3252626.0367776789</v>
      </c>
    </row>
    <row r="165" spans="2:23" x14ac:dyDescent="0.3">
      <c r="B165" s="2">
        <v>157</v>
      </c>
      <c r="C165" s="2">
        <v>1670</v>
      </c>
      <c r="D165" s="4">
        <v>1087520.7</v>
      </c>
      <c r="E165" s="4">
        <f t="shared" si="36"/>
        <v>1816159569</v>
      </c>
      <c r="F165" s="2">
        <f t="shared" si="37"/>
        <v>2788900</v>
      </c>
      <c r="G165" s="2">
        <f t="shared" si="38"/>
        <v>1182701272928.49</v>
      </c>
      <c r="H165" s="42">
        <f t="shared" si="39"/>
        <v>-3354.4809999999998</v>
      </c>
      <c r="I165" s="2">
        <f t="shared" si="40"/>
        <v>11252542.779360998</v>
      </c>
      <c r="J165" s="4">
        <f t="shared" si="41"/>
        <v>-201581.19680999918</v>
      </c>
      <c r="K165" s="2">
        <f t="shared" si="42"/>
        <v>40634978907.351624</v>
      </c>
      <c r="L165" s="2">
        <f t="shared" si="43"/>
        <v>676200294.65640283</v>
      </c>
      <c r="N165" s="42">
        <f t="shared" si="44"/>
        <v>439628.73838249047</v>
      </c>
      <c r="O165" s="42">
        <f t="shared" si="45"/>
        <v>721604646888.80725</v>
      </c>
      <c r="P165" s="4">
        <f t="shared" si="46"/>
        <v>647891.96161750949</v>
      </c>
      <c r="Q165" s="4">
        <f t="shared" si="47"/>
        <v>419763993928.58441</v>
      </c>
      <c r="R165" s="43">
        <f t="shared" si="48"/>
        <v>2.4175527472329486E-3</v>
      </c>
      <c r="S165" s="4">
        <f t="shared" si="49"/>
        <v>0.53308471530719936</v>
      </c>
      <c r="T165" s="30">
        <f t="shared" si="50"/>
        <v>322103.86877853912</v>
      </c>
      <c r="U165" s="31">
        <f t="shared" si="51"/>
        <v>557153.60798644181</v>
      </c>
      <c r="V165" s="31">
        <f t="shared" si="52"/>
        <v>2829371.2500015702</v>
      </c>
      <c r="W165" s="42">
        <f t="shared" si="53"/>
        <v>2832757.8515053317</v>
      </c>
    </row>
    <row r="166" spans="2:23" x14ac:dyDescent="0.3">
      <c r="B166" s="2">
        <v>158</v>
      </c>
      <c r="C166" s="2">
        <v>5525</v>
      </c>
      <c r="D166" s="4">
        <v>451558.25</v>
      </c>
      <c r="E166" s="4">
        <f t="shared" si="36"/>
        <v>2494859331.25</v>
      </c>
      <c r="F166" s="2">
        <f t="shared" si="37"/>
        <v>30525625</v>
      </c>
      <c r="G166" s="2">
        <f t="shared" si="38"/>
        <v>203904853143.0625</v>
      </c>
      <c r="H166" s="42">
        <f t="shared" si="39"/>
        <v>500.51900000000023</v>
      </c>
      <c r="I166" s="2">
        <f t="shared" si="40"/>
        <v>250519.26936100025</v>
      </c>
      <c r="J166" s="4">
        <f t="shared" si="41"/>
        <v>-837543.64680999913</v>
      </c>
      <c r="K166" s="2">
        <f t="shared" si="42"/>
        <v>701479360311.7926</v>
      </c>
      <c r="L166" s="2">
        <f t="shared" si="43"/>
        <v>-419206508.55769414</v>
      </c>
      <c r="N166" s="42">
        <f t="shared" si="44"/>
        <v>1415850.9992145079</v>
      </c>
      <c r="O166" s="42">
        <f t="shared" si="45"/>
        <v>16065334960.348642</v>
      </c>
      <c r="P166" s="4">
        <f t="shared" si="46"/>
        <v>-964292.74921450787</v>
      </c>
      <c r="Q166" s="4">
        <f t="shared" si="47"/>
        <v>929860506187.67383</v>
      </c>
      <c r="R166" s="43">
        <f t="shared" si="48"/>
        <v>1.0315594693111349E-3</v>
      </c>
      <c r="S166" s="4">
        <f t="shared" si="49"/>
        <v>-0.79286830174699485</v>
      </c>
      <c r="T166" s="30">
        <f t="shared" si="50"/>
        <v>1339081.4600180918</v>
      </c>
      <c r="U166" s="31">
        <f t="shared" si="51"/>
        <v>1492620.5384109239</v>
      </c>
      <c r="V166" s="31">
        <f t="shared" si="52"/>
        <v>3807249.7122413563</v>
      </c>
      <c r="W166" s="42">
        <f t="shared" si="53"/>
        <v>3807325.109308348</v>
      </c>
    </row>
    <row r="167" spans="2:23" x14ac:dyDescent="0.3">
      <c r="B167" s="2">
        <v>159</v>
      </c>
      <c r="C167" s="2">
        <v>6466</v>
      </c>
      <c r="D167" s="4">
        <v>4321033.82</v>
      </c>
      <c r="E167" s="4">
        <f t="shared" si="36"/>
        <v>27939804680.120003</v>
      </c>
      <c r="F167" s="2">
        <f t="shared" si="37"/>
        <v>41809156</v>
      </c>
      <c r="G167" s="2">
        <f t="shared" si="38"/>
        <v>18671333273583.797</v>
      </c>
      <c r="H167" s="42">
        <f t="shared" si="39"/>
        <v>1441.5190000000002</v>
      </c>
      <c r="I167" s="2">
        <f t="shared" si="40"/>
        <v>2077977.0273610007</v>
      </c>
      <c r="J167" s="4">
        <f t="shared" si="41"/>
        <v>3031931.9231900014</v>
      </c>
      <c r="K167" s="2">
        <f t="shared" si="42"/>
        <v>9192611186858.6211</v>
      </c>
      <c r="L167" s="2">
        <f t="shared" si="43"/>
        <v>4370587473.9849281</v>
      </c>
      <c r="N167" s="42">
        <f t="shared" si="44"/>
        <v>1654145.4602891975</v>
      </c>
      <c r="O167" s="42">
        <f t="shared" si="45"/>
        <v>133256803237.59154</v>
      </c>
      <c r="P167" s="4">
        <f t="shared" si="46"/>
        <v>2666888.3597108028</v>
      </c>
      <c r="Q167" s="4">
        <f t="shared" si="47"/>
        <v>7112293523160.9766</v>
      </c>
      <c r="R167" s="43">
        <f t="shared" si="48"/>
        <v>1.2617756805355436E-3</v>
      </c>
      <c r="S167" s="4">
        <f t="shared" si="49"/>
        <v>2.1930424499952719</v>
      </c>
      <c r="T167" s="30">
        <f t="shared" si="50"/>
        <v>1569240.5367841898</v>
      </c>
      <c r="U167" s="31">
        <f t="shared" si="51"/>
        <v>1739050.3837942053</v>
      </c>
      <c r="V167" s="31">
        <f t="shared" si="52"/>
        <v>4045269.1544504808</v>
      </c>
      <c r="W167" s="42">
        <f t="shared" si="53"/>
        <v>4045894.5489554992</v>
      </c>
    </row>
    <row r="168" spans="2:23" x14ac:dyDescent="0.3">
      <c r="B168" s="2">
        <v>160</v>
      </c>
      <c r="C168" s="2">
        <v>8091</v>
      </c>
      <c r="D168" s="4">
        <v>5268940.1100000003</v>
      </c>
      <c r="E168" s="4">
        <f t="shared" si="36"/>
        <v>42630994430.010002</v>
      </c>
      <c r="F168" s="2">
        <f t="shared" si="37"/>
        <v>65464281</v>
      </c>
      <c r="G168" s="2">
        <f t="shared" si="38"/>
        <v>27761729882766.816</v>
      </c>
      <c r="H168" s="42">
        <f t="shared" si="39"/>
        <v>3066.5190000000002</v>
      </c>
      <c r="I168" s="2">
        <f t="shared" si="40"/>
        <v>9403538.7773610018</v>
      </c>
      <c r="J168" s="4">
        <f t="shared" si="41"/>
        <v>3979838.2131900014</v>
      </c>
      <c r="K168" s="2">
        <f t="shared" si="42"/>
        <v>15839112203167.383</v>
      </c>
      <c r="L168" s="2">
        <f t="shared" si="43"/>
        <v>12204249497.673191</v>
      </c>
      <c r="N168" s="42">
        <f t="shared" si="44"/>
        <v>2065652.8983831087</v>
      </c>
      <c r="O168" s="42">
        <f t="shared" si="45"/>
        <v>603031458044.19958</v>
      </c>
      <c r="P168" s="4">
        <f t="shared" si="46"/>
        <v>3203287.2116168914</v>
      </c>
      <c r="Q168" s="4">
        <f t="shared" si="47"/>
        <v>10261048960108.32</v>
      </c>
      <c r="R168" s="43">
        <f t="shared" si="48"/>
        <v>2.1846222217443215E-3</v>
      </c>
      <c r="S168" s="4">
        <f t="shared" si="49"/>
        <v>2.6353531553558338</v>
      </c>
      <c r="T168" s="30">
        <f t="shared" si="50"/>
        <v>1953933.1440004981</v>
      </c>
      <c r="U168" s="31">
        <f t="shared" si="51"/>
        <v>2177372.6527657192</v>
      </c>
      <c r="V168" s="31">
        <f t="shared" si="52"/>
        <v>4455673.832035277</v>
      </c>
      <c r="W168" s="42">
        <f t="shared" si="53"/>
        <v>4458503.9511275133</v>
      </c>
    </row>
    <row r="169" spans="2:23" x14ac:dyDescent="0.3">
      <c r="B169" s="2">
        <v>161</v>
      </c>
      <c r="C169" s="2">
        <v>1030</v>
      </c>
      <c r="D169" s="4">
        <v>670746.30000000005</v>
      </c>
      <c r="E169" s="4">
        <f t="shared" si="36"/>
        <v>690868689</v>
      </c>
      <c r="F169" s="2">
        <f t="shared" si="37"/>
        <v>1060900</v>
      </c>
      <c r="G169" s="2">
        <f t="shared" si="38"/>
        <v>449900598963.69006</v>
      </c>
      <c r="H169" s="42">
        <f t="shared" si="39"/>
        <v>-3994.4809999999998</v>
      </c>
      <c r="I169" s="2">
        <f t="shared" si="40"/>
        <v>15955878.459360998</v>
      </c>
      <c r="J169" s="4">
        <f t="shared" si="41"/>
        <v>-618355.59680999909</v>
      </c>
      <c r="K169" s="2">
        <f t="shared" si="42"/>
        <v>382363644106.25012</v>
      </c>
      <c r="L169" s="2">
        <f t="shared" si="43"/>
        <v>2470009682.7012019</v>
      </c>
      <c r="N169" s="42">
        <f t="shared" si="44"/>
        <v>277558.11661011924</v>
      </c>
      <c r="O169" s="42">
        <f t="shared" si="45"/>
        <v>1023220819261.063</v>
      </c>
      <c r="P169" s="4">
        <f t="shared" si="46"/>
        <v>393188.18338988081</v>
      </c>
      <c r="Q169" s="4">
        <f t="shared" si="47"/>
        <v>154596947557.43454</v>
      </c>
      <c r="R169" s="43">
        <f t="shared" si="48"/>
        <v>3.0100611735569553E-3</v>
      </c>
      <c r="S169" s="4">
        <f t="shared" si="49"/>
        <v>0.32361087512609349</v>
      </c>
      <c r="T169" s="30">
        <f t="shared" si="50"/>
        <v>146419.84370707048</v>
      </c>
      <c r="U169" s="31">
        <f t="shared" si="51"/>
        <v>408696.38951316802</v>
      </c>
      <c r="V169" s="31">
        <f t="shared" si="52"/>
        <v>2666592.2562144278</v>
      </c>
      <c r="W169" s="42">
        <f t="shared" si="53"/>
        <v>2671394.3899840289</v>
      </c>
    </row>
    <row r="170" spans="2:23" x14ac:dyDescent="0.3">
      <c r="B170" s="2">
        <v>162</v>
      </c>
      <c r="C170" s="2">
        <v>7945</v>
      </c>
      <c r="D170" s="4">
        <v>1224006.7</v>
      </c>
      <c r="E170" s="4">
        <f t="shared" si="36"/>
        <v>9724733231.5</v>
      </c>
      <c r="F170" s="2">
        <f t="shared" si="37"/>
        <v>63123025</v>
      </c>
      <c r="G170" s="2">
        <f t="shared" si="38"/>
        <v>1498192401644.8899</v>
      </c>
      <c r="H170" s="42">
        <f t="shared" si="39"/>
        <v>2920.5190000000002</v>
      </c>
      <c r="I170" s="2">
        <f t="shared" si="40"/>
        <v>8529431.2293610014</v>
      </c>
      <c r="J170" s="4">
        <f t="shared" si="41"/>
        <v>-65095.196809999179</v>
      </c>
      <c r="K170" s="2">
        <f t="shared" si="42"/>
        <v>4237384647.7325273</v>
      </c>
      <c r="L170" s="2">
        <f t="shared" si="43"/>
        <v>-190111759.09234202</v>
      </c>
      <c r="N170" s="42">
        <f t="shared" si="44"/>
        <v>2028680.5377912866</v>
      </c>
      <c r="O170" s="42">
        <f t="shared" si="45"/>
        <v>546976566195.72809</v>
      </c>
      <c r="P170" s="4">
        <f t="shared" si="46"/>
        <v>-804673.83779128664</v>
      </c>
      <c r="Q170" s="4">
        <f t="shared" si="47"/>
        <v>647499985225.75793</v>
      </c>
      <c r="R170" s="43">
        <f t="shared" si="48"/>
        <v>2.0745054614404058E-3</v>
      </c>
      <c r="S170" s="4">
        <f t="shared" si="49"/>
        <v>-0.66197084265036699</v>
      </c>
      <c r="T170" s="30">
        <f t="shared" si="50"/>
        <v>1919812.8272263247</v>
      </c>
      <c r="U170" s="31">
        <f t="shared" si="51"/>
        <v>2137548.2483562483</v>
      </c>
      <c r="V170" s="31">
        <f t="shared" si="52"/>
        <v>4418833.0827999189</v>
      </c>
      <c r="W170" s="42">
        <f t="shared" si="53"/>
        <v>4421400.1276104422</v>
      </c>
    </row>
    <row r="171" spans="2:23" x14ac:dyDescent="0.3">
      <c r="B171" s="2">
        <v>163</v>
      </c>
      <c r="C171" s="2">
        <v>8527</v>
      </c>
      <c r="D171" s="4">
        <v>3597456.03</v>
      </c>
      <c r="E171" s="4">
        <f t="shared" si="36"/>
        <v>30675507567.809998</v>
      </c>
      <c r="F171" s="2">
        <f t="shared" si="37"/>
        <v>72709729</v>
      </c>
      <c r="G171" s="2">
        <f t="shared" si="38"/>
        <v>12941689887783.359</v>
      </c>
      <c r="H171" s="42">
        <f t="shared" si="39"/>
        <v>3502.5190000000002</v>
      </c>
      <c r="I171" s="2">
        <f t="shared" si="40"/>
        <v>12267639.345361002</v>
      </c>
      <c r="J171" s="4">
        <f t="shared" si="41"/>
        <v>2308354.1331900004</v>
      </c>
      <c r="K171" s="2">
        <f t="shared" si="42"/>
        <v>5328498804215.3584</v>
      </c>
      <c r="L171" s="2">
        <f t="shared" si="43"/>
        <v>8085054210.2265072</v>
      </c>
      <c r="N171" s="42">
        <f t="shared" si="44"/>
        <v>2176063.5094655366</v>
      </c>
      <c r="O171" s="42">
        <f t="shared" si="45"/>
        <v>786700902324.5116</v>
      </c>
      <c r="P171" s="4">
        <f t="shared" si="46"/>
        <v>1421392.5205344632</v>
      </c>
      <c r="Q171" s="4">
        <f t="shared" si="47"/>
        <v>2020356697431.3145</v>
      </c>
      <c r="R171" s="43">
        <f t="shared" si="48"/>
        <v>2.5454307703655791E-3</v>
      </c>
      <c r="S171" s="4">
        <f t="shared" si="49"/>
        <v>1.1695949975549003</v>
      </c>
      <c r="T171" s="30">
        <f t="shared" si="50"/>
        <v>2055470.4138414308</v>
      </c>
      <c r="U171" s="31">
        <f t="shared" si="51"/>
        <v>2296656.6050896421</v>
      </c>
      <c r="V171" s="31">
        <f t="shared" si="52"/>
        <v>4565653.1545934798</v>
      </c>
      <c r="W171" s="42">
        <f t="shared" si="53"/>
        <v>4569345.2630024869</v>
      </c>
    </row>
    <row r="172" spans="2:23" x14ac:dyDescent="0.3">
      <c r="B172" s="2">
        <v>164</v>
      </c>
      <c r="C172" s="2">
        <v>4501</v>
      </c>
      <c r="D172" s="4">
        <v>2931096.21</v>
      </c>
      <c r="E172" s="4">
        <f t="shared" si="36"/>
        <v>13192864041.209999</v>
      </c>
      <c r="F172" s="2">
        <f t="shared" si="37"/>
        <v>20259001</v>
      </c>
      <c r="G172" s="2">
        <f t="shared" si="38"/>
        <v>8591324992276.3643</v>
      </c>
      <c r="H172" s="42">
        <f t="shared" si="39"/>
        <v>-523.48099999999977</v>
      </c>
      <c r="I172" s="2">
        <f t="shared" si="40"/>
        <v>274032.35736099974</v>
      </c>
      <c r="J172" s="4">
        <f t="shared" si="41"/>
        <v>1641994.3131900008</v>
      </c>
      <c r="K172" s="2">
        <f t="shared" si="42"/>
        <v>2696145324548.3027</v>
      </c>
      <c r="L172" s="2">
        <f t="shared" si="43"/>
        <v>-859552825.06301439</v>
      </c>
      <c r="N172" s="42">
        <f t="shared" si="44"/>
        <v>1156538.0043787139</v>
      </c>
      <c r="O172" s="42">
        <f t="shared" si="45"/>
        <v>17573185576.533363</v>
      </c>
      <c r="P172" s="4">
        <f t="shared" si="46"/>
        <v>1774558.2056212861</v>
      </c>
      <c r="Q172" s="4">
        <f t="shared" si="47"/>
        <v>3149056825137.8384</v>
      </c>
      <c r="R172" s="43">
        <f t="shared" si="48"/>
        <v>1.0345215591377531E-3</v>
      </c>
      <c r="S172" s="4">
        <f t="shared" si="49"/>
        <v>1.4590932452426717</v>
      </c>
      <c r="T172" s="30">
        <f t="shared" si="50"/>
        <v>1079658.3235617441</v>
      </c>
      <c r="U172" s="31">
        <f t="shared" si="51"/>
        <v>1233417.6851956837</v>
      </c>
      <c r="V172" s="31">
        <f t="shared" si="52"/>
        <v>3547933.179060719</v>
      </c>
      <c r="W172" s="42">
        <f t="shared" si="53"/>
        <v>3548015.6527006067</v>
      </c>
    </row>
    <row r="173" spans="2:23" x14ac:dyDescent="0.3">
      <c r="B173" s="2">
        <v>165</v>
      </c>
      <c r="C173" s="2">
        <v>4621</v>
      </c>
      <c r="D173" s="4">
        <v>1949553.69</v>
      </c>
      <c r="E173" s="4">
        <f t="shared" si="36"/>
        <v>9008887601.4899998</v>
      </c>
      <c r="F173" s="2">
        <f t="shared" si="37"/>
        <v>21353641</v>
      </c>
      <c r="G173" s="2">
        <f t="shared" si="38"/>
        <v>3800759590192.6157</v>
      </c>
      <c r="H173" s="42">
        <f t="shared" si="39"/>
        <v>-403.48099999999977</v>
      </c>
      <c r="I173" s="2">
        <f t="shared" si="40"/>
        <v>162796.91736099983</v>
      </c>
      <c r="J173" s="4">
        <f t="shared" si="41"/>
        <v>660451.79319000081</v>
      </c>
      <c r="K173" s="2">
        <f t="shared" si="42"/>
        <v>436196571127.88757</v>
      </c>
      <c r="L173" s="2">
        <f t="shared" si="43"/>
        <v>-266479749.96809456</v>
      </c>
      <c r="N173" s="42">
        <f t="shared" si="44"/>
        <v>1186926.2459610335</v>
      </c>
      <c r="O173" s="42">
        <f t="shared" si="45"/>
        <v>10439863626.409731</v>
      </c>
      <c r="P173" s="4">
        <f t="shared" si="46"/>
        <v>762627.44403896644</v>
      </c>
      <c r="Q173" s="4">
        <f t="shared" si="47"/>
        <v>581600618401.40686</v>
      </c>
      <c r="R173" s="43">
        <f t="shared" si="48"/>
        <v>1.020508539444917E-3</v>
      </c>
      <c r="S173" s="4">
        <f t="shared" si="49"/>
        <v>0.62705001406074135</v>
      </c>
      <c r="T173" s="30">
        <f t="shared" si="50"/>
        <v>1110569.0238422556</v>
      </c>
      <c r="U173" s="31">
        <f t="shared" si="51"/>
        <v>1263283.4680798114</v>
      </c>
      <c r="V173" s="31">
        <f t="shared" si="52"/>
        <v>3578338.1597569818</v>
      </c>
      <c r="W173" s="42">
        <f t="shared" si="53"/>
        <v>3578387.1556290947</v>
      </c>
    </row>
    <row r="174" spans="2:23" x14ac:dyDescent="0.3">
      <c r="B174" s="2">
        <v>166</v>
      </c>
      <c r="C174" s="2">
        <v>9673</v>
      </c>
      <c r="D174" s="4">
        <v>1057065.44</v>
      </c>
      <c r="E174" s="4">
        <f t="shared" si="36"/>
        <v>10224994001.119999</v>
      </c>
      <c r="F174" s="2">
        <f t="shared" si="37"/>
        <v>93566929</v>
      </c>
      <c r="G174" s="2">
        <f t="shared" si="38"/>
        <v>1117387344442.3936</v>
      </c>
      <c r="H174" s="42">
        <f t="shared" si="39"/>
        <v>4648.5190000000002</v>
      </c>
      <c r="I174" s="2">
        <f t="shared" si="40"/>
        <v>21608728.893361002</v>
      </c>
      <c r="J174" s="4">
        <f t="shared" si="41"/>
        <v>-232036.45680999919</v>
      </c>
      <c r="K174" s="2">
        <f t="shared" si="42"/>
        <v>53840917288.938622</v>
      </c>
      <c r="L174" s="2">
        <f t="shared" si="43"/>
        <v>-1078625878.1739607</v>
      </c>
      <c r="N174" s="42">
        <f t="shared" si="44"/>
        <v>2466271.2165766889</v>
      </c>
      <c r="O174" s="42">
        <f t="shared" si="45"/>
        <v>1385727607399.9712</v>
      </c>
      <c r="P174" s="4">
        <f t="shared" si="46"/>
        <v>-1409205.776576689</v>
      </c>
      <c r="Q174" s="4">
        <f t="shared" si="47"/>
        <v>1985860920737.1091</v>
      </c>
      <c r="R174" s="43">
        <f t="shared" si="48"/>
        <v>3.722185874572197E-3</v>
      </c>
      <c r="S174" s="4">
        <f t="shared" si="49"/>
        <v>-1.1602517269151358</v>
      </c>
      <c r="T174" s="30">
        <f t="shared" si="50"/>
        <v>2320443.2476306353</v>
      </c>
      <c r="U174" s="31">
        <f t="shared" si="51"/>
        <v>2612099.1855227426</v>
      </c>
      <c r="V174" s="31">
        <f t="shared" si="52"/>
        <v>4854453.699195629</v>
      </c>
      <c r="W174" s="42">
        <f t="shared" si="53"/>
        <v>4860957.1361969691</v>
      </c>
    </row>
    <row r="175" spans="2:23" x14ac:dyDescent="0.3">
      <c r="B175" s="2">
        <v>167</v>
      </c>
      <c r="C175" s="2">
        <v>7476</v>
      </c>
      <c r="D175" s="4">
        <v>3154049.64</v>
      </c>
      <c r="E175" s="4">
        <f t="shared" si="36"/>
        <v>23579675108.639999</v>
      </c>
      <c r="F175" s="2">
        <f t="shared" si="37"/>
        <v>55890576</v>
      </c>
      <c r="G175" s="2">
        <f t="shared" si="38"/>
        <v>9948029131584.1309</v>
      </c>
      <c r="H175" s="42">
        <f t="shared" si="39"/>
        <v>2451.5190000000002</v>
      </c>
      <c r="I175" s="2">
        <f t="shared" si="40"/>
        <v>6009945.4073610008</v>
      </c>
      <c r="J175" s="4">
        <f t="shared" si="41"/>
        <v>1864947.743190001</v>
      </c>
      <c r="K175" s="2">
        <f t="shared" si="42"/>
        <v>3478030084829.478</v>
      </c>
      <c r="L175" s="2">
        <f t="shared" si="43"/>
        <v>4571954826.4374084</v>
      </c>
      <c r="N175" s="42">
        <f t="shared" si="44"/>
        <v>1909913.1602737207</v>
      </c>
      <c r="O175" s="42">
        <f t="shared" si="45"/>
        <v>385406624843.42236</v>
      </c>
      <c r="P175" s="4">
        <f t="shared" si="46"/>
        <v>1244136.4797262794</v>
      </c>
      <c r="Q175" s="4">
        <f t="shared" si="47"/>
        <v>1547875580185.6987</v>
      </c>
      <c r="R175" s="43">
        <f t="shared" si="48"/>
        <v>1.7571101741155454E-3</v>
      </c>
      <c r="S175" s="4">
        <f t="shared" si="49"/>
        <v>1.0233352871439541</v>
      </c>
      <c r="T175" s="30">
        <f t="shared" si="50"/>
        <v>1809719.2570823254</v>
      </c>
      <c r="U175" s="31">
        <f t="shared" si="51"/>
        <v>2010107.0634651161</v>
      </c>
      <c r="V175" s="31">
        <f t="shared" si="52"/>
        <v>4300445.0150244934</v>
      </c>
      <c r="W175" s="42">
        <f t="shared" si="53"/>
        <v>4302253.7872199379</v>
      </c>
    </row>
    <row r="176" spans="2:23" x14ac:dyDescent="0.3">
      <c r="B176" s="2">
        <v>168</v>
      </c>
      <c r="C176" s="2">
        <v>7876</v>
      </c>
      <c r="D176" s="4">
        <v>1201720.08</v>
      </c>
      <c r="E176" s="4">
        <f t="shared" si="36"/>
        <v>9464747350.0799999</v>
      </c>
      <c r="F176" s="2">
        <f t="shared" si="37"/>
        <v>62031376</v>
      </c>
      <c r="G176" s="2">
        <f t="shared" si="38"/>
        <v>1444131150675.2065</v>
      </c>
      <c r="H176" s="42">
        <f t="shared" si="39"/>
        <v>2851.5190000000002</v>
      </c>
      <c r="I176" s="2">
        <f t="shared" si="40"/>
        <v>8131160.607361001</v>
      </c>
      <c r="J176" s="4">
        <f t="shared" si="41"/>
        <v>-87381.816809999058</v>
      </c>
      <c r="K176" s="2">
        <f t="shared" si="42"/>
        <v>7635581909.0162344</v>
      </c>
      <c r="L176" s="2">
        <f t="shared" si="43"/>
        <v>-249170910.88823172</v>
      </c>
      <c r="N176" s="42">
        <f t="shared" si="44"/>
        <v>2011207.2988814528</v>
      </c>
      <c r="O176" s="42">
        <f t="shared" si="45"/>
        <v>521436211700.7757</v>
      </c>
      <c r="P176" s="4">
        <f t="shared" si="46"/>
        <v>-809487.21888145269</v>
      </c>
      <c r="Q176" s="4">
        <f t="shared" si="47"/>
        <v>655269557532.42896</v>
      </c>
      <c r="R176" s="43">
        <f t="shared" si="48"/>
        <v>2.0243328359789156E-3</v>
      </c>
      <c r="S176" s="4">
        <f t="shared" si="49"/>
        <v>-0.66591386611603476</v>
      </c>
      <c r="T176" s="30">
        <f t="shared" si="50"/>
        <v>1903664.1475070163</v>
      </c>
      <c r="U176" s="31">
        <f t="shared" si="51"/>
        <v>2118750.4502558894</v>
      </c>
      <c r="V176" s="31">
        <f t="shared" si="52"/>
        <v>4401419.807719809</v>
      </c>
      <c r="W176" s="42">
        <f t="shared" si="53"/>
        <v>4403866.9877022924</v>
      </c>
    </row>
    <row r="177" spans="2:23" x14ac:dyDescent="0.3">
      <c r="B177" s="2">
        <v>169</v>
      </c>
      <c r="C177" s="2">
        <v>7755</v>
      </c>
      <c r="D177" s="4">
        <v>847466.4</v>
      </c>
      <c r="E177" s="4">
        <f t="shared" si="36"/>
        <v>6572101932</v>
      </c>
      <c r="F177" s="2">
        <f t="shared" si="37"/>
        <v>60140025</v>
      </c>
      <c r="G177" s="2">
        <f t="shared" si="38"/>
        <v>718199299128.96008</v>
      </c>
      <c r="H177" s="42">
        <f t="shared" si="39"/>
        <v>2730.5190000000002</v>
      </c>
      <c r="I177" s="2">
        <f t="shared" si="40"/>
        <v>7455734.0093610017</v>
      </c>
      <c r="J177" s="4">
        <f t="shared" si="41"/>
        <v>-441635.49680999911</v>
      </c>
      <c r="K177" s="2">
        <f t="shared" si="42"/>
        <v>195041912042.61475</v>
      </c>
      <c r="L177" s="2">
        <f t="shared" si="43"/>
        <v>-1205894115.1141422</v>
      </c>
      <c r="N177" s="42">
        <f t="shared" si="44"/>
        <v>1980565.8219526138</v>
      </c>
      <c r="O177" s="42">
        <f t="shared" si="45"/>
        <v>478122359773.63135</v>
      </c>
      <c r="P177" s="4">
        <f t="shared" si="46"/>
        <v>-1133099.4219526136</v>
      </c>
      <c r="Q177" s="4">
        <f t="shared" si="47"/>
        <v>1283914300029.3472</v>
      </c>
      <c r="R177" s="43">
        <f t="shared" si="48"/>
        <v>1.9392451497267709E-3</v>
      </c>
      <c r="S177" s="4">
        <f t="shared" si="49"/>
        <v>-0.93208939535473556</v>
      </c>
      <c r="T177" s="30">
        <f t="shared" si="50"/>
        <v>1875307.0846868388</v>
      </c>
      <c r="U177" s="31">
        <f t="shared" si="51"/>
        <v>2085824.5592183887</v>
      </c>
      <c r="V177" s="31">
        <f t="shared" si="52"/>
        <v>4370880.0199282914</v>
      </c>
      <c r="W177" s="42">
        <f t="shared" si="53"/>
        <v>4373123.9213248063</v>
      </c>
    </row>
    <row r="178" spans="2:23" x14ac:dyDescent="0.3">
      <c r="B178" s="2">
        <v>170</v>
      </c>
      <c r="C178" s="2">
        <v>6024</v>
      </c>
      <c r="D178" s="4">
        <v>1239136.8</v>
      </c>
      <c r="E178" s="4">
        <f t="shared" si="36"/>
        <v>7464560083.1999998</v>
      </c>
      <c r="F178" s="2">
        <f t="shared" si="37"/>
        <v>36288576</v>
      </c>
      <c r="G178" s="2">
        <f t="shared" si="38"/>
        <v>1535460009114.2402</v>
      </c>
      <c r="H178" s="42">
        <f t="shared" si="39"/>
        <v>999.51900000000023</v>
      </c>
      <c r="I178" s="2">
        <f t="shared" si="40"/>
        <v>999038.23136100045</v>
      </c>
      <c r="J178" s="4">
        <f t="shared" si="41"/>
        <v>-49965.096809999086</v>
      </c>
      <c r="K178" s="2">
        <f t="shared" si="42"/>
        <v>2496510899.2325807</v>
      </c>
      <c r="L178" s="2">
        <f t="shared" si="43"/>
        <v>-49941063.598433487</v>
      </c>
      <c r="N178" s="42">
        <f t="shared" si="44"/>
        <v>1542215.4371276535</v>
      </c>
      <c r="O178" s="42">
        <f t="shared" si="45"/>
        <v>64066464292.136848</v>
      </c>
      <c r="P178" s="4">
        <f t="shared" si="46"/>
        <v>-303078.63712765346</v>
      </c>
      <c r="Q178" s="4">
        <f t="shared" si="47"/>
        <v>91856660283.155838</v>
      </c>
      <c r="R178" s="43">
        <f t="shared" si="48"/>
        <v>1.12585505491737E-3</v>
      </c>
      <c r="S178" s="4">
        <f t="shared" si="49"/>
        <v>-0.24921144195675013</v>
      </c>
      <c r="T178" s="30">
        <f t="shared" si="50"/>
        <v>1462013.835766471</v>
      </c>
      <c r="U178" s="31">
        <f t="shared" si="51"/>
        <v>1622417.038488836</v>
      </c>
      <c r="V178" s="31">
        <f t="shared" si="52"/>
        <v>3933501.5074157729</v>
      </c>
      <c r="W178" s="42">
        <f t="shared" si="53"/>
        <v>3933802.1811036253</v>
      </c>
    </row>
    <row r="179" spans="2:23" x14ac:dyDescent="0.3">
      <c r="B179" s="2">
        <v>171</v>
      </c>
      <c r="C179" s="2">
        <v>8624</v>
      </c>
      <c r="D179" s="4">
        <v>1315849.9200000002</v>
      </c>
      <c r="E179" s="4">
        <f t="shared" si="36"/>
        <v>11347889710.080002</v>
      </c>
      <c r="F179" s="2">
        <f t="shared" si="37"/>
        <v>74373376</v>
      </c>
      <c r="G179" s="2">
        <f t="shared" si="38"/>
        <v>1731461011964.0068</v>
      </c>
      <c r="H179" s="42">
        <f t="shared" si="39"/>
        <v>3599.5190000000002</v>
      </c>
      <c r="I179" s="2">
        <f t="shared" si="40"/>
        <v>12956537.031361002</v>
      </c>
      <c r="J179" s="4">
        <f t="shared" si="41"/>
        <v>26748.023190001026</v>
      </c>
      <c r="K179" s="2">
        <f t="shared" si="42"/>
        <v>715456744.5728327</v>
      </c>
      <c r="L179" s="2">
        <f t="shared" si="43"/>
        <v>96280017.684849307</v>
      </c>
      <c r="N179" s="42">
        <f t="shared" si="44"/>
        <v>2200627.3380779116</v>
      </c>
      <c r="O179" s="42">
        <f t="shared" si="45"/>
        <v>830878630078.6626</v>
      </c>
      <c r="P179" s="4">
        <f t="shared" si="46"/>
        <v>-884777.41807791148</v>
      </c>
      <c r="Q179" s="4">
        <f t="shared" si="47"/>
        <v>782831079540.61536</v>
      </c>
      <c r="R179" s="43">
        <f t="shared" si="48"/>
        <v>2.6322154932944151E-3</v>
      </c>
      <c r="S179" s="4">
        <f t="shared" si="49"/>
        <v>-0.72807211835098629</v>
      </c>
      <c r="T179" s="30">
        <f t="shared" si="50"/>
        <v>2077995.7028772016</v>
      </c>
      <c r="U179" s="31">
        <f t="shared" si="51"/>
        <v>2323258.9732786217</v>
      </c>
      <c r="V179" s="31">
        <f t="shared" si="52"/>
        <v>4590113.234429446</v>
      </c>
      <c r="W179" s="42">
        <f t="shared" si="53"/>
        <v>4594012.6758479699</v>
      </c>
    </row>
    <row r="180" spans="2:23" x14ac:dyDescent="0.3">
      <c r="B180" s="2">
        <v>172</v>
      </c>
      <c r="C180" s="2">
        <v>3529</v>
      </c>
      <c r="D180" s="4">
        <v>2358324.83</v>
      </c>
      <c r="E180" s="4">
        <f t="shared" si="36"/>
        <v>8322528325.0700006</v>
      </c>
      <c r="F180" s="2">
        <f t="shared" si="37"/>
        <v>12453841</v>
      </c>
      <c r="G180" s="2">
        <f t="shared" si="38"/>
        <v>5561696003794.5293</v>
      </c>
      <c r="H180" s="42">
        <f t="shared" si="39"/>
        <v>-1495.4809999999998</v>
      </c>
      <c r="I180" s="2">
        <f t="shared" si="40"/>
        <v>2236463.4213609993</v>
      </c>
      <c r="J180" s="4">
        <f t="shared" si="41"/>
        <v>1069222.9331900009</v>
      </c>
      <c r="K180" s="2">
        <f t="shared" si="42"/>
        <v>1143237680859.4292</v>
      </c>
      <c r="L180" s="2">
        <f t="shared" si="43"/>
        <v>-1599002581.3499155</v>
      </c>
      <c r="N180" s="42">
        <f t="shared" si="44"/>
        <v>910393.24756192509</v>
      </c>
      <c r="O180" s="42">
        <f t="shared" si="45"/>
        <v>143420241015.30078</v>
      </c>
      <c r="P180" s="4">
        <f t="shared" si="46"/>
        <v>1447931.582438075</v>
      </c>
      <c r="Q180" s="4">
        <f t="shared" si="47"/>
        <v>2096505867421.6279</v>
      </c>
      <c r="R180" s="43">
        <f t="shared" si="48"/>
        <v>1.2817411965632462E-3</v>
      </c>
      <c r="S180" s="4">
        <f t="shared" si="49"/>
        <v>1.1906786997442127</v>
      </c>
      <c r="T180" s="30">
        <f t="shared" si="50"/>
        <v>824819.22044615226</v>
      </c>
      <c r="U180" s="31">
        <f t="shared" si="51"/>
        <v>995967.27467769792</v>
      </c>
      <c r="V180" s="31">
        <f t="shared" si="52"/>
        <v>3301493.0892034415</v>
      </c>
      <c r="W180" s="42">
        <f t="shared" si="53"/>
        <v>3302166.1822732249</v>
      </c>
    </row>
    <row r="181" spans="2:23" x14ac:dyDescent="0.3">
      <c r="B181" s="2">
        <v>173</v>
      </c>
      <c r="C181" s="2">
        <v>5745</v>
      </c>
      <c r="D181" s="4">
        <v>3741201.45</v>
      </c>
      <c r="E181" s="4">
        <f t="shared" si="36"/>
        <v>21493202330.25</v>
      </c>
      <c r="F181" s="2">
        <f t="shared" si="37"/>
        <v>33005025</v>
      </c>
      <c r="G181" s="2">
        <f t="shared" si="38"/>
        <v>13996588289482.104</v>
      </c>
      <c r="H181" s="42">
        <f t="shared" si="39"/>
        <v>720.51900000000023</v>
      </c>
      <c r="I181" s="2">
        <f t="shared" si="40"/>
        <v>519147.62936100032</v>
      </c>
      <c r="J181" s="4">
        <f t="shared" si="41"/>
        <v>2452099.5531900013</v>
      </c>
      <c r="K181" s="2">
        <f t="shared" si="42"/>
        <v>6012792218754.6035</v>
      </c>
      <c r="L181" s="2">
        <f t="shared" si="43"/>
        <v>1766784317.9649072</v>
      </c>
      <c r="N181" s="42">
        <f t="shared" si="44"/>
        <v>1471562.7754487605</v>
      </c>
      <c r="O181" s="42">
        <f t="shared" si="45"/>
        <v>33291972233.628799</v>
      </c>
      <c r="P181" s="4">
        <f t="shared" si="46"/>
        <v>2269638.6745512397</v>
      </c>
      <c r="Q181" s="4">
        <f t="shared" si="47"/>
        <v>5151259713018.708</v>
      </c>
      <c r="R181" s="43">
        <f t="shared" si="48"/>
        <v>1.0654002533160732E-3</v>
      </c>
      <c r="S181" s="4">
        <f t="shared" si="49"/>
        <v>1.8661916143350468</v>
      </c>
      <c r="T181" s="30">
        <f t="shared" si="50"/>
        <v>1393544.1675913117</v>
      </c>
      <c r="U181" s="31">
        <f t="shared" si="51"/>
        <v>1549581.3833062092</v>
      </c>
      <c r="V181" s="31">
        <f t="shared" si="52"/>
        <v>3862921.0638787649</v>
      </c>
      <c r="W181" s="42">
        <f t="shared" si="53"/>
        <v>3863077.30818167</v>
      </c>
    </row>
    <row r="182" spans="2:23" x14ac:dyDescent="0.3">
      <c r="B182" s="2">
        <v>174</v>
      </c>
      <c r="C182" s="2">
        <v>2308</v>
      </c>
      <c r="D182" s="4">
        <v>188632.84</v>
      </c>
      <c r="E182" s="4">
        <f t="shared" si="36"/>
        <v>435364594.71999997</v>
      </c>
      <c r="F182" s="2">
        <f t="shared" si="37"/>
        <v>5326864</v>
      </c>
      <c r="G182" s="2">
        <f t="shared" si="38"/>
        <v>35582348326.465599</v>
      </c>
      <c r="H182" s="42">
        <f t="shared" si="39"/>
        <v>-2716.4809999999998</v>
      </c>
      <c r="I182" s="2">
        <f t="shared" si="40"/>
        <v>7379269.0233609984</v>
      </c>
      <c r="J182" s="4">
        <f t="shared" si="41"/>
        <v>-1100469.056809999</v>
      </c>
      <c r="K182" s="2">
        <f t="shared" si="42"/>
        <v>1211032144996.2888</v>
      </c>
      <c r="L182" s="2">
        <f t="shared" si="43"/>
        <v>2989403283.9122829</v>
      </c>
      <c r="N182" s="42">
        <f t="shared" si="44"/>
        <v>601192.88946182304</v>
      </c>
      <c r="O182" s="42">
        <f t="shared" si="45"/>
        <v>473218802390.75299</v>
      </c>
      <c r="P182" s="4">
        <f t="shared" si="46"/>
        <v>-412560.04946182307</v>
      </c>
      <c r="Q182" s="4">
        <f t="shared" si="47"/>
        <v>170205794411.94189</v>
      </c>
      <c r="R182" s="43">
        <f t="shared" si="48"/>
        <v>1.9296123802188651E-3</v>
      </c>
      <c r="S182" s="4">
        <f t="shared" si="49"/>
        <v>-0.33937091830493588</v>
      </c>
      <c r="T182" s="30">
        <f t="shared" si="50"/>
        <v>496195.90234501543</v>
      </c>
      <c r="U182" s="31">
        <f t="shared" si="51"/>
        <v>706189.87657863065</v>
      </c>
      <c r="V182" s="31">
        <f t="shared" si="52"/>
        <v>2991518.5993832322</v>
      </c>
      <c r="W182" s="42">
        <f t="shared" si="53"/>
        <v>2993739.4876296204</v>
      </c>
    </row>
    <row r="183" spans="2:23" x14ac:dyDescent="0.3">
      <c r="B183" s="2">
        <v>175</v>
      </c>
      <c r="C183" s="2">
        <v>7284</v>
      </c>
      <c r="D183" s="4">
        <v>795995.52</v>
      </c>
      <c r="E183" s="4">
        <f t="shared" si="36"/>
        <v>5798031367.6800003</v>
      </c>
      <c r="F183" s="2">
        <f t="shared" si="37"/>
        <v>53056656</v>
      </c>
      <c r="G183" s="2">
        <f t="shared" si="38"/>
        <v>633608867860.07043</v>
      </c>
      <c r="H183" s="42">
        <f t="shared" si="39"/>
        <v>2259.5190000000002</v>
      </c>
      <c r="I183" s="2">
        <f t="shared" si="40"/>
        <v>5105426.1113610007</v>
      </c>
      <c r="J183" s="4">
        <f t="shared" si="41"/>
        <v>-493106.37680999911</v>
      </c>
      <c r="K183" s="2">
        <f t="shared" si="42"/>
        <v>243153898850.68484</v>
      </c>
      <c r="L183" s="2">
        <f t="shared" si="43"/>
        <v>-1114183227.4233525</v>
      </c>
      <c r="N183" s="42">
        <f t="shared" si="44"/>
        <v>1861291.9737420094</v>
      </c>
      <c r="O183" s="42">
        <f t="shared" si="45"/>
        <v>327401484139.45978</v>
      </c>
      <c r="P183" s="4">
        <f t="shared" si="46"/>
        <v>-1065296.4537420094</v>
      </c>
      <c r="Q183" s="4">
        <f t="shared" si="47"/>
        <v>1134856534355.301</v>
      </c>
      <c r="R183" s="43">
        <f t="shared" si="48"/>
        <v>1.6431622569103976E-3</v>
      </c>
      <c r="S183" s="4">
        <f t="shared" si="49"/>
        <v>-0.87618461131443104</v>
      </c>
      <c r="T183" s="30">
        <f t="shared" si="50"/>
        <v>1764401.2892295246</v>
      </c>
      <c r="U183" s="31">
        <f t="shared" si="51"/>
        <v>1958182.6582544942</v>
      </c>
      <c r="V183" s="31">
        <f t="shared" si="52"/>
        <v>4251959.9896048559</v>
      </c>
      <c r="W183" s="42">
        <f t="shared" si="53"/>
        <v>4253496.53477896</v>
      </c>
    </row>
    <row r="184" spans="2:23" x14ac:dyDescent="0.3">
      <c r="B184" s="2">
        <v>176</v>
      </c>
      <c r="C184" s="2">
        <v>6773</v>
      </c>
      <c r="D184" s="4">
        <v>1043448.38</v>
      </c>
      <c r="E184" s="4">
        <f t="shared" si="36"/>
        <v>7067275877.7399998</v>
      </c>
      <c r="F184" s="2">
        <f t="shared" si="37"/>
        <v>45873529</v>
      </c>
      <c r="G184" s="2">
        <f t="shared" si="38"/>
        <v>1088784521724.6244</v>
      </c>
      <c r="H184" s="42">
        <f t="shared" si="39"/>
        <v>1748.5190000000002</v>
      </c>
      <c r="I184" s="2">
        <f t="shared" si="40"/>
        <v>3057318.6933610006</v>
      </c>
      <c r="J184" s="4">
        <f t="shared" si="41"/>
        <v>-245653.51680999913</v>
      </c>
      <c r="K184" s="2">
        <f t="shared" si="42"/>
        <v>60345650321.120522</v>
      </c>
      <c r="L184" s="2">
        <f t="shared" si="43"/>
        <v>-429529841.55910289</v>
      </c>
      <c r="N184" s="42">
        <f t="shared" si="44"/>
        <v>1731888.7116706318</v>
      </c>
      <c r="O184" s="42">
        <f t="shared" si="45"/>
        <v>196060163414.42416</v>
      </c>
      <c r="P184" s="4">
        <f t="shared" si="46"/>
        <v>-688440.33167063177</v>
      </c>
      <c r="Q184" s="4">
        <f t="shared" si="47"/>
        <v>473950090270.76947</v>
      </c>
      <c r="R184" s="43">
        <f t="shared" si="48"/>
        <v>1.3851494367023991E-3</v>
      </c>
      <c r="S184" s="4">
        <f t="shared" si="49"/>
        <v>-0.56615498207577697</v>
      </c>
      <c r="T184" s="30">
        <f t="shared" si="50"/>
        <v>1642929.6663348691</v>
      </c>
      <c r="U184" s="31">
        <f t="shared" si="51"/>
        <v>1820847.7570063944</v>
      </c>
      <c r="V184" s="31">
        <f t="shared" si="52"/>
        <v>4122865.0091415718</v>
      </c>
      <c r="W184" s="42">
        <f t="shared" si="53"/>
        <v>4123785.1494052885</v>
      </c>
    </row>
    <row r="185" spans="2:23" x14ac:dyDescent="0.3">
      <c r="B185" s="2">
        <v>177</v>
      </c>
      <c r="C185" s="2">
        <v>3904</v>
      </c>
      <c r="D185" s="4">
        <v>595672.32000000007</v>
      </c>
      <c r="E185" s="4">
        <f t="shared" si="36"/>
        <v>2325504737.2800002</v>
      </c>
      <c r="F185" s="2">
        <f t="shared" si="37"/>
        <v>15241216</v>
      </c>
      <c r="G185" s="2">
        <f t="shared" si="38"/>
        <v>354825512814.1825</v>
      </c>
      <c r="H185" s="42">
        <f t="shared" si="39"/>
        <v>-1120.4809999999998</v>
      </c>
      <c r="I185" s="2">
        <f t="shared" si="40"/>
        <v>1255477.6713609996</v>
      </c>
      <c r="J185" s="4">
        <f t="shared" si="41"/>
        <v>-693429.57680999907</v>
      </c>
      <c r="K185" s="2">
        <f t="shared" si="42"/>
        <v>480844577994.89441</v>
      </c>
      <c r="L185" s="2">
        <f t="shared" si="43"/>
        <v>776974665.65364444</v>
      </c>
      <c r="N185" s="42">
        <f t="shared" si="44"/>
        <v>1005356.5025066738</v>
      </c>
      <c r="O185" s="42">
        <f t="shared" si="45"/>
        <v>80511448788.349564</v>
      </c>
      <c r="P185" s="4">
        <f t="shared" si="46"/>
        <v>-409684.18250667374</v>
      </c>
      <c r="Q185" s="4">
        <f t="shared" si="47"/>
        <v>167841129396.16156</v>
      </c>
      <c r="R185" s="43">
        <f t="shared" si="48"/>
        <v>1.1581603249171096E-3</v>
      </c>
      <c r="S185" s="4">
        <f t="shared" si="49"/>
        <v>-0.33687506941211415</v>
      </c>
      <c r="T185" s="30">
        <f t="shared" si="50"/>
        <v>924012.38715937908</v>
      </c>
      <c r="U185" s="31">
        <f t="shared" si="51"/>
        <v>1086700.6178539686</v>
      </c>
      <c r="V185" s="31">
        <f t="shared" si="52"/>
        <v>3396603.9806471653</v>
      </c>
      <c r="W185" s="42">
        <f t="shared" si="53"/>
        <v>3396981.833155755</v>
      </c>
    </row>
    <row r="186" spans="2:23" x14ac:dyDescent="0.3">
      <c r="B186" s="2">
        <v>178</v>
      </c>
      <c r="C186" s="2">
        <v>3839</v>
      </c>
      <c r="D186" s="4">
        <v>2499995.19</v>
      </c>
      <c r="E186" s="4">
        <f t="shared" si="36"/>
        <v>9597481534.4099998</v>
      </c>
      <c r="F186" s="2">
        <f t="shared" si="37"/>
        <v>14737921</v>
      </c>
      <c r="G186" s="2">
        <f t="shared" si="38"/>
        <v>6249975950023.1357</v>
      </c>
      <c r="H186" s="42">
        <f t="shared" si="39"/>
        <v>-1185.4809999999998</v>
      </c>
      <c r="I186" s="2">
        <f t="shared" si="40"/>
        <v>1405365.2013609994</v>
      </c>
      <c r="J186" s="4">
        <f t="shared" si="41"/>
        <v>1210893.2931900008</v>
      </c>
      <c r="K186" s="2">
        <f t="shared" si="42"/>
        <v>1466262567492.5251</v>
      </c>
      <c r="L186" s="2">
        <f t="shared" si="43"/>
        <v>-1435490992.1041751</v>
      </c>
      <c r="N186" s="42">
        <f t="shared" si="44"/>
        <v>988896.20498291729</v>
      </c>
      <c r="O186" s="42">
        <f t="shared" si="45"/>
        <v>90123457405.376831</v>
      </c>
      <c r="P186" s="4">
        <f t="shared" si="46"/>
        <v>1511098.9850170827</v>
      </c>
      <c r="Q186" s="4">
        <f t="shared" si="47"/>
        <v>2283420142519.6572</v>
      </c>
      <c r="R186" s="43">
        <f t="shared" si="48"/>
        <v>1.1770425886057374E-3</v>
      </c>
      <c r="S186" s="4">
        <f t="shared" si="49"/>
        <v>1.2425580700123113</v>
      </c>
      <c r="T186" s="30">
        <f t="shared" si="50"/>
        <v>906891.66677699785</v>
      </c>
      <c r="U186" s="31">
        <f t="shared" si="51"/>
        <v>1070900.7431888368</v>
      </c>
      <c r="V186" s="31">
        <f t="shared" si="52"/>
        <v>3380121.1259237574</v>
      </c>
      <c r="W186" s="42">
        <f t="shared" si="53"/>
        <v>3380544.0890551233</v>
      </c>
    </row>
    <row r="187" spans="2:23" x14ac:dyDescent="0.3">
      <c r="B187" s="2">
        <v>179</v>
      </c>
      <c r="C187" s="2">
        <v>8769</v>
      </c>
      <c r="D187" s="4">
        <v>5710460.4900000002</v>
      </c>
      <c r="E187" s="4">
        <f t="shared" si="36"/>
        <v>50075028036.810005</v>
      </c>
      <c r="F187" s="2">
        <f t="shared" si="37"/>
        <v>76895361</v>
      </c>
      <c r="G187" s="2">
        <f t="shared" si="38"/>
        <v>32609359007851.043</v>
      </c>
      <c r="H187" s="42">
        <f t="shared" si="39"/>
        <v>3744.5190000000002</v>
      </c>
      <c r="I187" s="2">
        <f t="shared" si="40"/>
        <v>14021422.541361002</v>
      </c>
      <c r="J187" s="4">
        <f t="shared" si="41"/>
        <v>4421358.5931900013</v>
      </c>
      <c r="K187" s="2">
        <f t="shared" si="42"/>
        <v>19548411809575.066</v>
      </c>
      <c r="L187" s="2">
        <f t="shared" si="43"/>
        <v>16555861258.013231</v>
      </c>
      <c r="N187" s="42">
        <f t="shared" si="44"/>
        <v>2237346.4633232146</v>
      </c>
      <c r="O187" s="42">
        <f t="shared" si="45"/>
        <v>899167757921.83582</v>
      </c>
      <c r="P187" s="4">
        <f t="shared" si="46"/>
        <v>3473114.0266767857</v>
      </c>
      <c r="Q187" s="4">
        <f t="shared" si="47"/>
        <v>12062521042299.037</v>
      </c>
      <c r="R187" s="43">
        <f t="shared" si="48"/>
        <v>2.7663657391355408E-3</v>
      </c>
      <c r="S187" s="4">
        <f t="shared" si="49"/>
        <v>2.8581737182138589</v>
      </c>
      <c r="T187" s="30">
        <f t="shared" si="50"/>
        <v>2111628.7139970632</v>
      </c>
      <c r="U187" s="31">
        <f t="shared" si="51"/>
        <v>2363064.2126493659</v>
      </c>
      <c r="V187" s="31">
        <f t="shared" si="52"/>
        <v>4626671.9778396562</v>
      </c>
      <c r="W187" s="42">
        <f t="shared" si="53"/>
        <v>4630891.9108959828</v>
      </c>
    </row>
    <row r="188" spans="2:23" x14ac:dyDescent="0.3">
      <c r="B188" s="2">
        <v>180</v>
      </c>
      <c r="C188" s="2">
        <v>2919</v>
      </c>
      <c r="D188" s="4">
        <v>138506.55000000002</v>
      </c>
      <c r="E188" s="4">
        <f t="shared" si="36"/>
        <v>404300619.45000005</v>
      </c>
      <c r="F188" s="2">
        <f t="shared" si="37"/>
        <v>8520561</v>
      </c>
      <c r="G188" s="2">
        <f t="shared" si="38"/>
        <v>19184064392.902504</v>
      </c>
      <c r="H188" s="42">
        <f t="shared" si="39"/>
        <v>-2105.4809999999998</v>
      </c>
      <c r="I188" s="2">
        <f t="shared" si="40"/>
        <v>4433050.2413609987</v>
      </c>
      <c r="J188" s="4">
        <f t="shared" si="41"/>
        <v>-1150595.3468099991</v>
      </c>
      <c r="K188" s="2">
        <f t="shared" si="42"/>
        <v>1323869652100.822</v>
      </c>
      <c r="L188" s="2">
        <f t="shared" si="43"/>
        <v>2422556641.3968635</v>
      </c>
      <c r="N188" s="42">
        <f t="shared" si="44"/>
        <v>755919.68618513364</v>
      </c>
      <c r="O188" s="42">
        <f t="shared" si="45"/>
        <v>284283269726.81842</v>
      </c>
      <c r="P188" s="4">
        <f t="shared" si="46"/>
        <v>-617413.1361851336</v>
      </c>
      <c r="Q188" s="4">
        <f t="shared" si="47"/>
        <v>381198980733.96234</v>
      </c>
      <c r="R188" s="43">
        <f t="shared" si="48"/>
        <v>1.5584588898243518E-3</v>
      </c>
      <c r="S188" s="4">
        <f t="shared" si="49"/>
        <v>-0.50778817454962133</v>
      </c>
      <c r="T188" s="30">
        <f t="shared" si="50"/>
        <v>661559.3511821212</v>
      </c>
      <c r="U188" s="31">
        <f t="shared" si="51"/>
        <v>850280.02118814609</v>
      </c>
      <c r="V188" s="31">
        <f t="shared" si="52"/>
        <v>3146688.9126043241</v>
      </c>
      <c r="W188" s="42">
        <f t="shared" si="53"/>
        <v>3148023.0973951453</v>
      </c>
    </row>
    <row r="189" spans="2:23" x14ac:dyDescent="0.3">
      <c r="B189" s="2">
        <v>181</v>
      </c>
      <c r="C189" s="2">
        <v>7544</v>
      </c>
      <c r="D189" s="4">
        <v>1551800.7999999998</v>
      </c>
      <c r="E189" s="4">
        <f t="shared" si="36"/>
        <v>11706785235.199999</v>
      </c>
      <c r="F189" s="2">
        <f t="shared" si="37"/>
        <v>56911936</v>
      </c>
      <c r="G189" s="2">
        <f t="shared" si="38"/>
        <v>2408085722880.6396</v>
      </c>
      <c r="H189" s="42">
        <f t="shared" si="39"/>
        <v>2519.5190000000002</v>
      </c>
      <c r="I189" s="2">
        <f t="shared" si="40"/>
        <v>6347975.9913610015</v>
      </c>
      <c r="J189" s="4">
        <f t="shared" si="41"/>
        <v>262698.90319000068</v>
      </c>
      <c r="K189" s="2">
        <f t="shared" si="42"/>
        <v>69010713737.229355</v>
      </c>
      <c r="L189" s="2">
        <f t="shared" si="43"/>
        <v>661874877.86636734</v>
      </c>
      <c r="N189" s="42">
        <f t="shared" si="44"/>
        <v>1927133.1638370352</v>
      </c>
      <c r="O189" s="42">
        <f t="shared" si="45"/>
        <v>407083897704.125</v>
      </c>
      <c r="P189" s="4">
        <f t="shared" si="46"/>
        <v>-375332.36383703537</v>
      </c>
      <c r="Q189" s="4">
        <f t="shared" si="47"/>
        <v>140874383343.4967</v>
      </c>
      <c r="R189" s="43">
        <f t="shared" si="48"/>
        <v>1.7996939876049594E-3</v>
      </c>
      <c r="S189" s="4">
        <f t="shared" si="49"/>
        <v>-0.30872741959130667</v>
      </c>
      <c r="T189" s="30">
        <f t="shared" si="50"/>
        <v>1825732.422143599</v>
      </c>
      <c r="U189" s="31">
        <f t="shared" si="51"/>
        <v>2028533.9055304714</v>
      </c>
      <c r="V189" s="31">
        <f t="shared" si="52"/>
        <v>4317614.131424712</v>
      </c>
      <c r="W189" s="42">
        <f t="shared" si="53"/>
        <v>4319524.6383906193</v>
      </c>
    </row>
    <row r="190" spans="2:23" x14ac:dyDescent="0.3">
      <c r="B190" s="2">
        <v>182</v>
      </c>
      <c r="C190" s="2">
        <v>5929</v>
      </c>
      <c r="D190" s="4">
        <v>647921.12</v>
      </c>
      <c r="E190" s="4">
        <f t="shared" si="36"/>
        <v>3841524320.48</v>
      </c>
      <c r="F190" s="2">
        <f t="shared" si="37"/>
        <v>35153041</v>
      </c>
      <c r="G190" s="2">
        <f t="shared" si="38"/>
        <v>419801777742.05438</v>
      </c>
      <c r="H190" s="42">
        <f t="shared" si="39"/>
        <v>904.51900000000023</v>
      </c>
      <c r="I190" s="2">
        <f t="shared" si="40"/>
        <v>818154.62136100046</v>
      </c>
      <c r="J190" s="4">
        <f t="shared" si="41"/>
        <v>-641180.77680999914</v>
      </c>
      <c r="K190" s="2">
        <f t="shared" si="42"/>
        <v>411112788550.67395</v>
      </c>
      <c r="L190" s="2">
        <f t="shared" si="43"/>
        <v>-579960195.05940378</v>
      </c>
      <c r="N190" s="42">
        <f t="shared" si="44"/>
        <v>1518158.0792083172</v>
      </c>
      <c r="O190" s="42">
        <f t="shared" si="45"/>
        <v>52466734694.891563</v>
      </c>
      <c r="P190" s="4">
        <f t="shared" si="46"/>
        <v>-870236.95920831722</v>
      </c>
      <c r="Q190" s="4">
        <f t="shared" si="47"/>
        <v>757312365172.13831</v>
      </c>
      <c r="R190" s="43">
        <f t="shared" si="48"/>
        <v>1.103068022393911E-3</v>
      </c>
      <c r="S190" s="4">
        <f t="shared" si="49"/>
        <v>-0.71555862800103076</v>
      </c>
      <c r="T190" s="30">
        <f t="shared" si="50"/>
        <v>1438772.2571954762</v>
      </c>
      <c r="U190" s="31">
        <f t="shared" si="51"/>
        <v>1597543.9012211582</v>
      </c>
      <c r="V190" s="31">
        <f t="shared" si="52"/>
        <v>3909471.3707028129</v>
      </c>
      <c r="W190" s="42">
        <f t="shared" si="53"/>
        <v>3909717.605090403</v>
      </c>
    </row>
    <row r="191" spans="2:23" x14ac:dyDescent="0.3">
      <c r="B191" s="2">
        <v>183</v>
      </c>
      <c r="C191" s="2">
        <v>8392</v>
      </c>
      <c r="D191" s="4">
        <v>1726234.4</v>
      </c>
      <c r="E191" s="4">
        <f t="shared" si="36"/>
        <v>14486559084.799999</v>
      </c>
      <c r="F191" s="2">
        <f t="shared" si="37"/>
        <v>70425664</v>
      </c>
      <c r="G191" s="2">
        <f t="shared" si="38"/>
        <v>2979885203743.3599</v>
      </c>
      <c r="H191" s="42">
        <f t="shared" si="39"/>
        <v>3367.5190000000002</v>
      </c>
      <c r="I191" s="2">
        <f t="shared" si="40"/>
        <v>11340184.215361001</v>
      </c>
      <c r="J191" s="4">
        <f t="shared" si="41"/>
        <v>437132.50319000077</v>
      </c>
      <c r="K191" s="2">
        <f t="shared" si="42"/>
        <v>191084825345.15604</v>
      </c>
      <c r="L191" s="2">
        <f t="shared" si="43"/>
        <v>1472052010.0098884</v>
      </c>
      <c r="N191" s="42">
        <f t="shared" si="44"/>
        <v>2141876.7376854271</v>
      </c>
      <c r="O191" s="42">
        <f t="shared" si="45"/>
        <v>727224929230.11145</v>
      </c>
      <c r="P191" s="4">
        <f t="shared" si="46"/>
        <v>-415642.33768542716</v>
      </c>
      <c r="Q191" s="4">
        <f t="shared" si="47"/>
        <v>172758552876.60666</v>
      </c>
      <c r="R191" s="43">
        <f t="shared" si="48"/>
        <v>2.4285934836077629E-3</v>
      </c>
      <c r="S191" s="4">
        <f t="shared" si="49"/>
        <v>-0.34199190068370244</v>
      </c>
      <c r="T191" s="30">
        <f t="shared" si="50"/>
        <v>2024083.8112588155</v>
      </c>
      <c r="U191" s="31">
        <f t="shared" si="51"/>
        <v>2259669.6641120389</v>
      </c>
      <c r="V191" s="31">
        <f t="shared" si="52"/>
        <v>4531606.0514987614</v>
      </c>
      <c r="W191" s="42">
        <f t="shared" si="53"/>
        <v>4535019.0298646521</v>
      </c>
    </row>
    <row r="192" spans="2:23" x14ac:dyDescent="0.3">
      <c r="B192" s="2">
        <v>184</v>
      </c>
      <c r="C192" s="2">
        <v>7281</v>
      </c>
      <c r="D192" s="4">
        <v>4865673.87</v>
      </c>
      <c r="E192" s="4">
        <f t="shared" si="36"/>
        <v>35426971447.470001</v>
      </c>
      <c r="F192" s="2">
        <f t="shared" si="37"/>
        <v>53012961</v>
      </c>
      <c r="G192" s="2">
        <f t="shared" si="38"/>
        <v>23674782209200.777</v>
      </c>
      <c r="H192" s="42">
        <f t="shared" si="39"/>
        <v>2256.5190000000002</v>
      </c>
      <c r="I192" s="2">
        <f t="shared" si="40"/>
        <v>5091877.9973610006</v>
      </c>
      <c r="J192" s="4">
        <f t="shared" si="41"/>
        <v>3576571.9731900012</v>
      </c>
      <c r="K192" s="2">
        <f t="shared" si="42"/>
        <v>12791867079408.219</v>
      </c>
      <c r="L192" s="2">
        <f t="shared" si="43"/>
        <v>8070602612.3707294</v>
      </c>
      <c r="N192" s="42">
        <f t="shared" si="44"/>
        <v>1860532.2677024514</v>
      </c>
      <c r="O192" s="42">
        <f t="shared" si="45"/>
        <v>326532668778.28558</v>
      </c>
      <c r="P192" s="4">
        <f t="shared" si="46"/>
        <v>3005141.6022975487</v>
      </c>
      <c r="Q192" s="4">
        <f t="shared" si="47"/>
        <v>9030876049859.4785</v>
      </c>
      <c r="R192" s="43">
        <f t="shared" si="48"/>
        <v>1.6414555167897776E-3</v>
      </c>
      <c r="S192" s="4">
        <f t="shared" si="49"/>
        <v>2.4716655789437816</v>
      </c>
      <c r="T192" s="30">
        <f t="shared" si="50"/>
        <v>1763691.9160714608</v>
      </c>
      <c r="U192" s="31">
        <f t="shared" si="51"/>
        <v>1957372.6193334421</v>
      </c>
      <c r="V192" s="31">
        <f t="shared" si="52"/>
        <v>4251202.3229612028</v>
      </c>
      <c r="W192" s="42">
        <f t="shared" si="53"/>
        <v>4252734.7906516911</v>
      </c>
    </row>
    <row r="193" spans="2:23" x14ac:dyDescent="0.3">
      <c r="B193" s="2">
        <v>185</v>
      </c>
      <c r="C193" s="2">
        <v>1977</v>
      </c>
      <c r="D193" s="4">
        <v>1287442.1700000002</v>
      </c>
      <c r="E193" s="4">
        <f t="shared" si="36"/>
        <v>2545273170.0900002</v>
      </c>
      <c r="F193" s="2">
        <f t="shared" si="37"/>
        <v>3908529</v>
      </c>
      <c r="G193" s="2">
        <f t="shared" si="38"/>
        <v>1657507341094.3093</v>
      </c>
      <c r="H193" s="42">
        <f t="shared" si="39"/>
        <v>-3047.4809999999998</v>
      </c>
      <c r="I193" s="2">
        <f t="shared" si="40"/>
        <v>9287140.4453609977</v>
      </c>
      <c r="J193" s="4">
        <f t="shared" si="41"/>
        <v>-1659.7268099989742</v>
      </c>
      <c r="K193" s="2">
        <f t="shared" si="42"/>
        <v>2754693.0838293708</v>
      </c>
      <c r="L193" s="2">
        <f t="shared" si="43"/>
        <v>5057985.9186624838</v>
      </c>
      <c r="N193" s="42">
        <f t="shared" si="44"/>
        <v>517371.98976392479</v>
      </c>
      <c r="O193" s="42">
        <f t="shared" si="45"/>
        <v>595567049429.34241</v>
      </c>
      <c r="P193" s="4">
        <f t="shared" si="46"/>
        <v>770070.18023607531</v>
      </c>
      <c r="Q193" s="4">
        <f t="shared" si="47"/>
        <v>593008082488.82153</v>
      </c>
      <c r="R193" s="43">
        <f t="shared" si="48"/>
        <v>2.1699588004594388E-3</v>
      </c>
      <c r="S193" s="4">
        <f t="shared" si="49"/>
        <v>0.63353418967084763</v>
      </c>
      <c r="T193" s="30">
        <f t="shared" si="50"/>
        <v>406027.80421104876</v>
      </c>
      <c r="U193" s="31">
        <f t="shared" si="51"/>
        <v>628716.17531680083</v>
      </c>
      <c r="V193" s="31">
        <f t="shared" si="52"/>
        <v>2907410.4495294704</v>
      </c>
      <c r="W193" s="42">
        <f t="shared" si="53"/>
        <v>2910205.536995559</v>
      </c>
    </row>
    <row r="194" spans="2:23" x14ac:dyDescent="0.3">
      <c r="B194" s="2">
        <v>186</v>
      </c>
      <c r="C194" s="2">
        <v>3890</v>
      </c>
      <c r="D194" s="4">
        <v>184580.5</v>
      </c>
      <c r="E194" s="4">
        <f t="shared" si="36"/>
        <v>718018145</v>
      </c>
      <c r="F194" s="2">
        <f t="shared" si="37"/>
        <v>15132100</v>
      </c>
      <c r="G194" s="2">
        <f t="shared" si="38"/>
        <v>34069960980.25</v>
      </c>
      <c r="H194" s="42">
        <f t="shared" si="39"/>
        <v>-1134.4809999999998</v>
      </c>
      <c r="I194" s="2">
        <f t="shared" si="40"/>
        <v>1287047.1393609995</v>
      </c>
      <c r="J194" s="4">
        <f t="shared" si="41"/>
        <v>-1104521.3968099991</v>
      </c>
      <c r="K194" s="2">
        <f t="shared" si="42"/>
        <v>1219967516011.1116</v>
      </c>
      <c r="L194" s="2">
        <f t="shared" si="43"/>
        <v>1253058538.7744043</v>
      </c>
      <c r="N194" s="42">
        <f t="shared" si="44"/>
        <v>1001811.2076554032</v>
      </c>
      <c r="O194" s="42">
        <f t="shared" si="45"/>
        <v>82535940074.922668</v>
      </c>
      <c r="P194" s="4">
        <f t="shared" si="46"/>
        <v>-817230.70765540318</v>
      </c>
      <c r="Q194" s="4">
        <f t="shared" si="47"/>
        <v>667866029534.95105</v>
      </c>
      <c r="R194" s="43">
        <f t="shared" si="48"/>
        <v>1.1621373270018439E-3</v>
      </c>
      <c r="S194" s="4">
        <f t="shared" si="49"/>
        <v>-0.6719937239525372</v>
      </c>
      <c r="T194" s="30">
        <f t="shared" si="50"/>
        <v>920327.5483849009</v>
      </c>
      <c r="U194" s="31">
        <f t="shared" si="51"/>
        <v>1083294.8669259055</v>
      </c>
      <c r="V194" s="31">
        <f t="shared" si="52"/>
        <v>3393053.9347926513</v>
      </c>
      <c r="W194" s="42">
        <f t="shared" si="53"/>
        <v>3393441.2885476812</v>
      </c>
    </row>
    <row r="195" spans="2:23" x14ac:dyDescent="0.3">
      <c r="B195" s="2">
        <v>187</v>
      </c>
      <c r="C195" s="2">
        <v>1464</v>
      </c>
      <c r="D195" s="4">
        <v>69466.8</v>
      </c>
      <c r="E195" s="4">
        <f t="shared" si="36"/>
        <v>101699395.2</v>
      </c>
      <c r="F195" s="2">
        <f t="shared" si="37"/>
        <v>2143296</v>
      </c>
      <c r="G195" s="2">
        <f t="shared" si="38"/>
        <v>4825636302.2400007</v>
      </c>
      <c r="H195" s="42">
        <f t="shared" si="39"/>
        <v>-3560.4809999999998</v>
      </c>
      <c r="I195" s="2">
        <f t="shared" si="40"/>
        <v>12677024.951360999</v>
      </c>
      <c r="J195" s="4">
        <f t="shared" si="41"/>
        <v>-1219635.0968099991</v>
      </c>
      <c r="K195" s="2">
        <f t="shared" si="42"/>
        <v>1487509769370.7358</v>
      </c>
      <c r="L195" s="2">
        <f t="shared" si="43"/>
        <v>4342487589.1251621</v>
      </c>
      <c r="N195" s="42">
        <f t="shared" si="44"/>
        <v>387462.25699950848</v>
      </c>
      <c r="O195" s="42">
        <f t="shared" si="45"/>
        <v>812954040077.59131</v>
      </c>
      <c r="P195" s="4">
        <f t="shared" si="46"/>
        <v>-317995.45699950849</v>
      </c>
      <c r="Q195" s="4">
        <f t="shared" si="47"/>
        <v>101121110672.32625</v>
      </c>
      <c r="R195" s="43">
        <f t="shared" si="48"/>
        <v>2.597003619439953E-3</v>
      </c>
      <c r="S195" s="4">
        <f t="shared" si="49"/>
        <v>-0.26166981031986947</v>
      </c>
      <c r="T195" s="30">
        <f t="shared" si="50"/>
        <v>265653.62207294267</v>
      </c>
      <c r="U195" s="31">
        <f t="shared" si="51"/>
        <v>509270.89192607428</v>
      </c>
      <c r="V195" s="31">
        <f t="shared" si="52"/>
        <v>2776990.2487318134</v>
      </c>
      <c r="W195" s="42">
        <f t="shared" si="53"/>
        <v>2780805.5672338274</v>
      </c>
    </row>
    <row r="196" spans="2:23" x14ac:dyDescent="0.3">
      <c r="B196" s="2">
        <v>188</v>
      </c>
      <c r="C196" s="2">
        <v>5171</v>
      </c>
      <c r="D196" s="4">
        <v>788991.18</v>
      </c>
      <c r="E196" s="4">
        <f t="shared" si="36"/>
        <v>4079873391.7800002</v>
      </c>
      <c r="F196" s="2">
        <f t="shared" si="37"/>
        <v>26739241</v>
      </c>
      <c r="G196" s="2">
        <f t="shared" si="38"/>
        <v>622507082117.79248</v>
      </c>
      <c r="H196" s="42">
        <f t="shared" si="39"/>
        <v>146.51900000000023</v>
      </c>
      <c r="I196" s="2">
        <f t="shared" si="40"/>
        <v>21467.817361000067</v>
      </c>
      <c r="J196" s="4">
        <f t="shared" si="41"/>
        <v>-500110.71680999908</v>
      </c>
      <c r="K196" s="2">
        <f t="shared" si="42"/>
        <v>250110729068.21109</v>
      </c>
      <c r="L196" s="2">
        <f t="shared" si="43"/>
        <v>-73275722.11628437</v>
      </c>
      <c r="N196" s="42">
        <f t="shared" si="44"/>
        <v>1326205.6865466649</v>
      </c>
      <c r="O196" s="42">
        <f t="shared" si="45"/>
        <v>1376691212.8227053</v>
      </c>
      <c r="P196" s="4">
        <f t="shared" si="46"/>
        <v>-537214.50654666487</v>
      </c>
      <c r="Q196" s="4">
        <f t="shared" si="47"/>
        <v>288599426044.17664</v>
      </c>
      <c r="R196" s="43">
        <f t="shared" si="48"/>
        <v>1.002704434373091E-3</v>
      </c>
      <c r="S196" s="4">
        <f t="shared" si="49"/>
        <v>-0.44170632035974983</v>
      </c>
      <c r="T196" s="30">
        <f t="shared" si="50"/>
        <v>1250517.4709519076</v>
      </c>
      <c r="U196" s="31">
        <f t="shared" si="51"/>
        <v>1401893.9021414223</v>
      </c>
      <c r="V196" s="31">
        <f t="shared" si="52"/>
        <v>3717638.8678910602</v>
      </c>
      <c r="W196" s="42">
        <f t="shared" si="53"/>
        <v>3717645.3289128719</v>
      </c>
    </row>
    <row r="197" spans="2:23" x14ac:dyDescent="0.3">
      <c r="B197" s="2">
        <v>189</v>
      </c>
      <c r="C197" s="2">
        <v>2516</v>
      </c>
      <c r="D197" s="4">
        <v>517541.19999999995</v>
      </c>
      <c r="E197" s="4">
        <f t="shared" si="36"/>
        <v>1302133659.1999998</v>
      </c>
      <c r="F197" s="2">
        <f t="shared" si="37"/>
        <v>6330256</v>
      </c>
      <c r="G197" s="2">
        <f t="shared" si="38"/>
        <v>267848893697.43994</v>
      </c>
      <c r="H197" s="42">
        <f t="shared" si="39"/>
        <v>-2508.4809999999998</v>
      </c>
      <c r="I197" s="2">
        <f t="shared" si="40"/>
        <v>6292476.9273609985</v>
      </c>
      <c r="J197" s="4">
        <f t="shared" si="41"/>
        <v>-771560.69680999918</v>
      </c>
      <c r="K197" s="2">
        <f t="shared" si="42"/>
        <v>595305908861.93152</v>
      </c>
      <c r="L197" s="2">
        <f t="shared" si="43"/>
        <v>1935445348.2946434</v>
      </c>
      <c r="N197" s="42">
        <f t="shared" si="44"/>
        <v>653865.84153784369</v>
      </c>
      <c r="O197" s="42">
        <f t="shared" si="45"/>
        <v>403524845917.72894</v>
      </c>
      <c r="P197" s="4">
        <f t="shared" si="46"/>
        <v>-136324.64153784374</v>
      </c>
      <c r="Q197" s="4">
        <f t="shared" si="47"/>
        <v>18584407890.421589</v>
      </c>
      <c r="R197" s="43">
        <f t="shared" si="48"/>
        <v>1.7927024255922949E-3</v>
      </c>
      <c r="S197" s="4">
        <f t="shared" si="49"/>
        <v>-0.11213263622264685</v>
      </c>
      <c r="T197" s="30">
        <f t="shared" si="50"/>
        <v>552662.255433638</v>
      </c>
      <c r="U197" s="31">
        <f t="shared" si="51"/>
        <v>755069.42764204938</v>
      </c>
      <c r="V197" s="31">
        <f t="shared" si="52"/>
        <v>3044355.1640353417</v>
      </c>
      <c r="W197" s="42">
        <f t="shared" si="53"/>
        <v>3046248.9678244852</v>
      </c>
    </row>
    <row r="198" spans="2:23" x14ac:dyDescent="0.3">
      <c r="B198" s="2">
        <v>190</v>
      </c>
      <c r="C198" s="2">
        <v>3036</v>
      </c>
      <c r="D198" s="4">
        <v>1327339.2</v>
      </c>
      <c r="E198" s="4">
        <f t="shared" si="36"/>
        <v>4029801811.1999998</v>
      </c>
      <c r="F198" s="2">
        <f t="shared" si="37"/>
        <v>9217296</v>
      </c>
      <c r="G198" s="2">
        <f t="shared" si="38"/>
        <v>1761829351856.6399</v>
      </c>
      <c r="H198" s="42">
        <f t="shared" si="39"/>
        <v>-1988.4809999999998</v>
      </c>
      <c r="I198" s="2">
        <f t="shared" si="40"/>
        <v>3954056.6873609992</v>
      </c>
      <c r="J198" s="4">
        <f t="shared" si="41"/>
        <v>38237.303190000821</v>
      </c>
      <c r="K198" s="2">
        <f t="shared" si="42"/>
        <v>1462091355.2440469</v>
      </c>
      <c r="L198" s="2">
        <f t="shared" si="43"/>
        <v>-76034150.88455601</v>
      </c>
      <c r="N198" s="42">
        <f t="shared" si="44"/>
        <v>785548.22172789532</v>
      </c>
      <c r="O198" s="42">
        <f t="shared" si="45"/>
        <v>253566303688.69299</v>
      </c>
      <c r="P198" s="4">
        <f t="shared" si="46"/>
        <v>541790.97827210464</v>
      </c>
      <c r="Q198" s="4">
        <f t="shared" si="47"/>
        <v>293537464137.04413</v>
      </c>
      <c r="R198" s="43">
        <f t="shared" si="48"/>
        <v>1.4981170949346699E-3</v>
      </c>
      <c r="S198" s="4">
        <f t="shared" si="49"/>
        <v>0.44557966566233354</v>
      </c>
      <c r="T198" s="30">
        <f t="shared" si="50"/>
        <v>693032.68374026276</v>
      </c>
      <c r="U198" s="31">
        <f t="shared" si="51"/>
        <v>878063.75971552788</v>
      </c>
      <c r="V198" s="31">
        <f t="shared" si="52"/>
        <v>3176389.546878051</v>
      </c>
      <c r="W198" s="42">
        <f t="shared" si="53"/>
        <v>3177579.5722477492</v>
      </c>
    </row>
    <row r="199" spans="2:23" x14ac:dyDescent="0.3">
      <c r="B199" s="2">
        <v>191</v>
      </c>
      <c r="C199" s="2">
        <v>3298</v>
      </c>
      <c r="D199" s="4">
        <v>30770.34</v>
      </c>
      <c r="E199" s="4">
        <f t="shared" si="36"/>
        <v>101480581.32000001</v>
      </c>
      <c r="F199" s="2">
        <f t="shared" si="37"/>
        <v>10876804</v>
      </c>
      <c r="G199" s="2">
        <f t="shared" si="38"/>
        <v>946813823.71560001</v>
      </c>
      <c r="H199" s="42">
        <f t="shared" si="39"/>
        <v>-1726.4809999999998</v>
      </c>
      <c r="I199" s="2">
        <f t="shared" si="40"/>
        <v>2980736.6433609994</v>
      </c>
      <c r="J199" s="4">
        <f t="shared" si="41"/>
        <v>-1258331.556809999</v>
      </c>
      <c r="K199" s="2">
        <f t="shared" si="42"/>
        <v>1583398306863.876</v>
      </c>
      <c r="L199" s="2">
        <f t="shared" si="43"/>
        <v>2172485524.5328836</v>
      </c>
      <c r="N199" s="42">
        <f t="shared" si="44"/>
        <v>851895.88251595979</v>
      </c>
      <c r="O199" s="42">
        <f t="shared" si="45"/>
        <v>191149098934.87973</v>
      </c>
      <c r="P199" s="4">
        <f t="shared" si="46"/>
        <v>-821125.54251595982</v>
      </c>
      <c r="Q199" s="4">
        <f t="shared" si="47"/>
        <v>674247156572.12939</v>
      </c>
      <c r="R199" s="43">
        <f t="shared" si="48"/>
        <v>1.3755019199148736E-3</v>
      </c>
      <c r="S199" s="4">
        <f t="shared" si="49"/>
        <v>-0.67526850161889063</v>
      </c>
      <c r="T199" s="30">
        <f t="shared" si="50"/>
        <v>763247.17680118373</v>
      </c>
      <c r="U199" s="31">
        <f t="shared" si="51"/>
        <v>940544.58823073586</v>
      </c>
      <c r="V199" s="31">
        <f t="shared" si="52"/>
        <v>3242883.7063640845</v>
      </c>
      <c r="W199" s="42">
        <f t="shared" si="53"/>
        <v>3243780.7982519991</v>
      </c>
    </row>
    <row r="200" spans="2:23" x14ac:dyDescent="0.3">
      <c r="B200" s="2">
        <v>192</v>
      </c>
      <c r="C200" s="2">
        <v>1901</v>
      </c>
      <c r="D200" s="4">
        <v>155368.73000000001</v>
      </c>
      <c r="E200" s="4">
        <f t="shared" si="36"/>
        <v>295355955.73000002</v>
      </c>
      <c r="F200" s="2">
        <f t="shared" si="37"/>
        <v>3613801</v>
      </c>
      <c r="G200" s="2">
        <f t="shared" si="38"/>
        <v>24139442261.812904</v>
      </c>
      <c r="H200" s="42">
        <f t="shared" si="39"/>
        <v>-3123.4809999999998</v>
      </c>
      <c r="I200" s="2">
        <f t="shared" si="40"/>
        <v>9756133.5573609993</v>
      </c>
      <c r="J200" s="4">
        <f t="shared" si="41"/>
        <v>-1133733.1668099992</v>
      </c>
      <c r="K200" s="2">
        <f t="shared" si="42"/>
        <v>1285350893525.0293</v>
      </c>
      <c r="L200" s="2">
        <f t="shared" si="43"/>
        <v>3541194005.6008625</v>
      </c>
      <c r="N200" s="42">
        <f t="shared" si="44"/>
        <v>498126.10342845571</v>
      </c>
      <c r="O200" s="42">
        <f t="shared" si="45"/>
        <v>625642705715.56201</v>
      </c>
      <c r="P200" s="4">
        <f t="shared" si="46"/>
        <v>-342757.37342845567</v>
      </c>
      <c r="Q200" s="4">
        <f t="shared" si="47"/>
        <v>117482617039.57381</v>
      </c>
      <c r="R200" s="43">
        <f t="shared" si="48"/>
        <v>2.2290407775187328E-3</v>
      </c>
      <c r="S200" s="4">
        <f t="shared" si="49"/>
        <v>-0.28199370579380489</v>
      </c>
      <c r="T200" s="30">
        <f t="shared" si="50"/>
        <v>385276.30037663638</v>
      </c>
      <c r="U200" s="31">
        <f t="shared" si="51"/>
        <v>610975.90648027498</v>
      </c>
      <c r="V200" s="31">
        <f t="shared" si="52"/>
        <v>2888093.9460502053</v>
      </c>
      <c r="W200" s="42">
        <f t="shared" si="53"/>
        <v>2891030.1832338972</v>
      </c>
    </row>
    <row r="201" spans="2:23" x14ac:dyDescent="0.3">
      <c r="B201" s="2">
        <v>193</v>
      </c>
      <c r="C201" s="2">
        <v>4474</v>
      </c>
      <c r="D201" s="4">
        <v>689264.44000000006</v>
      </c>
      <c r="E201" s="4">
        <f t="shared" si="36"/>
        <v>3083769104.5600004</v>
      </c>
      <c r="F201" s="2">
        <f t="shared" si="37"/>
        <v>20016676</v>
      </c>
      <c r="G201" s="2">
        <f t="shared" si="38"/>
        <v>475085468248.51367</v>
      </c>
      <c r="H201" s="42">
        <f t="shared" si="39"/>
        <v>-550.48099999999977</v>
      </c>
      <c r="I201" s="2">
        <f t="shared" si="40"/>
        <v>303029.33136099973</v>
      </c>
      <c r="J201" s="4">
        <f t="shared" si="41"/>
        <v>-599837.45680999907</v>
      </c>
      <c r="K201" s="2">
        <f t="shared" si="42"/>
        <v>359804974592.28748</v>
      </c>
      <c r="L201" s="2">
        <f t="shared" si="43"/>
        <v>330199123.06222498</v>
      </c>
      <c r="N201" s="42">
        <f t="shared" si="44"/>
        <v>1149700.650022692</v>
      </c>
      <c r="O201" s="42">
        <f t="shared" si="45"/>
        <v>19432707605.855694</v>
      </c>
      <c r="P201" s="4">
        <f t="shared" si="46"/>
        <v>-460436.21002269199</v>
      </c>
      <c r="Q201" s="4">
        <f t="shared" si="47"/>
        <v>212001503500.06052</v>
      </c>
      <c r="R201" s="43">
        <f t="shared" si="48"/>
        <v>1.0381744881655399E-3</v>
      </c>
      <c r="S201" s="4">
        <f t="shared" si="49"/>
        <v>-0.37858470356702784</v>
      </c>
      <c r="T201" s="30">
        <f t="shared" si="50"/>
        <v>1072685.356495823</v>
      </c>
      <c r="U201" s="31">
        <f t="shared" si="51"/>
        <v>1226715.9435495611</v>
      </c>
      <c r="V201" s="31">
        <f t="shared" si="52"/>
        <v>3541091.4611152378</v>
      </c>
      <c r="W201" s="42">
        <f t="shared" si="53"/>
        <v>3541182.6617755974</v>
      </c>
    </row>
    <row r="202" spans="2:23" x14ac:dyDescent="0.3">
      <c r="B202" s="2">
        <v>194</v>
      </c>
      <c r="C202" s="2">
        <v>8678</v>
      </c>
      <c r="D202" s="4">
        <v>3661161.42</v>
      </c>
      <c r="E202" s="4">
        <f t="shared" ref="E202:E265" si="54">C202*D202</f>
        <v>31771558802.759998</v>
      </c>
      <c r="F202" s="2">
        <f t="shared" ref="F202:F265" si="55">POWER(C202,2)</f>
        <v>75307684</v>
      </c>
      <c r="G202" s="2">
        <f t="shared" ref="G202:G265" si="56">POWER(D202,2)</f>
        <v>13404102943296.416</v>
      </c>
      <c r="H202" s="42">
        <f t="shared" ref="H202:H265" si="57">C202-$AG$9</f>
        <v>3653.5190000000002</v>
      </c>
      <c r="I202" s="2">
        <f t="shared" ref="I202:I265" si="58">POWER(H202,2)</f>
        <v>13348201.083361002</v>
      </c>
      <c r="J202" s="4">
        <f t="shared" ref="J202:J265" si="59">D202-$AG$10</f>
        <v>2372059.523190001</v>
      </c>
      <c r="K202" s="2">
        <f t="shared" ref="K202:K265" si="60">POWER(J202,2)</f>
        <v>5626666381556.375</v>
      </c>
      <c r="L202" s="2">
        <f t="shared" ref="L202:L265" si="61">H202*J202</f>
        <v>8666364537.1056099</v>
      </c>
      <c r="N202" s="42">
        <f t="shared" ref="N202:N265" si="62">$AG$18+$AG$17*C202</f>
        <v>2214302.0467899553</v>
      </c>
      <c r="O202" s="42">
        <f t="shared" ref="O202:O265" si="63">(N202-$AG$10)^2</f>
        <v>855995317522.93347</v>
      </c>
      <c r="P202" s="4">
        <f t="shared" ref="P202:P265" si="64">D202-N202</f>
        <v>1446859.3732100446</v>
      </c>
      <c r="Q202" s="4">
        <f t="shared" ref="Q202:Q265" si="65">P202^2</f>
        <v>2093402045845.7629</v>
      </c>
      <c r="R202" s="43">
        <f t="shared" ref="R202:R265" si="66">(1/$AG$8)+((I202)/($I$1009))</f>
        <v>2.6815558480738988E-3</v>
      </c>
      <c r="S202" s="4">
        <f t="shared" ref="S202:S265" si="67">P202 / ($AG$19*SQRT(1-R202))</f>
        <v>1.1906316830045924</v>
      </c>
      <c r="T202" s="30">
        <f t="shared" ref="T202:T265" si="68">N202-$AK$16*SQRT($AG$25*((1/$AG$8)+((C202-$AG$9)^2)/$I$1009))</f>
        <v>2090526.3950098294</v>
      </c>
      <c r="U202" s="31">
        <f t="shared" ref="U202:U265" si="69">N202+$AK$16*SQRT($AG$25*((1/$AG$8)+((C202-$AG$9)^2)/$I$1009))</f>
        <v>2338077.698570081</v>
      </c>
      <c r="V202" s="31">
        <f t="shared" ref="V202:V265" si="70">N202+$AK$16*SQRT($AG$25*(1+(1/$AG$8)-((C202-$AG$9)^2)/$I$1009))</f>
        <v>4603728.9560804032</v>
      </c>
      <c r="W202" s="42">
        <f t="shared" ref="W202:W265" si="71">N202+$AK$16*SQRT($AG$25*(1+(1/$AG$8)+((C202-$AG$9)^2)/$I$1009))</f>
        <v>4607746.274064593</v>
      </c>
    </row>
    <row r="203" spans="2:23" x14ac:dyDescent="0.3">
      <c r="B203" s="2">
        <v>195</v>
      </c>
      <c r="C203" s="2">
        <v>9207</v>
      </c>
      <c r="D203" s="4">
        <v>85901.31</v>
      </c>
      <c r="E203" s="4">
        <f t="shared" si="54"/>
        <v>790893361.16999996</v>
      </c>
      <c r="F203" s="2">
        <f t="shared" si="55"/>
        <v>84768849</v>
      </c>
      <c r="G203" s="2">
        <f t="shared" si="56"/>
        <v>7379035059.7160997</v>
      </c>
      <c r="H203" s="42">
        <f t="shared" si="57"/>
        <v>4182.5190000000002</v>
      </c>
      <c r="I203" s="2">
        <f t="shared" si="58"/>
        <v>17493465.185361002</v>
      </c>
      <c r="J203" s="4">
        <f t="shared" si="59"/>
        <v>-1203200.5868099991</v>
      </c>
      <c r="K203" s="2">
        <f t="shared" si="60"/>
        <v>1447691652099.926</v>
      </c>
      <c r="L203" s="2">
        <f t="shared" si="61"/>
        <v>-5032409315.1439705</v>
      </c>
      <c r="N203" s="42">
        <f t="shared" si="62"/>
        <v>2348263.545098681</v>
      </c>
      <c r="O203" s="42">
        <f t="shared" si="63"/>
        <v>1121823397205.5974</v>
      </c>
      <c r="P203" s="4">
        <f t="shared" si="64"/>
        <v>-2262362.2350986809</v>
      </c>
      <c r="Q203" s="4">
        <f t="shared" si="65"/>
        <v>5118282882800.6992</v>
      </c>
      <c r="R203" s="43">
        <f t="shared" si="66"/>
        <v>3.2037605293637138E-3</v>
      </c>
      <c r="S203" s="4">
        <f t="shared" si="67"/>
        <v>-1.8622028438223066</v>
      </c>
      <c r="T203" s="30">
        <f t="shared" si="68"/>
        <v>2212971.6369689829</v>
      </c>
      <c r="U203" s="31">
        <f t="shared" si="69"/>
        <v>2483555.4532283791</v>
      </c>
      <c r="V203" s="31">
        <f t="shared" si="70"/>
        <v>4737066.0623465013</v>
      </c>
      <c r="W203" s="42">
        <f t="shared" si="71"/>
        <v>4742330.9538209308</v>
      </c>
    </row>
    <row r="204" spans="2:23" x14ac:dyDescent="0.3">
      <c r="B204" s="2">
        <v>196</v>
      </c>
      <c r="C204" s="2">
        <v>2783</v>
      </c>
      <c r="D204" s="4">
        <v>1216727.5999999999</v>
      </c>
      <c r="E204" s="4">
        <f t="shared" si="54"/>
        <v>3386152910.7999997</v>
      </c>
      <c r="F204" s="2">
        <f t="shared" si="55"/>
        <v>7745089</v>
      </c>
      <c r="G204" s="2">
        <f t="shared" si="56"/>
        <v>1480426052601.7598</v>
      </c>
      <c r="H204" s="42">
        <f t="shared" si="57"/>
        <v>-2241.4809999999998</v>
      </c>
      <c r="I204" s="2">
        <f t="shared" si="58"/>
        <v>5024237.0733609991</v>
      </c>
      <c r="J204" s="4">
        <f t="shared" si="59"/>
        <v>-72374.296809999272</v>
      </c>
      <c r="K204" s="2">
        <f t="shared" si="60"/>
        <v>5238038838.7418709</v>
      </c>
      <c r="L204" s="2">
        <f t="shared" si="61"/>
        <v>162225611.18797398</v>
      </c>
      <c r="N204" s="42">
        <f t="shared" si="62"/>
        <v>721479.67905850476</v>
      </c>
      <c r="O204" s="42">
        <f t="shared" si="63"/>
        <v>322194982085.12488</v>
      </c>
      <c r="P204" s="4">
        <f t="shared" si="64"/>
        <v>495247.9209414951</v>
      </c>
      <c r="Q204" s="4">
        <f t="shared" si="65"/>
        <v>245270503196.87338</v>
      </c>
      <c r="R204" s="43">
        <f t="shared" si="66"/>
        <v>1.632934369212588E-3</v>
      </c>
      <c r="S204" s="4">
        <f t="shared" si="67"/>
        <v>0.40732923015785955</v>
      </c>
      <c r="T204" s="30">
        <f t="shared" si="68"/>
        <v>624891.01400804205</v>
      </c>
      <c r="U204" s="31">
        <f t="shared" si="69"/>
        <v>818068.34410896746</v>
      </c>
      <c r="V204" s="31">
        <f t="shared" si="70"/>
        <v>3112159.916271057</v>
      </c>
      <c r="W204" s="42">
        <f t="shared" si="71"/>
        <v>3113672.0265332903</v>
      </c>
    </row>
    <row r="205" spans="2:23" x14ac:dyDescent="0.3">
      <c r="B205" s="2">
        <v>197</v>
      </c>
      <c r="C205" s="2">
        <v>3162</v>
      </c>
      <c r="D205" s="4">
        <v>487137.72000000003</v>
      </c>
      <c r="E205" s="4">
        <f t="shared" si="54"/>
        <v>1540329470.6400001</v>
      </c>
      <c r="F205" s="2">
        <f t="shared" si="55"/>
        <v>9998244</v>
      </c>
      <c r="G205" s="2">
        <f t="shared" si="56"/>
        <v>237303158246.79843</v>
      </c>
      <c r="H205" s="42">
        <f t="shared" si="57"/>
        <v>-1862.4809999999998</v>
      </c>
      <c r="I205" s="2">
        <f t="shared" si="58"/>
        <v>3468835.4753609993</v>
      </c>
      <c r="J205" s="4">
        <f t="shared" si="59"/>
        <v>-801964.17680999916</v>
      </c>
      <c r="K205" s="2">
        <f t="shared" si="60"/>
        <v>643146540886.53955</v>
      </c>
      <c r="L205" s="2">
        <f t="shared" si="61"/>
        <v>1493643041.9892638</v>
      </c>
      <c r="N205" s="42">
        <f t="shared" si="62"/>
        <v>817455.8753893309</v>
      </c>
      <c r="O205" s="42">
        <f t="shared" si="63"/>
        <v>222449969521.94543</v>
      </c>
      <c r="P205" s="4">
        <f t="shared" si="64"/>
        <v>-330318.15538933087</v>
      </c>
      <c r="Q205" s="4">
        <f t="shared" si="65"/>
        <v>109110083779.81013</v>
      </c>
      <c r="R205" s="43">
        <f t="shared" si="66"/>
        <v>1.4369907632625178E-3</v>
      </c>
      <c r="S205" s="4">
        <f t="shared" si="67"/>
        <v>-0.2716518993865919</v>
      </c>
      <c r="T205" s="30">
        <f t="shared" si="68"/>
        <v>726847.40747480094</v>
      </c>
      <c r="U205" s="31">
        <f t="shared" si="69"/>
        <v>908064.34330386086</v>
      </c>
      <c r="V205" s="31">
        <f t="shared" si="70"/>
        <v>3208370.2344488683</v>
      </c>
      <c r="W205" s="42">
        <f t="shared" si="71"/>
        <v>3209414.2261050181</v>
      </c>
    </row>
    <row r="206" spans="2:23" x14ac:dyDescent="0.3">
      <c r="B206" s="2">
        <v>198</v>
      </c>
      <c r="C206" s="2">
        <v>6130</v>
      </c>
      <c r="D206" s="4">
        <v>3991917.3000000003</v>
      </c>
      <c r="E206" s="4">
        <f t="shared" si="54"/>
        <v>24470453049</v>
      </c>
      <c r="F206" s="2">
        <f t="shared" si="55"/>
        <v>37576900</v>
      </c>
      <c r="G206" s="2">
        <f t="shared" si="56"/>
        <v>15935403730039.293</v>
      </c>
      <c r="H206" s="42">
        <f t="shared" si="57"/>
        <v>1105.5190000000002</v>
      </c>
      <c r="I206" s="2">
        <f t="shared" si="58"/>
        <v>1222172.2593610005</v>
      </c>
      <c r="J206" s="4">
        <f t="shared" si="59"/>
        <v>2702815.4031900009</v>
      </c>
      <c r="K206" s="2">
        <f t="shared" si="60"/>
        <v>7305211103721.127</v>
      </c>
      <c r="L206" s="2">
        <f t="shared" si="61"/>
        <v>2988013781.7192073</v>
      </c>
      <c r="N206" s="42">
        <f t="shared" si="62"/>
        <v>1569058.3838587026</v>
      </c>
      <c r="O206" s="42">
        <f t="shared" si="63"/>
        <v>78375634640.650879</v>
      </c>
      <c r="P206" s="4">
        <f t="shared" si="64"/>
        <v>2422858.9161412977</v>
      </c>
      <c r="Q206" s="4">
        <f t="shared" si="65"/>
        <v>5870245327525.3838</v>
      </c>
      <c r="R206" s="43">
        <f t="shared" si="66"/>
        <v>1.1539646351779939E-3</v>
      </c>
      <c r="S206" s="4">
        <f t="shared" si="67"/>
        <v>1.9922640076420364</v>
      </c>
      <c r="T206" s="30">
        <f t="shared" si="68"/>
        <v>1487861.7456471787</v>
      </c>
      <c r="U206" s="31">
        <f t="shared" si="69"/>
        <v>1650255.0220702265</v>
      </c>
      <c r="V206" s="31">
        <f t="shared" si="70"/>
        <v>3960310.8742406867</v>
      </c>
      <c r="W206" s="42">
        <f t="shared" si="71"/>
        <v>3960678.7030476718</v>
      </c>
    </row>
    <row r="207" spans="2:23" x14ac:dyDescent="0.3">
      <c r="B207" s="2">
        <v>199</v>
      </c>
      <c r="C207" s="2">
        <v>4503</v>
      </c>
      <c r="D207" s="4">
        <v>926267.1</v>
      </c>
      <c r="E207" s="4">
        <f t="shared" si="54"/>
        <v>4170980751.2999997</v>
      </c>
      <c r="F207" s="2">
        <f t="shared" si="55"/>
        <v>20277009</v>
      </c>
      <c r="G207" s="2">
        <f t="shared" si="56"/>
        <v>857970740542.40991</v>
      </c>
      <c r="H207" s="42">
        <f t="shared" si="57"/>
        <v>-521.48099999999977</v>
      </c>
      <c r="I207" s="2">
        <f t="shared" si="58"/>
        <v>271942.43336099974</v>
      </c>
      <c r="J207" s="4">
        <f t="shared" si="59"/>
        <v>-362834.79680999916</v>
      </c>
      <c r="K207" s="2">
        <f t="shared" si="60"/>
        <v>131649089776.15337</v>
      </c>
      <c r="L207" s="2">
        <f t="shared" si="61"/>
        <v>189211452.67527509</v>
      </c>
      <c r="N207" s="42">
        <f t="shared" si="62"/>
        <v>1157044.4750717524</v>
      </c>
      <c r="O207" s="42">
        <f t="shared" si="63"/>
        <v>17439162636.153149</v>
      </c>
      <c r="P207" s="4">
        <f t="shared" si="64"/>
        <v>-230777.37507175247</v>
      </c>
      <c r="Q207" s="4">
        <f t="shared" si="65"/>
        <v>53258196845.008316</v>
      </c>
      <c r="R207" s="43">
        <f t="shared" si="66"/>
        <v>1.0342582784228251E-3</v>
      </c>
      <c r="S207" s="4">
        <f t="shared" si="67"/>
        <v>-0.18975182875534366</v>
      </c>
      <c r="T207" s="30">
        <f t="shared" si="68"/>
        <v>1080174.5776300633</v>
      </c>
      <c r="U207" s="31">
        <f t="shared" si="69"/>
        <v>1233914.3725134416</v>
      </c>
      <c r="V207" s="31">
        <f t="shared" si="70"/>
        <v>3548439.9642542084</v>
      </c>
      <c r="W207" s="42">
        <f t="shared" si="71"/>
        <v>3548521.8089039987</v>
      </c>
    </row>
    <row r="208" spans="2:23" x14ac:dyDescent="0.3">
      <c r="B208" s="2">
        <v>200</v>
      </c>
      <c r="C208" s="2">
        <v>3131</v>
      </c>
      <c r="D208" s="4">
        <v>477727.98000000004</v>
      </c>
      <c r="E208" s="4">
        <f t="shared" si="54"/>
        <v>1495766305.3800001</v>
      </c>
      <c r="F208" s="2">
        <f t="shared" si="55"/>
        <v>9803161</v>
      </c>
      <c r="G208" s="2">
        <f t="shared" si="56"/>
        <v>228224022874.88043</v>
      </c>
      <c r="H208" s="42">
        <f t="shared" si="57"/>
        <v>-1893.4809999999998</v>
      </c>
      <c r="I208" s="2">
        <f t="shared" si="58"/>
        <v>3585270.297360999</v>
      </c>
      <c r="J208" s="4">
        <f t="shared" si="59"/>
        <v>-811373.91680999915</v>
      </c>
      <c r="K208" s="2">
        <f t="shared" si="60"/>
        <v>658327632879.59937</v>
      </c>
      <c r="L208" s="2">
        <f t="shared" si="61"/>
        <v>1536321095.3753138</v>
      </c>
      <c r="N208" s="42">
        <f t="shared" si="62"/>
        <v>809605.57964723161</v>
      </c>
      <c r="O208" s="42">
        <f t="shared" si="63"/>
        <v>229916718172.65735</v>
      </c>
      <c r="P208" s="4">
        <f t="shared" si="64"/>
        <v>-331877.59964723157</v>
      </c>
      <c r="Q208" s="4">
        <f t="shared" si="65"/>
        <v>110142741147.60812</v>
      </c>
      <c r="R208" s="43">
        <f t="shared" si="66"/>
        <v>1.4516587814194816E-3</v>
      </c>
      <c r="S208" s="4">
        <f t="shared" si="67"/>
        <v>-0.27293638268075399</v>
      </c>
      <c r="T208" s="30">
        <f t="shared" si="68"/>
        <v>718535.8449172033</v>
      </c>
      <c r="U208" s="31">
        <f t="shared" si="69"/>
        <v>900675.31437725993</v>
      </c>
      <c r="V208" s="31">
        <f t="shared" si="70"/>
        <v>3200502.4135217294</v>
      </c>
      <c r="W208" s="42">
        <f t="shared" si="71"/>
        <v>3201581.447770589</v>
      </c>
    </row>
    <row r="209" spans="2:23" x14ac:dyDescent="0.3">
      <c r="B209" s="2">
        <v>201</v>
      </c>
      <c r="C209" s="2">
        <v>3894</v>
      </c>
      <c r="D209" s="4">
        <v>599909.64</v>
      </c>
      <c r="E209" s="4">
        <f t="shared" si="54"/>
        <v>2336048138.1599998</v>
      </c>
      <c r="F209" s="2">
        <f t="shared" si="55"/>
        <v>15163236</v>
      </c>
      <c r="G209" s="2">
        <f t="shared" si="56"/>
        <v>359891576164.92963</v>
      </c>
      <c r="H209" s="42">
        <f t="shared" si="57"/>
        <v>-1130.4809999999998</v>
      </c>
      <c r="I209" s="2">
        <f t="shared" si="58"/>
        <v>1277987.2913609995</v>
      </c>
      <c r="J209" s="4">
        <f t="shared" si="59"/>
        <v>-689192.25680999912</v>
      </c>
      <c r="K209" s="2">
        <f t="shared" si="60"/>
        <v>474985966846.8598</v>
      </c>
      <c r="L209" s="2">
        <f t="shared" si="61"/>
        <v>779118751.67082441</v>
      </c>
      <c r="N209" s="42">
        <f t="shared" si="62"/>
        <v>1002824.1490414805</v>
      </c>
      <c r="O209" s="42">
        <f t="shared" si="63"/>
        <v>81954948867.415573</v>
      </c>
      <c r="P209" s="4">
        <f t="shared" si="64"/>
        <v>-402914.50904148049</v>
      </c>
      <c r="Q209" s="4">
        <f t="shared" si="65"/>
        <v>162340101596.13727</v>
      </c>
      <c r="R209" s="43">
        <f t="shared" si="66"/>
        <v>1.1609960016433242E-3</v>
      </c>
      <c r="S209" s="4">
        <f t="shared" si="67"/>
        <v>-0.33130897326665987</v>
      </c>
      <c r="T209" s="30">
        <f t="shared" si="68"/>
        <v>921380.51181018283</v>
      </c>
      <c r="U209" s="31">
        <f t="shared" si="69"/>
        <v>1084267.7862727782</v>
      </c>
      <c r="V209" s="31">
        <f t="shared" si="70"/>
        <v>3394068.2396289366</v>
      </c>
      <c r="W209" s="42">
        <f t="shared" si="71"/>
        <v>3394452.8667036006</v>
      </c>
    </row>
    <row r="210" spans="2:23" x14ac:dyDescent="0.3">
      <c r="B210" s="2">
        <v>202</v>
      </c>
      <c r="C210" s="2">
        <v>703</v>
      </c>
      <c r="D210" s="4">
        <v>33357.35</v>
      </c>
      <c r="E210" s="4">
        <f t="shared" si="54"/>
        <v>23450217.050000001</v>
      </c>
      <c r="F210" s="2">
        <f t="shared" si="55"/>
        <v>494209</v>
      </c>
      <c r="G210" s="2">
        <f t="shared" si="56"/>
        <v>1112712799.0224998</v>
      </c>
      <c r="H210" s="42">
        <f t="shared" si="57"/>
        <v>-4321.4809999999998</v>
      </c>
      <c r="I210" s="2">
        <f t="shared" si="58"/>
        <v>18675198.033360999</v>
      </c>
      <c r="J210" s="4">
        <f t="shared" si="59"/>
        <v>-1255744.546809999</v>
      </c>
      <c r="K210" s="2">
        <f t="shared" si="60"/>
        <v>1576894366843.0498</v>
      </c>
      <c r="L210" s="2">
        <f t="shared" si="61"/>
        <v>5426676199.8930216</v>
      </c>
      <c r="N210" s="42">
        <f t="shared" si="62"/>
        <v>194750.15829829831</v>
      </c>
      <c r="O210" s="42">
        <f t="shared" si="63"/>
        <v>1197605727583.582</v>
      </c>
      <c r="P210" s="4">
        <f t="shared" si="64"/>
        <v>-161392.8082982983</v>
      </c>
      <c r="Q210" s="4">
        <f t="shared" si="65"/>
        <v>26047638570.411266</v>
      </c>
      <c r="R210" s="43">
        <f t="shared" si="66"/>
        <v>3.3526307605660647E-3</v>
      </c>
      <c r="S210" s="4">
        <f t="shared" si="67"/>
        <v>-0.13285608622975248</v>
      </c>
      <c r="T210" s="30">
        <f t="shared" si="68"/>
        <v>56350.613584924111</v>
      </c>
      <c r="U210" s="31">
        <f t="shared" si="69"/>
        <v>333149.70301167248</v>
      </c>
      <c r="V210" s="31">
        <f t="shared" si="70"/>
        <v>2583374.6438208814</v>
      </c>
      <c r="W210" s="42">
        <f t="shared" si="71"/>
        <v>2588995.1940199062</v>
      </c>
    </row>
    <row r="211" spans="2:23" x14ac:dyDescent="0.3">
      <c r="B211" s="2">
        <v>203</v>
      </c>
      <c r="C211" s="2">
        <v>4499</v>
      </c>
      <c r="D211" s="4">
        <v>1148504.72</v>
      </c>
      <c r="E211" s="4">
        <f t="shared" si="54"/>
        <v>5167122735.2799997</v>
      </c>
      <c r="F211" s="2">
        <f t="shared" si="55"/>
        <v>20241001</v>
      </c>
      <c r="G211" s="2">
        <f t="shared" si="56"/>
        <v>1319063091862.2783</v>
      </c>
      <c r="H211" s="42">
        <f t="shared" si="57"/>
        <v>-525.48099999999977</v>
      </c>
      <c r="I211" s="2">
        <f t="shared" si="58"/>
        <v>276130.28136099974</v>
      </c>
      <c r="J211" s="4">
        <f t="shared" si="59"/>
        <v>-140597.17680999916</v>
      </c>
      <c r="K211" s="2">
        <f t="shared" si="60"/>
        <v>19767566126.942165</v>
      </c>
      <c r="L211" s="2">
        <f t="shared" si="61"/>
        <v>73881145.067295134</v>
      </c>
      <c r="N211" s="42">
        <f t="shared" si="62"/>
        <v>1156031.5336856751</v>
      </c>
      <c r="O211" s="42">
        <f t="shared" si="63"/>
        <v>17707721542.039452</v>
      </c>
      <c r="P211" s="4">
        <f t="shared" si="64"/>
        <v>-7526.8136856751516</v>
      </c>
      <c r="Q211" s="4">
        <f t="shared" si="65"/>
        <v>56652924.258866757</v>
      </c>
      <c r="R211" s="43">
        <f t="shared" si="66"/>
        <v>1.0347858476624002E-3</v>
      </c>
      <c r="S211" s="4">
        <f t="shared" si="67"/>
        <v>-6.1887654205616113E-3</v>
      </c>
      <c r="T211" s="30">
        <f t="shared" si="68"/>
        <v>1079142.0332957241</v>
      </c>
      <c r="U211" s="31">
        <f t="shared" si="69"/>
        <v>1232921.0340756262</v>
      </c>
      <c r="V211" s="31">
        <f t="shared" si="70"/>
        <v>3547426.3926633131</v>
      </c>
      <c r="W211" s="42">
        <f t="shared" si="71"/>
        <v>3547509.4977010051</v>
      </c>
    </row>
    <row r="212" spans="2:23" x14ac:dyDescent="0.3">
      <c r="B212" s="2">
        <v>204</v>
      </c>
      <c r="C212" s="2">
        <v>8257</v>
      </c>
      <c r="D212" s="4">
        <v>902324.96</v>
      </c>
      <c r="E212" s="4">
        <f t="shared" si="54"/>
        <v>7450497194.7199993</v>
      </c>
      <c r="F212" s="2">
        <f t="shared" si="55"/>
        <v>68178049</v>
      </c>
      <c r="G212" s="2">
        <f t="shared" si="56"/>
        <v>814190333439.00159</v>
      </c>
      <c r="H212" s="42">
        <f t="shared" si="57"/>
        <v>3232.5190000000002</v>
      </c>
      <c r="I212" s="2">
        <f t="shared" si="58"/>
        <v>10449179.085361002</v>
      </c>
      <c r="J212" s="4">
        <f t="shared" si="59"/>
        <v>-386776.93680999917</v>
      </c>
      <c r="K212" s="2">
        <f t="shared" si="60"/>
        <v>149596398848.1261</v>
      </c>
      <c r="L212" s="2">
        <f t="shared" si="61"/>
        <v>-1250263797.0001218</v>
      </c>
      <c r="N212" s="42">
        <f t="shared" si="62"/>
        <v>2107689.9659053176</v>
      </c>
      <c r="O212" s="42">
        <f t="shared" si="63"/>
        <v>670086426865.20178</v>
      </c>
      <c r="P212" s="4">
        <f t="shared" si="64"/>
        <v>-1205365.0059053176</v>
      </c>
      <c r="Q212" s="4">
        <f t="shared" si="65"/>
        <v>1452904797461.1265</v>
      </c>
      <c r="R212" s="43">
        <f t="shared" si="66"/>
        <v>2.3163480298826916E-3</v>
      </c>
      <c r="S212" s="4">
        <f t="shared" si="67"/>
        <v>-0.99172255194641212</v>
      </c>
      <c r="T212" s="30">
        <f t="shared" si="68"/>
        <v>1992651.3348613812</v>
      </c>
      <c r="U212" s="31">
        <f t="shared" si="69"/>
        <v>2222728.5969492537</v>
      </c>
      <c r="V212" s="31">
        <f t="shared" si="70"/>
        <v>4497553.4515844546</v>
      </c>
      <c r="W212" s="42">
        <f t="shared" si="71"/>
        <v>4500698.270055797</v>
      </c>
    </row>
    <row r="213" spans="2:23" x14ac:dyDescent="0.3">
      <c r="B213" s="2">
        <v>205</v>
      </c>
      <c r="C213" s="2">
        <v>1982</v>
      </c>
      <c r="D213" s="4">
        <v>836185.98</v>
      </c>
      <c r="E213" s="4">
        <f t="shared" si="54"/>
        <v>1657320612.3599999</v>
      </c>
      <c r="F213" s="2">
        <f t="shared" si="55"/>
        <v>3928324</v>
      </c>
      <c r="G213" s="2">
        <f t="shared" si="56"/>
        <v>699206993148.56042</v>
      </c>
      <c r="H213" s="42">
        <f t="shared" si="57"/>
        <v>-3042.4809999999998</v>
      </c>
      <c r="I213" s="2">
        <f t="shared" si="58"/>
        <v>9256690.635360999</v>
      </c>
      <c r="J213" s="4">
        <f t="shared" si="59"/>
        <v>-452915.91680999915</v>
      </c>
      <c r="K213" s="2">
        <f t="shared" si="60"/>
        <v>205132827699.84207</v>
      </c>
      <c r="L213" s="2">
        <f t="shared" si="61"/>
        <v>1377988071.492003</v>
      </c>
      <c r="N213" s="42">
        <f t="shared" si="62"/>
        <v>518638.16649652144</v>
      </c>
      <c r="O213" s="42">
        <f t="shared" si="63"/>
        <v>593614359728.55933</v>
      </c>
      <c r="P213" s="4">
        <f t="shared" si="64"/>
        <v>317547.81350347854</v>
      </c>
      <c r="Q213" s="4">
        <f t="shared" si="65"/>
        <v>100836613860.83998</v>
      </c>
      <c r="R213" s="43">
        <f t="shared" si="66"/>
        <v>2.1661228486515157E-3</v>
      </c>
      <c r="S213" s="4">
        <f t="shared" si="67"/>
        <v>0.26124503348072903</v>
      </c>
      <c r="T213" s="30">
        <f t="shared" si="68"/>
        <v>407392.43900042807</v>
      </c>
      <c r="U213" s="31">
        <f t="shared" si="69"/>
        <v>629883.89399261482</v>
      </c>
      <c r="V213" s="31">
        <f t="shared" si="70"/>
        <v>2908681.2110730745</v>
      </c>
      <c r="W213" s="42">
        <f t="shared" si="71"/>
        <v>2911467.1342639271</v>
      </c>
    </row>
    <row r="214" spans="2:23" x14ac:dyDescent="0.3">
      <c r="B214" s="2">
        <v>206</v>
      </c>
      <c r="C214" s="2">
        <v>7710</v>
      </c>
      <c r="D214" s="4">
        <v>71934.3</v>
      </c>
      <c r="E214" s="4">
        <f t="shared" si="54"/>
        <v>554613453</v>
      </c>
      <c r="F214" s="2">
        <f t="shared" si="55"/>
        <v>59444100</v>
      </c>
      <c r="G214" s="2">
        <f t="shared" si="56"/>
        <v>5174543516.4900007</v>
      </c>
      <c r="H214" s="42">
        <f t="shared" si="57"/>
        <v>2685.5190000000002</v>
      </c>
      <c r="I214" s="2">
        <f t="shared" si="58"/>
        <v>7212012.2993610017</v>
      </c>
      <c r="J214" s="4">
        <f t="shared" si="59"/>
        <v>-1217167.5968099991</v>
      </c>
      <c r="K214" s="2">
        <f t="shared" si="60"/>
        <v>1481496958724.2285</v>
      </c>
      <c r="L214" s="2">
        <f t="shared" si="61"/>
        <v>-3268726707.417592</v>
      </c>
      <c r="N214" s="42">
        <f t="shared" si="62"/>
        <v>1969170.2313592439</v>
      </c>
      <c r="O214" s="42">
        <f t="shared" si="63"/>
        <v>462492939656.58344</v>
      </c>
      <c r="P214" s="4">
        <f t="shared" si="64"/>
        <v>-1897235.9313592438</v>
      </c>
      <c r="Q214" s="4">
        <f t="shared" si="65"/>
        <v>3599504179240.5771</v>
      </c>
      <c r="R214" s="43">
        <f t="shared" si="66"/>
        <v>1.9085420112144255E-3</v>
      </c>
      <c r="S214" s="4">
        <f t="shared" si="67"/>
        <v>-1.5606453044718647</v>
      </c>
      <c r="T214" s="30">
        <f t="shared" si="68"/>
        <v>1864748.0741532585</v>
      </c>
      <c r="U214" s="31">
        <f t="shared" si="69"/>
        <v>2073592.3885652293</v>
      </c>
      <c r="V214" s="31">
        <f t="shared" si="70"/>
        <v>4359521.1218979824</v>
      </c>
      <c r="W214" s="42">
        <f t="shared" si="71"/>
        <v>4361691.6720189191</v>
      </c>
    </row>
    <row r="215" spans="2:23" x14ac:dyDescent="0.3">
      <c r="B215" s="2">
        <v>207</v>
      </c>
      <c r="C215" s="2">
        <v>4507</v>
      </c>
      <c r="D215" s="4">
        <v>42050.31</v>
      </c>
      <c r="E215" s="4">
        <f t="shared" si="54"/>
        <v>189520747.16999999</v>
      </c>
      <c r="F215" s="2">
        <f t="shared" si="55"/>
        <v>20313049</v>
      </c>
      <c r="G215" s="2">
        <f t="shared" si="56"/>
        <v>1768228571.0960999</v>
      </c>
      <c r="H215" s="42">
        <f t="shared" si="57"/>
        <v>-517.48099999999977</v>
      </c>
      <c r="I215" s="2">
        <f t="shared" si="58"/>
        <v>267786.58536099974</v>
      </c>
      <c r="J215" s="4">
        <f t="shared" si="59"/>
        <v>-1247051.5868099991</v>
      </c>
      <c r="K215" s="2">
        <f t="shared" si="60"/>
        <v>1555137660165.3367</v>
      </c>
      <c r="L215" s="2">
        <f t="shared" si="61"/>
        <v>645325502.1940248</v>
      </c>
      <c r="N215" s="42">
        <f t="shared" si="62"/>
        <v>1158057.4164578298</v>
      </c>
      <c r="O215" s="42">
        <f t="shared" si="63"/>
        <v>17172655830.770103</v>
      </c>
      <c r="P215" s="4">
        <f t="shared" si="64"/>
        <v>-1116007.1064578297</v>
      </c>
      <c r="Q215" s="4">
        <f t="shared" si="65"/>
        <v>1245471861664.3777</v>
      </c>
      <c r="R215" s="43">
        <f t="shared" si="66"/>
        <v>1.0337347404221263E-3</v>
      </c>
      <c r="S215" s="4">
        <f t="shared" si="67"/>
        <v>-0.91761306236267393</v>
      </c>
      <c r="T215" s="30">
        <f t="shared" si="68"/>
        <v>1081206.9771183541</v>
      </c>
      <c r="U215" s="31">
        <f t="shared" si="69"/>
        <v>1234907.8557973055</v>
      </c>
      <c r="V215" s="31">
        <f t="shared" si="70"/>
        <v>3549453.5310294461</v>
      </c>
      <c r="W215" s="42">
        <f t="shared" si="71"/>
        <v>3549534.1249221554</v>
      </c>
    </row>
    <row r="216" spans="2:23" x14ac:dyDescent="0.3">
      <c r="B216" s="2">
        <v>208</v>
      </c>
      <c r="C216" s="2">
        <v>3474</v>
      </c>
      <c r="D216" s="4">
        <v>1518832.8</v>
      </c>
      <c r="E216" s="4">
        <f t="shared" si="54"/>
        <v>5276425147.1999998</v>
      </c>
      <c r="F216" s="2">
        <f t="shared" si="55"/>
        <v>12068676</v>
      </c>
      <c r="G216" s="2">
        <f t="shared" si="56"/>
        <v>2306853074355.8403</v>
      </c>
      <c r="H216" s="42">
        <f t="shared" si="57"/>
        <v>-1550.4809999999998</v>
      </c>
      <c r="I216" s="2">
        <f t="shared" si="58"/>
        <v>2403991.3313609995</v>
      </c>
      <c r="J216" s="4">
        <f t="shared" si="59"/>
        <v>229730.90319000091</v>
      </c>
      <c r="K216" s="2">
        <f t="shared" si="60"/>
        <v>52776287880.493568</v>
      </c>
      <c r="L216" s="2">
        <f t="shared" si="61"/>
        <v>-356193400.50893575</v>
      </c>
      <c r="N216" s="42">
        <f t="shared" si="62"/>
        <v>896465.30350336188</v>
      </c>
      <c r="O216" s="42">
        <f t="shared" si="63"/>
        <v>154163494403.44165</v>
      </c>
      <c r="P216" s="4">
        <f t="shared" si="64"/>
        <v>622367.49649663817</v>
      </c>
      <c r="Q216" s="4">
        <f t="shared" si="65"/>
        <v>387341300695.49292</v>
      </c>
      <c r="R216" s="43">
        <f t="shared" si="66"/>
        <v>1.3028457285534974E-3</v>
      </c>
      <c r="S216" s="4">
        <f t="shared" si="67"/>
        <v>0.51179735305714702</v>
      </c>
      <c r="T216" s="30">
        <f t="shared" si="68"/>
        <v>810189.64247018774</v>
      </c>
      <c r="U216" s="31">
        <f t="shared" si="69"/>
        <v>982740.96453653602</v>
      </c>
      <c r="V216" s="31">
        <f t="shared" si="70"/>
        <v>3287539.9316001479</v>
      </c>
      <c r="W216" s="42">
        <f t="shared" si="71"/>
        <v>3288263.4443980744</v>
      </c>
    </row>
    <row r="217" spans="2:23" x14ac:dyDescent="0.3">
      <c r="B217" s="2">
        <v>209</v>
      </c>
      <c r="C217" s="2">
        <v>2739</v>
      </c>
      <c r="D217" s="4">
        <v>563412.29999999993</v>
      </c>
      <c r="E217" s="4">
        <f t="shared" si="54"/>
        <v>1543186289.6999998</v>
      </c>
      <c r="F217" s="2">
        <f t="shared" si="55"/>
        <v>7502121</v>
      </c>
      <c r="G217" s="2">
        <f t="shared" si="56"/>
        <v>317433419791.28992</v>
      </c>
      <c r="H217" s="42">
        <f t="shared" si="57"/>
        <v>-2285.4809999999998</v>
      </c>
      <c r="I217" s="2">
        <f t="shared" si="58"/>
        <v>5223423.4013609989</v>
      </c>
      <c r="J217" s="4">
        <f t="shared" si="59"/>
        <v>-725689.5968099992</v>
      </c>
      <c r="K217" s="2">
        <f t="shared" si="60"/>
        <v>526625390918.25922</v>
      </c>
      <c r="L217" s="2">
        <f t="shared" si="61"/>
        <v>1658549785.4069135</v>
      </c>
      <c r="N217" s="42">
        <f t="shared" si="62"/>
        <v>710337.32381165423</v>
      </c>
      <c r="O217" s="42">
        <f t="shared" si="63"/>
        <v>334968430957.95648</v>
      </c>
      <c r="P217" s="4">
        <f t="shared" si="64"/>
        <v>-146925.0238116543</v>
      </c>
      <c r="Q217" s="4">
        <f t="shared" si="65"/>
        <v>21586962622.055183</v>
      </c>
      <c r="R217" s="43">
        <f t="shared" si="66"/>
        <v>1.6580271088718879E-3</v>
      </c>
      <c r="S217" s="4">
        <f t="shared" si="67"/>
        <v>-0.12084373585948803</v>
      </c>
      <c r="T217" s="30">
        <f t="shared" si="68"/>
        <v>613009.36568570288</v>
      </c>
      <c r="U217" s="31">
        <f t="shared" si="69"/>
        <v>807665.28193760558</v>
      </c>
      <c r="V217" s="31">
        <f t="shared" si="70"/>
        <v>3100987.5774836401</v>
      </c>
      <c r="W217" s="42">
        <f t="shared" si="71"/>
        <v>3102559.6354987724</v>
      </c>
    </row>
    <row r="218" spans="2:23" x14ac:dyDescent="0.3">
      <c r="B218" s="2">
        <v>210</v>
      </c>
      <c r="C218" s="2">
        <v>2463</v>
      </c>
      <c r="D218" s="4">
        <v>269156.64</v>
      </c>
      <c r="E218" s="4">
        <f t="shared" si="54"/>
        <v>662932804.32000005</v>
      </c>
      <c r="F218" s="2">
        <f t="shared" si="55"/>
        <v>6066369</v>
      </c>
      <c r="G218" s="2">
        <f t="shared" si="56"/>
        <v>72445296856.089615</v>
      </c>
      <c r="H218" s="42">
        <f t="shared" si="57"/>
        <v>-2561.4809999999998</v>
      </c>
      <c r="I218" s="2">
        <f t="shared" si="58"/>
        <v>6561184.913360999</v>
      </c>
      <c r="J218" s="4">
        <f t="shared" si="59"/>
        <v>-1019945.2568099991</v>
      </c>
      <c r="K218" s="2">
        <f t="shared" si="60"/>
        <v>1040288326889.2151</v>
      </c>
      <c r="L218" s="2">
        <f t="shared" si="61"/>
        <v>2612570396.358933</v>
      </c>
      <c r="N218" s="42">
        <f t="shared" si="62"/>
        <v>640444.36817231914</v>
      </c>
      <c r="O218" s="42">
        <f t="shared" si="63"/>
        <v>420756589458.34265</v>
      </c>
      <c r="P218" s="4">
        <f t="shared" si="64"/>
        <v>-371287.72817231913</v>
      </c>
      <c r="Q218" s="4">
        <f t="shared" si="65"/>
        <v>137854577091.36194</v>
      </c>
      <c r="R218" s="43">
        <f t="shared" si="66"/>
        <v>1.8265532405793198E-3</v>
      </c>
      <c r="S218" s="4">
        <f t="shared" si="67"/>
        <v>-0.30540463730082407</v>
      </c>
      <c r="T218" s="30">
        <f t="shared" si="68"/>
        <v>538289.75900810759</v>
      </c>
      <c r="U218" s="31">
        <f t="shared" si="69"/>
        <v>742598.97733653069</v>
      </c>
      <c r="V218" s="31">
        <f t="shared" si="70"/>
        <v>3030893.238707182</v>
      </c>
      <c r="W218" s="42">
        <f t="shared" si="71"/>
        <v>3032867.9137164992</v>
      </c>
    </row>
    <row r="219" spans="2:23" x14ac:dyDescent="0.3">
      <c r="B219" s="2">
        <v>211</v>
      </c>
      <c r="C219" s="2">
        <v>9840</v>
      </c>
      <c r="D219" s="4">
        <v>2511955.2000000002</v>
      </c>
      <c r="E219" s="4">
        <f t="shared" si="54"/>
        <v>24717639168</v>
      </c>
      <c r="F219" s="2">
        <f t="shared" si="55"/>
        <v>96825600</v>
      </c>
      <c r="G219" s="2">
        <f t="shared" si="56"/>
        <v>6309918926807.041</v>
      </c>
      <c r="H219" s="42">
        <f t="shared" si="57"/>
        <v>4815.5190000000002</v>
      </c>
      <c r="I219" s="2">
        <f t="shared" si="58"/>
        <v>23189223.239361003</v>
      </c>
      <c r="J219" s="4">
        <f t="shared" si="59"/>
        <v>1222853.3031900011</v>
      </c>
      <c r="K219" s="2">
        <f t="shared" si="60"/>
        <v>1495370201122.6965</v>
      </c>
      <c r="L219" s="2">
        <f t="shared" si="61"/>
        <v>5888673315.7242107</v>
      </c>
      <c r="N219" s="42">
        <f t="shared" si="62"/>
        <v>2508561.519445417</v>
      </c>
      <c r="O219" s="42">
        <f t="shared" si="63"/>
        <v>1487081771238.1157</v>
      </c>
      <c r="P219" s="4">
        <f t="shared" si="64"/>
        <v>3393.680554583203</v>
      </c>
      <c r="Q219" s="4">
        <f t="shared" si="65"/>
        <v>11517067.706556156</v>
      </c>
      <c r="R219" s="43">
        <f t="shared" si="66"/>
        <v>3.9212905699364982E-3</v>
      </c>
      <c r="S219" s="4">
        <f t="shared" si="67"/>
        <v>2.7944231443923898E-3</v>
      </c>
      <c r="T219" s="30">
        <f t="shared" si="68"/>
        <v>2358884.0916388407</v>
      </c>
      <c r="U219" s="31">
        <f t="shared" si="69"/>
        <v>2658238.9472519932</v>
      </c>
      <c r="V219" s="31">
        <f t="shared" si="70"/>
        <v>4896505.8308605934</v>
      </c>
      <c r="W219" s="42">
        <f t="shared" si="71"/>
        <v>4903484.9398276825</v>
      </c>
    </row>
    <row r="220" spans="2:23" x14ac:dyDescent="0.3">
      <c r="B220" s="2">
        <v>212</v>
      </c>
      <c r="C220" s="2">
        <v>4093</v>
      </c>
      <c r="D220" s="4">
        <v>38187.69</v>
      </c>
      <c r="E220" s="4">
        <f t="shared" si="54"/>
        <v>156302215.17000002</v>
      </c>
      <c r="F220" s="2">
        <f t="shared" si="55"/>
        <v>16752649</v>
      </c>
      <c r="G220" s="2">
        <f t="shared" si="56"/>
        <v>1458299667.5361001</v>
      </c>
      <c r="H220" s="42">
        <f t="shared" si="57"/>
        <v>-931.48099999999977</v>
      </c>
      <c r="I220" s="2">
        <f t="shared" si="58"/>
        <v>867656.85336099961</v>
      </c>
      <c r="J220" s="4">
        <f t="shared" si="59"/>
        <v>-1250914.2068099992</v>
      </c>
      <c r="K220" s="2">
        <f t="shared" si="60"/>
        <v>1564786352799.0894</v>
      </c>
      <c r="L220" s="2">
        <f t="shared" si="61"/>
        <v>1165202816.2735846</v>
      </c>
      <c r="N220" s="42">
        <f t="shared" si="62"/>
        <v>1053217.9829988272</v>
      </c>
      <c r="O220" s="42">
        <f t="shared" si="63"/>
        <v>55641220794.876373</v>
      </c>
      <c r="P220" s="4">
        <f t="shared" si="64"/>
        <v>-1015030.2929988273</v>
      </c>
      <c r="Q220" s="4">
        <f t="shared" si="65"/>
        <v>1030286495705.2852</v>
      </c>
      <c r="R220" s="43">
        <f t="shared" si="66"/>
        <v>1.1093041262098828E-3</v>
      </c>
      <c r="S220" s="4">
        <f t="shared" si="67"/>
        <v>-0.834618598242162</v>
      </c>
      <c r="T220" s="30">
        <f t="shared" si="68"/>
        <v>973608.07666129631</v>
      </c>
      <c r="U220" s="31">
        <f t="shared" si="69"/>
        <v>1132827.8893363583</v>
      </c>
      <c r="V220" s="31">
        <f t="shared" si="70"/>
        <v>3444523.8249244941</v>
      </c>
      <c r="W220" s="42">
        <f t="shared" si="71"/>
        <v>3444784.9576595342</v>
      </c>
    </row>
    <row r="221" spans="2:23" x14ac:dyDescent="0.3">
      <c r="B221" s="2">
        <v>213</v>
      </c>
      <c r="C221" s="2">
        <v>1476</v>
      </c>
      <c r="D221" s="4">
        <v>227392.56</v>
      </c>
      <c r="E221" s="4">
        <f t="shared" si="54"/>
        <v>335631418.56</v>
      </c>
      <c r="F221" s="2">
        <f t="shared" si="55"/>
        <v>2178576</v>
      </c>
      <c r="G221" s="2">
        <f t="shared" si="56"/>
        <v>51707376343.3536</v>
      </c>
      <c r="H221" s="42">
        <f t="shared" si="57"/>
        <v>-3548.4809999999998</v>
      </c>
      <c r="I221" s="2">
        <f t="shared" si="58"/>
        <v>12591717.407360999</v>
      </c>
      <c r="J221" s="4">
        <f t="shared" si="59"/>
        <v>-1061709.3368099991</v>
      </c>
      <c r="K221" s="2">
        <f t="shared" si="60"/>
        <v>1127226715869.5281</v>
      </c>
      <c r="L221" s="2">
        <f t="shared" si="61"/>
        <v>3767455409.1928821</v>
      </c>
      <c r="N221" s="42">
        <f t="shared" si="62"/>
        <v>390501.08115774044</v>
      </c>
      <c r="O221" s="42">
        <f t="shared" si="63"/>
        <v>807483425890.90466</v>
      </c>
      <c r="P221" s="4">
        <f t="shared" si="64"/>
        <v>-163108.52115774044</v>
      </c>
      <c r="Q221" s="4">
        <f t="shared" si="65"/>
        <v>26604389674.26506</v>
      </c>
      <c r="R221" s="43">
        <f t="shared" si="66"/>
        <v>2.586256897945261E-3</v>
      </c>
      <c r="S221" s="4">
        <f t="shared" si="67"/>
        <v>-0.13421684153038402</v>
      </c>
      <c r="T221" s="30">
        <f t="shared" si="68"/>
        <v>268944.73708678735</v>
      </c>
      <c r="U221" s="31">
        <f t="shared" si="69"/>
        <v>512057.42522869352</v>
      </c>
      <c r="V221" s="31">
        <f t="shared" si="70"/>
        <v>2780041.9203214068</v>
      </c>
      <c r="W221" s="42">
        <f t="shared" si="71"/>
        <v>2783831.5643724147</v>
      </c>
    </row>
    <row r="222" spans="2:23" x14ac:dyDescent="0.3">
      <c r="B222" s="2">
        <v>214</v>
      </c>
      <c r="C222" s="2">
        <v>276</v>
      </c>
      <c r="D222" s="4">
        <v>22557.48</v>
      </c>
      <c r="E222" s="4">
        <f t="shared" si="54"/>
        <v>6225864.4799999995</v>
      </c>
      <c r="F222" s="2">
        <f t="shared" si="55"/>
        <v>76176</v>
      </c>
      <c r="G222" s="2">
        <f t="shared" si="56"/>
        <v>508839903.95039999</v>
      </c>
      <c r="H222" s="42">
        <f t="shared" si="57"/>
        <v>-4748.4809999999998</v>
      </c>
      <c r="I222" s="2">
        <f t="shared" si="58"/>
        <v>22548071.807360999</v>
      </c>
      <c r="J222" s="4">
        <f t="shared" si="59"/>
        <v>-1266544.4168099992</v>
      </c>
      <c r="K222" s="2">
        <f t="shared" si="60"/>
        <v>1604134759752.5808</v>
      </c>
      <c r="L222" s="2">
        <f t="shared" si="61"/>
        <v>6014162098.8783617</v>
      </c>
      <c r="N222" s="42">
        <f t="shared" si="62"/>
        <v>86618.665334544377</v>
      </c>
      <c r="O222" s="42">
        <f t="shared" si="63"/>
        <v>1445965921979.6521</v>
      </c>
      <c r="P222" s="4">
        <f t="shared" si="64"/>
        <v>-64061.185334544381</v>
      </c>
      <c r="Q222" s="4">
        <f t="shared" si="65"/>
        <v>4103835466.4668441</v>
      </c>
      <c r="R222" s="43">
        <f t="shared" si="66"/>
        <v>3.8405207393617641E-3</v>
      </c>
      <c r="S222" s="4">
        <f t="shared" si="67"/>
        <v>-5.2747098199218183E-2</v>
      </c>
      <c r="T222" s="30">
        <f t="shared" si="68"/>
        <v>-61509.231322211504</v>
      </c>
      <c r="U222" s="31">
        <f t="shared" si="69"/>
        <v>234746.56199130026</v>
      </c>
      <c r="V222" s="31">
        <f t="shared" si="70"/>
        <v>2474659.5973637542</v>
      </c>
      <c r="W222" s="42">
        <f t="shared" si="71"/>
        <v>2481445.7427805653</v>
      </c>
    </row>
    <row r="223" spans="2:23" x14ac:dyDescent="0.3">
      <c r="B223" s="2">
        <v>215</v>
      </c>
      <c r="C223" s="2">
        <v>5810</v>
      </c>
      <c r="D223" s="4">
        <v>2451180.9</v>
      </c>
      <c r="E223" s="4">
        <f t="shared" si="54"/>
        <v>14241361029</v>
      </c>
      <c r="F223" s="2">
        <f t="shared" si="55"/>
        <v>33756100</v>
      </c>
      <c r="G223" s="2">
        <f t="shared" si="56"/>
        <v>6008287804524.8096</v>
      </c>
      <c r="H223" s="42">
        <f t="shared" si="57"/>
        <v>785.51900000000023</v>
      </c>
      <c r="I223" s="2">
        <f t="shared" si="58"/>
        <v>617040.09936100035</v>
      </c>
      <c r="J223" s="4">
        <f t="shared" si="59"/>
        <v>1162079.0031900008</v>
      </c>
      <c r="K223" s="2">
        <f t="shared" si="60"/>
        <v>1350427609655.0659</v>
      </c>
      <c r="L223" s="2">
        <f t="shared" si="61"/>
        <v>912835136.50680649</v>
      </c>
      <c r="N223" s="42">
        <f t="shared" si="62"/>
        <v>1488023.072972517</v>
      </c>
      <c r="O223" s="42">
        <f t="shared" si="63"/>
        <v>39569634325.879463</v>
      </c>
      <c r="P223" s="4">
        <f t="shared" si="64"/>
        <v>963157.82702748291</v>
      </c>
      <c r="Q223" s="4">
        <f t="shared" si="65"/>
        <v>927672999764.30273</v>
      </c>
      <c r="R223" s="43">
        <f t="shared" si="66"/>
        <v>1.0777323761529168E-3</v>
      </c>
      <c r="S223" s="4">
        <f t="shared" si="67"/>
        <v>0.79195343966626186</v>
      </c>
      <c r="T223" s="30">
        <f t="shared" si="68"/>
        <v>1409554.2273539512</v>
      </c>
      <c r="U223" s="31">
        <f t="shared" si="69"/>
        <v>1566491.9185910828</v>
      </c>
      <c r="V223" s="31">
        <f t="shared" si="70"/>
        <v>3879366.6298631164</v>
      </c>
      <c r="W223" s="42">
        <f t="shared" si="71"/>
        <v>3879552.3361916407</v>
      </c>
    </row>
    <row r="224" spans="2:23" x14ac:dyDescent="0.3">
      <c r="B224" s="2">
        <v>216</v>
      </c>
      <c r="C224" s="2">
        <v>5427</v>
      </c>
      <c r="D224" s="4">
        <v>836083.62</v>
      </c>
      <c r="E224" s="4">
        <f t="shared" si="54"/>
        <v>4537425805.7399998</v>
      </c>
      <c r="F224" s="2">
        <f t="shared" si="55"/>
        <v>29452329</v>
      </c>
      <c r="G224" s="2">
        <f t="shared" si="56"/>
        <v>699035819632.30444</v>
      </c>
      <c r="H224" s="42">
        <f t="shared" si="57"/>
        <v>402.51900000000023</v>
      </c>
      <c r="I224" s="2">
        <f t="shared" si="58"/>
        <v>162021.5453610002</v>
      </c>
      <c r="J224" s="4">
        <f t="shared" si="59"/>
        <v>-453018.27680999914</v>
      </c>
      <c r="K224" s="2">
        <f t="shared" si="60"/>
        <v>205225559123.901</v>
      </c>
      <c r="L224" s="2">
        <f t="shared" si="61"/>
        <v>-182348463.76328415</v>
      </c>
      <c r="N224" s="42">
        <f t="shared" si="62"/>
        <v>1391033.9352556134</v>
      </c>
      <c r="O224" s="42">
        <f t="shared" si="63"/>
        <v>10390140461.678186</v>
      </c>
      <c r="P224" s="4">
        <f t="shared" si="64"/>
        <v>-554950.31525561342</v>
      </c>
      <c r="Q224" s="4">
        <f t="shared" si="65"/>
        <v>307969852402.30469</v>
      </c>
      <c r="R224" s="43">
        <f t="shared" si="66"/>
        <v>1.0204108610152253E-3</v>
      </c>
      <c r="S224" s="4">
        <f t="shared" si="67"/>
        <v>-0.4562930283869468</v>
      </c>
      <c r="T224" s="30">
        <f t="shared" si="68"/>
        <v>1314680.3675070561</v>
      </c>
      <c r="U224" s="31">
        <f t="shared" si="69"/>
        <v>1467387.5030041707</v>
      </c>
      <c r="V224" s="31">
        <f t="shared" si="70"/>
        <v>3782445.9657319514</v>
      </c>
      <c r="W224" s="42">
        <f t="shared" si="71"/>
        <v>3782494.728245669</v>
      </c>
    </row>
    <row r="225" spans="2:23" x14ac:dyDescent="0.3">
      <c r="B225" s="2">
        <v>217</v>
      </c>
      <c r="C225" s="2">
        <v>3507</v>
      </c>
      <c r="D225" s="4">
        <v>2283793.4700000002</v>
      </c>
      <c r="E225" s="4">
        <f t="shared" si="54"/>
        <v>8009263699.2900009</v>
      </c>
      <c r="F225" s="2">
        <f t="shared" si="55"/>
        <v>12299049</v>
      </c>
      <c r="G225" s="2">
        <f t="shared" si="56"/>
        <v>5215712613614.6416</v>
      </c>
      <c r="H225" s="42">
        <f t="shared" si="57"/>
        <v>-1517.4809999999998</v>
      </c>
      <c r="I225" s="2">
        <f t="shared" si="58"/>
        <v>2302748.5853609992</v>
      </c>
      <c r="J225" s="4">
        <f t="shared" si="59"/>
        <v>994691.57319000107</v>
      </c>
      <c r="K225" s="2">
        <f t="shared" si="60"/>
        <v>989411325775.19922</v>
      </c>
      <c r="L225" s="2">
        <f t="shared" si="61"/>
        <v>-1509425563.1759357</v>
      </c>
      <c r="N225" s="42">
        <f t="shared" si="62"/>
        <v>904822.06993849971</v>
      </c>
      <c r="O225" s="42">
        <f t="shared" si="63"/>
        <v>147670985340.38956</v>
      </c>
      <c r="P225" s="4">
        <f t="shared" si="64"/>
        <v>1378971.4000615005</v>
      </c>
      <c r="Q225" s="4">
        <f t="shared" si="65"/>
        <v>1901562122187.575</v>
      </c>
      <c r="R225" s="43">
        <f t="shared" si="66"/>
        <v>1.2900915506273364E-3</v>
      </c>
      <c r="S225" s="4">
        <f t="shared" si="67"/>
        <v>1.1339753601884395</v>
      </c>
      <c r="T225" s="30">
        <f t="shared" si="68"/>
        <v>818969.74429890979</v>
      </c>
      <c r="U225" s="31">
        <f t="shared" si="69"/>
        <v>990674.39557808964</v>
      </c>
      <c r="V225" s="31">
        <f t="shared" si="70"/>
        <v>3295911.9354594862</v>
      </c>
      <c r="W225" s="42">
        <f t="shared" si="71"/>
        <v>3296604.9779212493</v>
      </c>
    </row>
    <row r="226" spans="2:23" x14ac:dyDescent="0.3">
      <c r="B226" s="2">
        <v>218</v>
      </c>
      <c r="C226" s="2">
        <v>6460</v>
      </c>
      <c r="D226" s="4">
        <v>306527</v>
      </c>
      <c r="E226" s="4">
        <f t="shared" si="54"/>
        <v>1980164420</v>
      </c>
      <c r="F226" s="2">
        <f t="shared" si="55"/>
        <v>41731600</v>
      </c>
      <c r="G226" s="2">
        <f t="shared" si="56"/>
        <v>93958801729</v>
      </c>
      <c r="H226" s="42">
        <f t="shared" si="57"/>
        <v>1435.5190000000002</v>
      </c>
      <c r="I226" s="2">
        <f t="shared" si="58"/>
        <v>2060714.7993610008</v>
      </c>
      <c r="J226" s="4">
        <f t="shared" si="59"/>
        <v>-982574.89680999913</v>
      </c>
      <c r="K226" s="2">
        <f t="shared" si="60"/>
        <v>965453427841.18042</v>
      </c>
      <c r="L226" s="2">
        <f t="shared" si="61"/>
        <v>-1410504933.2937934</v>
      </c>
      <c r="N226" s="42">
        <f t="shared" si="62"/>
        <v>1652626.0482100814</v>
      </c>
      <c r="O226" s="42">
        <f t="shared" si="63"/>
        <v>132149808651.14995</v>
      </c>
      <c r="P226" s="4">
        <f t="shared" si="64"/>
        <v>-1346099.0482100814</v>
      </c>
      <c r="Q226" s="4">
        <f t="shared" si="65"/>
        <v>1811982647592.0872</v>
      </c>
      <c r="R226" s="43">
        <f t="shared" si="66"/>
        <v>1.2596010503915336E-3</v>
      </c>
      <c r="S226" s="4">
        <f t="shared" si="67"/>
        <v>-1.1069264035792306</v>
      </c>
      <c r="T226" s="30">
        <f t="shared" si="68"/>
        <v>1567794.3217207629</v>
      </c>
      <c r="U226" s="31">
        <f t="shared" si="69"/>
        <v>1737457.7746993999</v>
      </c>
      <c r="V226" s="31">
        <f t="shared" si="70"/>
        <v>4043752.3403568882</v>
      </c>
      <c r="W226" s="42">
        <f t="shared" si="71"/>
        <v>4044372.5395673597</v>
      </c>
    </row>
    <row r="227" spans="2:23" x14ac:dyDescent="0.3">
      <c r="B227" s="2">
        <v>219</v>
      </c>
      <c r="C227" s="2">
        <v>7730</v>
      </c>
      <c r="D227" s="4">
        <v>1973314.4</v>
      </c>
      <c r="E227" s="4">
        <f t="shared" si="54"/>
        <v>15253720312</v>
      </c>
      <c r="F227" s="2">
        <f t="shared" si="55"/>
        <v>59752900</v>
      </c>
      <c r="G227" s="2">
        <f t="shared" si="56"/>
        <v>3893969721247.3599</v>
      </c>
      <c r="H227" s="42">
        <f t="shared" si="57"/>
        <v>2705.5190000000002</v>
      </c>
      <c r="I227" s="2">
        <f t="shared" si="58"/>
        <v>7319833.0593610015</v>
      </c>
      <c r="J227" s="4">
        <f t="shared" si="59"/>
        <v>684212.50319000077</v>
      </c>
      <c r="K227" s="2">
        <f t="shared" si="60"/>
        <v>468146749521.52679</v>
      </c>
      <c r="L227" s="2">
        <f t="shared" si="61"/>
        <v>1851149927.4181077</v>
      </c>
      <c r="N227" s="42">
        <f t="shared" si="62"/>
        <v>1974234.9382896307</v>
      </c>
      <c r="O227" s="42">
        <f t="shared" si="63"/>
        <v>469407284527.13055</v>
      </c>
      <c r="P227" s="4">
        <f t="shared" si="64"/>
        <v>-920.53828963078558</v>
      </c>
      <c r="Q227" s="4">
        <f t="shared" si="65"/>
        <v>847390.74267637206</v>
      </c>
      <c r="R227" s="43">
        <f t="shared" si="66"/>
        <v>1.9221248624458004E-3</v>
      </c>
      <c r="S227" s="4">
        <f t="shared" si="67"/>
        <v>-7.5722977364103003E-4</v>
      </c>
      <c r="T227" s="30">
        <f t="shared" si="68"/>
        <v>1869441.8602437861</v>
      </c>
      <c r="U227" s="31">
        <f t="shared" si="69"/>
        <v>2079028.0163354753</v>
      </c>
      <c r="V227" s="31">
        <f t="shared" si="70"/>
        <v>4364569.5963675687</v>
      </c>
      <c r="W227" s="42">
        <f t="shared" si="71"/>
        <v>4366772.5965736154</v>
      </c>
    </row>
    <row r="228" spans="2:23" x14ac:dyDescent="0.3">
      <c r="B228" s="2">
        <v>220</v>
      </c>
      <c r="C228" s="2">
        <v>2789</v>
      </c>
      <c r="D228" s="4">
        <v>1176651.21</v>
      </c>
      <c r="E228" s="4">
        <f t="shared" si="54"/>
        <v>3281680224.6900001</v>
      </c>
      <c r="F228" s="2">
        <f t="shared" si="55"/>
        <v>7778521</v>
      </c>
      <c r="G228" s="2">
        <f t="shared" si="56"/>
        <v>1384508069994.4641</v>
      </c>
      <c r="H228" s="42">
        <f t="shared" si="57"/>
        <v>-2235.4809999999998</v>
      </c>
      <c r="I228" s="2">
        <f t="shared" si="58"/>
        <v>4997375.3013609992</v>
      </c>
      <c r="J228" s="4">
        <f t="shared" si="59"/>
        <v>-112450.68680999917</v>
      </c>
      <c r="K228" s="2">
        <f t="shared" si="60"/>
        <v>12645156964.040522</v>
      </c>
      <c r="L228" s="2">
        <f t="shared" si="61"/>
        <v>251381373.80070373</v>
      </c>
      <c r="N228" s="42">
        <f t="shared" si="62"/>
        <v>722999.09113762085</v>
      </c>
      <c r="O228" s="42">
        <f t="shared" si="63"/>
        <v>320472386590.13849</v>
      </c>
      <c r="P228" s="4">
        <f t="shared" si="64"/>
        <v>453652.11886237911</v>
      </c>
      <c r="Q228" s="4">
        <f t="shared" si="65"/>
        <v>205800244948.32614</v>
      </c>
      <c r="R228" s="43">
        <f t="shared" si="66"/>
        <v>1.6295504248507867E-3</v>
      </c>
      <c r="S228" s="4">
        <f t="shared" si="67"/>
        <v>0.37311707401304695</v>
      </c>
      <c r="T228" s="30">
        <f t="shared" si="68"/>
        <v>626510.55876372033</v>
      </c>
      <c r="U228" s="31">
        <f t="shared" si="69"/>
        <v>819487.62351152138</v>
      </c>
      <c r="V228" s="31">
        <f t="shared" si="70"/>
        <v>3113683.3718269849</v>
      </c>
      <c r="W228" s="42">
        <f t="shared" si="71"/>
        <v>3115187.3976846542</v>
      </c>
    </row>
    <row r="229" spans="2:23" x14ac:dyDescent="0.3">
      <c r="B229" s="2">
        <v>221</v>
      </c>
      <c r="C229" s="2">
        <v>4144</v>
      </c>
      <c r="D229" s="4">
        <v>338689.12</v>
      </c>
      <c r="E229" s="4">
        <f t="shared" si="54"/>
        <v>1403527713.28</v>
      </c>
      <c r="F229" s="2">
        <f t="shared" si="55"/>
        <v>17172736</v>
      </c>
      <c r="G229" s="2">
        <f t="shared" si="56"/>
        <v>114710320006.37439</v>
      </c>
      <c r="H229" s="42">
        <f t="shared" si="57"/>
        <v>-880.48099999999977</v>
      </c>
      <c r="I229" s="2">
        <f t="shared" si="58"/>
        <v>775246.79136099957</v>
      </c>
      <c r="J229" s="4">
        <f t="shared" si="59"/>
        <v>-950412.77680999914</v>
      </c>
      <c r="K229" s="2">
        <f t="shared" si="60"/>
        <v>903284446323.69324</v>
      </c>
      <c r="L229" s="2">
        <f t="shared" si="61"/>
        <v>836820392.13844466</v>
      </c>
      <c r="N229" s="42">
        <f t="shared" si="62"/>
        <v>1066132.985671313</v>
      </c>
      <c r="O229" s="42">
        <f t="shared" si="63"/>
        <v>49715135334.371307</v>
      </c>
      <c r="P229" s="4">
        <f t="shared" si="64"/>
        <v>-727443.86567131302</v>
      </c>
      <c r="Q229" s="4">
        <f t="shared" si="65"/>
        <v>529174577702.8233</v>
      </c>
      <c r="R229" s="43">
        <f t="shared" si="66"/>
        <v>1.0976626563813624E-3</v>
      </c>
      <c r="S229" s="4">
        <f t="shared" si="67"/>
        <v>-0.59814435664636212</v>
      </c>
      <c r="T229" s="30">
        <f t="shared" si="68"/>
        <v>986941.90976607695</v>
      </c>
      <c r="U229" s="31">
        <f t="shared" si="69"/>
        <v>1145324.0615765492</v>
      </c>
      <c r="V229" s="31">
        <f t="shared" si="70"/>
        <v>3457452.7343272441</v>
      </c>
      <c r="W229" s="42">
        <f t="shared" si="71"/>
        <v>3457686.0550393593</v>
      </c>
    </row>
    <row r="230" spans="2:23" x14ac:dyDescent="0.3">
      <c r="B230" s="2">
        <v>222</v>
      </c>
      <c r="C230" s="2">
        <v>6329</v>
      </c>
      <c r="D230" s="4">
        <v>1615667.12</v>
      </c>
      <c r="E230" s="4">
        <f t="shared" si="54"/>
        <v>10225557202.480001</v>
      </c>
      <c r="F230" s="2">
        <f t="shared" si="55"/>
        <v>40056241</v>
      </c>
      <c r="G230" s="2">
        <f t="shared" si="56"/>
        <v>2610380242649.0947</v>
      </c>
      <c r="H230" s="42">
        <f t="shared" si="57"/>
        <v>1304.5190000000002</v>
      </c>
      <c r="I230" s="2">
        <f t="shared" si="58"/>
        <v>1701769.8213610006</v>
      </c>
      <c r="J230" s="4">
        <f t="shared" si="59"/>
        <v>326565.22319000098</v>
      </c>
      <c r="K230" s="2">
        <f t="shared" si="60"/>
        <v>106644844997.13515</v>
      </c>
      <c r="L230" s="2">
        <f t="shared" si="61"/>
        <v>426010538.39059699</v>
      </c>
      <c r="N230" s="42">
        <f t="shared" si="62"/>
        <v>1619452.2178160492</v>
      </c>
      <c r="O230" s="42">
        <f t="shared" si="63"/>
        <v>109131334588.80034</v>
      </c>
      <c r="P230" s="4">
        <f t="shared" si="64"/>
        <v>-3785.0978160491213</v>
      </c>
      <c r="Q230" s="4">
        <f t="shared" si="65"/>
        <v>14326965.477059828</v>
      </c>
      <c r="R230" s="43">
        <f t="shared" si="66"/>
        <v>1.2143825207092793E-3</v>
      </c>
      <c r="S230" s="4">
        <f t="shared" si="67"/>
        <v>-3.1124974593652391E-3</v>
      </c>
      <c r="T230" s="30">
        <f t="shared" si="68"/>
        <v>1536157.0989025109</v>
      </c>
      <c r="U230" s="31">
        <f t="shared" si="69"/>
        <v>1702747.3367295875</v>
      </c>
      <c r="V230" s="31">
        <f t="shared" si="70"/>
        <v>4010632.5309626916</v>
      </c>
      <c r="W230" s="42">
        <f t="shared" si="71"/>
        <v>4011144.7009617216</v>
      </c>
    </row>
    <row r="231" spans="2:23" x14ac:dyDescent="0.3">
      <c r="B231" s="2">
        <v>223</v>
      </c>
      <c r="C231" s="2">
        <v>912</v>
      </c>
      <c r="D231" s="4">
        <v>609462.24</v>
      </c>
      <c r="E231" s="4">
        <f t="shared" si="54"/>
        <v>555829562.88</v>
      </c>
      <c r="F231" s="2">
        <f t="shared" si="55"/>
        <v>831744</v>
      </c>
      <c r="G231" s="2">
        <f t="shared" si="56"/>
        <v>371444221985.81757</v>
      </c>
      <c r="H231" s="42">
        <f t="shared" si="57"/>
        <v>-4112.4809999999998</v>
      </c>
      <c r="I231" s="2">
        <f t="shared" si="58"/>
        <v>16912499.975360997</v>
      </c>
      <c r="J231" s="4">
        <f t="shared" si="59"/>
        <v>-679639.65680999914</v>
      </c>
      <c r="K231" s="2">
        <f t="shared" si="60"/>
        <v>461910063108.81342</v>
      </c>
      <c r="L231" s="2">
        <f t="shared" si="61"/>
        <v>2795005175.4776421</v>
      </c>
      <c r="N231" s="42">
        <f t="shared" si="62"/>
        <v>247676.34572083829</v>
      </c>
      <c r="O231" s="42">
        <f t="shared" si="63"/>
        <v>1084567178461.3623</v>
      </c>
      <c r="P231" s="4">
        <f t="shared" si="64"/>
        <v>361785.8942791617</v>
      </c>
      <c r="Q231" s="4">
        <f t="shared" si="65"/>
        <v>130889033299.37277</v>
      </c>
      <c r="R231" s="43">
        <f t="shared" si="66"/>
        <v>3.1305727312250747E-3</v>
      </c>
      <c r="S231" s="4">
        <f t="shared" si="67"/>
        <v>0.29778343134327051</v>
      </c>
      <c r="T231" s="30">
        <f t="shared" si="68"/>
        <v>113938.69260034032</v>
      </c>
      <c r="U231" s="31">
        <f t="shared" si="69"/>
        <v>381413.99884133623</v>
      </c>
      <c r="V231" s="31">
        <f t="shared" si="70"/>
        <v>2636566.3823179011</v>
      </c>
      <c r="W231" s="42">
        <f t="shared" si="71"/>
        <v>2641656.4243687107</v>
      </c>
    </row>
    <row r="232" spans="2:23" x14ac:dyDescent="0.3">
      <c r="B232" s="2">
        <v>224</v>
      </c>
      <c r="C232" s="2">
        <v>1492</v>
      </c>
      <c r="D232" s="4">
        <v>306904.39999999997</v>
      </c>
      <c r="E232" s="4">
        <f t="shared" si="54"/>
        <v>457901364.79999995</v>
      </c>
      <c r="F232" s="2">
        <f t="shared" si="55"/>
        <v>2226064</v>
      </c>
      <c r="G232" s="2">
        <f t="shared" si="56"/>
        <v>94190310739.359985</v>
      </c>
      <c r="H232" s="42">
        <f t="shared" si="57"/>
        <v>-3532.4809999999998</v>
      </c>
      <c r="I232" s="2">
        <f t="shared" si="58"/>
        <v>12478422.015360998</v>
      </c>
      <c r="J232" s="4">
        <f t="shared" si="59"/>
        <v>-982197.49680999923</v>
      </c>
      <c r="K232" s="2">
        <f t="shared" si="60"/>
        <v>964711922739.82849</v>
      </c>
      <c r="L232" s="2">
        <f t="shared" si="61"/>
        <v>3469593995.7288828</v>
      </c>
      <c r="N232" s="42">
        <f t="shared" si="62"/>
        <v>394552.84670204972</v>
      </c>
      <c r="O232" s="42">
        <f t="shared" si="63"/>
        <v>800218003049.03455</v>
      </c>
      <c r="P232" s="4">
        <f t="shared" si="64"/>
        <v>-87648.446702049754</v>
      </c>
      <c r="Q232" s="4">
        <f t="shared" si="65"/>
        <v>7682250209.2820568</v>
      </c>
      <c r="R232" s="43">
        <f t="shared" si="66"/>
        <v>2.57198437329661E-3</v>
      </c>
      <c r="S232" s="4">
        <f t="shared" si="67"/>
        <v>-7.2122617695615274E-2</v>
      </c>
      <c r="T232" s="30">
        <f t="shared" si="68"/>
        <v>273332.37725433661</v>
      </c>
      <c r="U232" s="31">
        <f t="shared" si="69"/>
        <v>515773.31614976283</v>
      </c>
      <c r="V232" s="31">
        <f t="shared" si="70"/>
        <v>2784110.7481980082</v>
      </c>
      <c r="W232" s="42">
        <f t="shared" si="71"/>
        <v>2787866.2944797995</v>
      </c>
    </row>
    <row r="233" spans="2:23" x14ac:dyDescent="0.3">
      <c r="B233" s="2">
        <v>225</v>
      </c>
      <c r="C233" s="2">
        <v>8699</v>
      </c>
      <c r="D233" s="4">
        <v>1789384.2999999998</v>
      </c>
      <c r="E233" s="4">
        <f t="shared" si="54"/>
        <v>15565854025.699999</v>
      </c>
      <c r="F233" s="2">
        <f t="shared" si="55"/>
        <v>75672601</v>
      </c>
      <c r="G233" s="2">
        <f t="shared" si="56"/>
        <v>3201896173086.4893</v>
      </c>
      <c r="H233" s="42">
        <f t="shared" si="57"/>
        <v>3674.5190000000002</v>
      </c>
      <c r="I233" s="2">
        <f t="shared" si="58"/>
        <v>13502089.881361002</v>
      </c>
      <c r="J233" s="4">
        <f t="shared" si="59"/>
        <v>500282.40319000068</v>
      </c>
      <c r="K233" s="2">
        <f t="shared" si="60"/>
        <v>250282482941.56241</v>
      </c>
      <c r="L233" s="2">
        <f t="shared" si="61"/>
        <v>1838297195.8873181</v>
      </c>
      <c r="N233" s="42">
        <f t="shared" si="62"/>
        <v>2219619.9890668616</v>
      </c>
      <c r="O233" s="42">
        <f t="shared" si="63"/>
        <v>865863920017.35071</v>
      </c>
      <c r="P233" s="4">
        <f t="shared" si="64"/>
        <v>-430235.68906686176</v>
      </c>
      <c r="Q233" s="4">
        <f t="shared" si="65"/>
        <v>185102748146.83734</v>
      </c>
      <c r="R233" s="43">
        <f t="shared" si="66"/>
        <v>2.7009421763599275E-3</v>
      </c>
      <c r="S233" s="4">
        <f t="shared" si="67"/>
        <v>-0.35404769172149364</v>
      </c>
      <c r="T233" s="30">
        <f t="shared" si="68"/>
        <v>2095397.7245252889</v>
      </c>
      <c r="U233" s="31">
        <f t="shared" si="69"/>
        <v>2343842.2536084345</v>
      </c>
      <c r="V233" s="31">
        <f t="shared" si="70"/>
        <v>4609023.7213413082</v>
      </c>
      <c r="W233" s="42">
        <f t="shared" si="71"/>
        <v>4613087.3542315774</v>
      </c>
    </row>
    <row r="234" spans="2:23" x14ac:dyDescent="0.3">
      <c r="B234" s="2">
        <v>226</v>
      </c>
      <c r="C234" s="2">
        <v>5193</v>
      </c>
      <c r="D234" s="4">
        <v>1068200.0999999999</v>
      </c>
      <c r="E234" s="4">
        <f t="shared" si="54"/>
        <v>5547163119.2999992</v>
      </c>
      <c r="F234" s="2">
        <f t="shared" si="55"/>
        <v>26967249</v>
      </c>
      <c r="G234" s="2">
        <f t="shared" si="56"/>
        <v>1141051453640.0098</v>
      </c>
      <c r="H234" s="42">
        <f t="shared" si="57"/>
        <v>168.51900000000023</v>
      </c>
      <c r="I234" s="2">
        <f t="shared" si="58"/>
        <v>28398.653361000077</v>
      </c>
      <c r="J234" s="4">
        <f t="shared" si="59"/>
        <v>-220901.79680999927</v>
      </c>
      <c r="K234" s="2">
        <f t="shared" si="60"/>
        <v>48797603833.886208</v>
      </c>
      <c r="L234" s="2">
        <f t="shared" si="61"/>
        <v>-37226149.896624319</v>
      </c>
      <c r="N234" s="42">
        <f t="shared" si="62"/>
        <v>1331776.8641700903</v>
      </c>
      <c r="O234" s="42">
        <f t="shared" si="63"/>
        <v>1821152839.1848462</v>
      </c>
      <c r="P234" s="4">
        <f t="shared" si="64"/>
        <v>-263576.76417009044</v>
      </c>
      <c r="Q234" s="4">
        <f t="shared" si="65"/>
        <v>69472710610.375473</v>
      </c>
      <c r="R234" s="43">
        <f t="shared" si="66"/>
        <v>1.0035775548583952E-3</v>
      </c>
      <c r="S234" s="4">
        <f t="shared" si="67"/>
        <v>-0.21671710665303162</v>
      </c>
      <c r="T234" s="30">
        <f t="shared" si="68"/>
        <v>1256055.7024002655</v>
      </c>
      <c r="U234" s="31">
        <f t="shared" si="69"/>
        <v>1407498.0259399151</v>
      </c>
      <c r="V234" s="31">
        <f t="shared" si="70"/>
        <v>3723209.0025497526</v>
      </c>
      <c r="W234" s="42">
        <f t="shared" si="71"/>
        <v>3723217.549497758</v>
      </c>
    </row>
    <row r="235" spans="2:23" x14ac:dyDescent="0.3">
      <c r="B235" s="2">
        <v>227</v>
      </c>
      <c r="C235" s="2">
        <v>668</v>
      </c>
      <c r="D235" s="4">
        <v>446404.36</v>
      </c>
      <c r="E235" s="4">
        <f t="shared" si="54"/>
        <v>298198112.48000002</v>
      </c>
      <c r="F235" s="2">
        <f t="shared" si="55"/>
        <v>446224</v>
      </c>
      <c r="G235" s="2">
        <f t="shared" si="56"/>
        <v>199276852627.00958</v>
      </c>
      <c r="H235" s="42">
        <f t="shared" si="57"/>
        <v>-4356.4809999999998</v>
      </c>
      <c r="I235" s="2">
        <f t="shared" si="58"/>
        <v>18978926.703360997</v>
      </c>
      <c r="J235" s="4">
        <f t="shared" si="59"/>
        <v>-842697.53680999915</v>
      </c>
      <c r="K235" s="2">
        <f t="shared" si="60"/>
        <v>710139138545.63989</v>
      </c>
      <c r="L235" s="2">
        <f t="shared" si="61"/>
        <v>3671195807.8595619</v>
      </c>
      <c r="N235" s="42">
        <f t="shared" si="62"/>
        <v>185886.92117012176</v>
      </c>
      <c r="O235" s="42">
        <f t="shared" si="63"/>
        <v>1217083282476.0952</v>
      </c>
      <c r="P235" s="4">
        <f t="shared" si="64"/>
        <v>260517.43882987823</v>
      </c>
      <c r="Q235" s="4">
        <f t="shared" si="65"/>
        <v>67869335934.479347</v>
      </c>
      <c r="R235" s="43">
        <f t="shared" si="66"/>
        <v>3.3908933487662718E-3</v>
      </c>
      <c r="S235" s="4">
        <f t="shared" si="67"/>
        <v>0.21445807956709487</v>
      </c>
      <c r="T235" s="30">
        <f t="shared" si="68"/>
        <v>46699.860367943242</v>
      </c>
      <c r="U235" s="31">
        <f t="shared" si="69"/>
        <v>325073.98197230027</v>
      </c>
      <c r="V235" s="31">
        <f t="shared" si="70"/>
        <v>2574465.6468813233</v>
      </c>
      <c r="W235" s="42">
        <f t="shared" si="71"/>
        <v>2580177.6084082946</v>
      </c>
    </row>
    <row r="236" spans="2:23" x14ac:dyDescent="0.3">
      <c r="B236" s="2">
        <v>228</v>
      </c>
      <c r="C236" s="2">
        <v>6847</v>
      </c>
      <c r="D236" s="4">
        <v>2993508.4</v>
      </c>
      <c r="E236" s="4">
        <f t="shared" si="54"/>
        <v>20496552014.799999</v>
      </c>
      <c r="F236" s="2">
        <f t="shared" si="55"/>
        <v>46881409</v>
      </c>
      <c r="G236" s="2">
        <f t="shared" si="56"/>
        <v>8961092540870.5586</v>
      </c>
      <c r="H236" s="42">
        <f t="shared" si="57"/>
        <v>1822.5190000000002</v>
      </c>
      <c r="I236" s="2">
        <f t="shared" si="58"/>
        <v>3321575.505361001</v>
      </c>
      <c r="J236" s="4">
        <f t="shared" si="59"/>
        <v>1704406.5031900008</v>
      </c>
      <c r="K236" s="2">
        <f t="shared" si="60"/>
        <v>2905001528116.3662</v>
      </c>
      <c r="L236" s="2">
        <f t="shared" si="61"/>
        <v>3106313235.7873373</v>
      </c>
      <c r="N236" s="42">
        <f t="shared" si="62"/>
        <v>1750628.1273130621</v>
      </c>
      <c r="O236" s="42">
        <f t="shared" si="63"/>
        <v>213006461442.36639</v>
      </c>
      <c r="P236" s="4">
        <f t="shared" si="64"/>
        <v>1242880.2726869378</v>
      </c>
      <c r="Q236" s="4">
        <f t="shared" si="65"/>
        <v>1544751372234.3569</v>
      </c>
      <c r="R236" s="43">
        <f t="shared" si="66"/>
        <v>1.4184395096370867E-3</v>
      </c>
      <c r="S236" s="4">
        <f t="shared" si="67"/>
        <v>1.0221286510496266</v>
      </c>
      <c r="T236" s="30">
        <f t="shared" si="68"/>
        <v>1660606.427607171</v>
      </c>
      <c r="U236" s="31">
        <f t="shared" si="69"/>
        <v>1840649.8270189532</v>
      </c>
      <c r="V236" s="31">
        <f t="shared" si="70"/>
        <v>4141564.6510202382</v>
      </c>
      <c r="W236" s="42">
        <f t="shared" si="71"/>
        <v>4142564.3228497724</v>
      </c>
    </row>
    <row r="237" spans="2:23" x14ac:dyDescent="0.3">
      <c r="B237" s="2">
        <v>229</v>
      </c>
      <c r="C237" s="2">
        <v>2485</v>
      </c>
      <c r="D237" s="4">
        <v>511164.5</v>
      </c>
      <c r="E237" s="4">
        <f t="shared" si="54"/>
        <v>1270243782.5</v>
      </c>
      <c r="F237" s="2">
        <f t="shared" si="55"/>
        <v>6175225</v>
      </c>
      <c r="G237" s="2">
        <f t="shared" si="56"/>
        <v>261289146060.25</v>
      </c>
      <c r="H237" s="42">
        <f t="shared" si="57"/>
        <v>-2539.4809999999998</v>
      </c>
      <c r="I237" s="2">
        <f t="shared" si="58"/>
        <v>6448963.7493609991</v>
      </c>
      <c r="J237" s="4">
        <f t="shared" si="59"/>
        <v>-777937.39680999913</v>
      </c>
      <c r="K237" s="2">
        <f t="shared" si="60"/>
        <v>605186593355.51807</v>
      </c>
      <c r="L237" s="2">
        <f t="shared" si="61"/>
        <v>1975557238.3884532</v>
      </c>
      <c r="N237" s="42">
        <f t="shared" si="62"/>
        <v>646015.54579574452</v>
      </c>
      <c r="O237" s="42">
        <f t="shared" si="63"/>
        <v>413560054860.8291</v>
      </c>
      <c r="P237" s="4">
        <f t="shared" si="64"/>
        <v>-134851.04579574452</v>
      </c>
      <c r="Q237" s="4">
        <f t="shared" si="65"/>
        <v>18184804552.205986</v>
      </c>
      <c r="R237" s="43">
        <f t="shared" si="66"/>
        <v>1.8124160431080374E-3</v>
      </c>
      <c r="S237" s="4">
        <f t="shared" si="67"/>
        <v>-0.11092163829352052</v>
      </c>
      <c r="T237" s="30">
        <f t="shared" si="68"/>
        <v>544257.03381087806</v>
      </c>
      <c r="U237" s="31">
        <f t="shared" si="69"/>
        <v>747774.05778061098</v>
      </c>
      <c r="V237" s="31">
        <f t="shared" si="70"/>
        <v>3036481.3104645303</v>
      </c>
      <c r="W237" s="42">
        <f t="shared" si="71"/>
        <v>3038422.2110309983</v>
      </c>
    </row>
    <row r="238" spans="2:23" x14ac:dyDescent="0.3">
      <c r="B238" s="2">
        <v>230</v>
      </c>
      <c r="C238" s="2">
        <v>8367</v>
      </c>
      <c r="D238" s="4">
        <v>1289020.02</v>
      </c>
      <c r="E238" s="4">
        <f t="shared" si="54"/>
        <v>10785230507.34</v>
      </c>
      <c r="F238" s="2">
        <f t="shared" si="55"/>
        <v>70006689</v>
      </c>
      <c r="G238" s="2">
        <f t="shared" si="56"/>
        <v>1661572611960.8005</v>
      </c>
      <c r="H238" s="42">
        <f t="shared" si="57"/>
        <v>3342.5190000000002</v>
      </c>
      <c r="I238" s="2">
        <f t="shared" si="58"/>
        <v>11172433.265361002</v>
      </c>
      <c r="J238" s="4">
        <f t="shared" si="59"/>
        <v>-81.876809999113902</v>
      </c>
      <c r="K238" s="2">
        <f t="shared" si="60"/>
        <v>6703.8120156309988</v>
      </c>
      <c r="L238" s="2">
        <f t="shared" si="61"/>
        <v>-273674.79308142822</v>
      </c>
      <c r="N238" s="42">
        <f t="shared" si="62"/>
        <v>2135545.8540224438</v>
      </c>
      <c r="O238" s="42">
        <f t="shared" si="63"/>
        <v>716467372701.46277</v>
      </c>
      <c r="P238" s="4">
        <f t="shared" si="64"/>
        <v>-846525.83402244374</v>
      </c>
      <c r="Q238" s="4">
        <f t="shared" si="65"/>
        <v>716605987667.39392</v>
      </c>
      <c r="R238" s="43">
        <f t="shared" si="66"/>
        <v>2.407460853882543E-3</v>
      </c>
      <c r="S238" s="4">
        <f t="shared" si="67"/>
        <v>-0.69651690000622357</v>
      </c>
      <c r="T238" s="30">
        <f t="shared" si="68"/>
        <v>2018266.5403446932</v>
      </c>
      <c r="U238" s="31">
        <f t="shared" si="69"/>
        <v>2252825.1677001943</v>
      </c>
      <c r="V238" s="31">
        <f t="shared" si="70"/>
        <v>4525300.4291615244</v>
      </c>
      <c r="W238" s="42">
        <f t="shared" si="71"/>
        <v>4528662.9206360728</v>
      </c>
    </row>
    <row r="239" spans="2:23" x14ac:dyDescent="0.3">
      <c r="B239" s="2">
        <v>231</v>
      </c>
      <c r="C239" s="2">
        <v>2312</v>
      </c>
      <c r="D239" s="4">
        <v>1505597.52</v>
      </c>
      <c r="E239" s="4">
        <f t="shared" si="54"/>
        <v>3480941466.2400002</v>
      </c>
      <c r="F239" s="2">
        <f t="shared" si="55"/>
        <v>5345344</v>
      </c>
      <c r="G239" s="2">
        <f t="shared" si="56"/>
        <v>2266823892230.1504</v>
      </c>
      <c r="H239" s="42">
        <f t="shared" si="57"/>
        <v>-2712.4809999999998</v>
      </c>
      <c r="I239" s="2">
        <f t="shared" si="58"/>
        <v>7357553.1753609991</v>
      </c>
      <c r="J239" s="4">
        <f t="shared" si="59"/>
        <v>216495.62319000089</v>
      </c>
      <c r="K239" s="2">
        <f t="shared" si="60"/>
        <v>46870354860.426849</v>
      </c>
      <c r="L239" s="2">
        <f t="shared" si="61"/>
        <v>-587240264.48603678</v>
      </c>
      <c r="N239" s="42">
        <f t="shared" si="62"/>
        <v>602205.83084790036</v>
      </c>
      <c r="O239" s="42">
        <f t="shared" si="63"/>
        <v>471826205434.20795</v>
      </c>
      <c r="P239" s="4">
        <f t="shared" si="64"/>
        <v>903391.68915209966</v>
      </c>
      <c r="Q239" s="4">
        <f t="shared" si="65"/>
        <v>816116544029.08386</v>
      </c>
      <c r="R239" s="43">
        <f t="shared" si="66"/>
        <v>1.9268766998846963E-3</v>
      </c>
      <c r="S239" s="4">
        <f t="shared" si="67"/>
        <v>0.74312684266819296</v>
      </c>
      <c r="T239" s="30">
        <f t="shared" si="68"/>
        <v>497283.29911781679</v>
      </c>
      <c r="U239" s="31">
        <f t="shared" si="69"/>
        <v>707128.36257798399</v>
      </c>
      <c r="V239" s="31">
        <f t="shared" si="70"/>
        <v>2992534.8101204699</v>
      </c>
      <c r="W239" s="42">
        <f t="shared" si="71"/>
        <v>2994749.1626948584</v>
      </c>
    </row>
    <row r="240" spans="2:23" x14ac:dyDescent="0.3">
      <c r="B240" s="2">
        <v>232</v>
      </c>
      <c r="C240" s="2">
        <v>4168</v>
      </c>
      <c r="D240" s="4">
        <v>1822249.5999999999</v>
      </c>
      <c r="E240" s="4">
        <f t="shared" si="54"/>
        <v>7595136332.7999992</v>
      </c>
      <c r="F240" s="2">
        <f t="shared" si="55"/>
        <v>17372224</v>
      </c>
      <c r="G240" s="2">
        <f t="shared" si="56"/>
        <v>3320593604700.1597</v>
      </c>
      <c r="H240" s="42">
        <f t="shared" si="57"/>
        <v>-856.48099999999977</v>
      </c>
      <c r="I240" s="2">
        <f t="shared" si="58"/>
        <v>733559.70336099959</v>
      </c>
      <c r="J240" s="4">
        <f t="shared" si="59"/>
        <v>533147.70319000073</v>
      </c>
      <c r="K240" s="2">
        <f t="shared" si="60"/>
        <v>284246473416.77313</v>
      </c>
      <c r="L240" s="2">
        <f t="shared" si="61"/>
        <v>-456630877.9758749</v>
      </c>
      <c r="N240" s="42">
        <f t="shared" si="62"/>
        <v>1072210.6339877769</v>
      </c>
      <c r="O240" s="42">
        <f t="shared" si="63"/>
        <v>47041819888.618263</v>
      </c>
      <c r="P240" s="4">
        <f t="shared" si="64"/>
        <v>750038.96601222293</v>
      </c>
      <c r="Q240" s="4">
        <f t="shared" si="65"/>
        <v>562558450536.68445</v>
      </c>
      <c r="R240" s="43">
        <f t="shared" si="66"/>
        <v>1.0924110748253314E-3</v>
      </c>
      <c r="S240" s="4">
        <f t="shared" si="67"/>
        <v>0.6167216697450425</v>
      </c>
      <c r="T240" s="30">
        <f t="shared" si="68"/>
        <v>993209.22337254544</v>
      </c>
      <c r="U240" s="31">
        <f t="shared" si="69"/>
        <v>1151212.0446030085</v>
      </c>
      <c r="V240" s="31">
        <f t="shared" si="70"/>
        <v>3463536.6560800592</v>
      </c>
      <c r="W240" s="42">
        <f t="shared" si="71"/>
        <v>3463757.4305150555</v>
      </c>
    </row>
    <row r="241" spans="2:23" x14ac:dyDescent="0.3">
      <c r="B241" s="2">
        <v>233</v>
      </c>
      <c r="C241" s="2">
        <v>815</v>
      </c>
      <c r="D241" s="4">
        <v>89063.2</v>
      </c>
      <c r="E241" s="4">
        <f t="shared" si="54"/>
        <v>72586508</v>
      </c>
      <c r="F241" s="2">
        <f t="shared" si="55"/>
        <v>664225</v>
      </c>
      <c r="G241" s="2">
        <f t="shared" si="56"/>
        <v>7932253594.2399998</v>
      </c>
      <c r="H241" s="42">
        <f t="shared" si="57"/>
        <v>-4209.4809999999998</v>
      </c>
      <c r="I241" s="2">
        <f t="shared" si="58"/>
        <v>17719730.289360996</v>
      </c>
      <c r="J241" s="4">
        <f t="shared" si="59"/>
        <v>-1200038.6968099992</v>
      </c>
      <c r="K241" s="2">
        <f t="shared" si="60"/>
        <v>1440092873841.4412</v>
      </c>
      <c r="L241" s="2">
        <f t="shared" si="61"/>
        <v>5051540093.4864521</v>
      </c>
      <c r="N241" s="42">
        <f t="shared" si="62"/>
        <v>223112.51710846327</v>
      </c>
      <c r="O241" s="42">
        <f t="shared" si="63"/>
        <v>1136333357636.4653</v>
      </c>
      <c r="P241" s="4">
        <f t="shared" si="64"/>
        <v>-134049.31710846326</v>
      </c>
      <c r="Q241" s="4">
        <f t="shared" si="65"/>
        <v>17969219417.245342</v>
      </c>
      <c r="R241" s="43">
        <f t="shared" si="66"/>
        <v>3.2322645507273508E-3</v>
      </c>
      <c r="S241" s="4">
        <f t="shared" si="67"/>
        <v>-0.11034068057586603</v>
      </c>
      <c r="T241" s="30">
        <f t="shared" si="68"/>
        <v>87220.092213337368</v>
      </c>
      <c r="U241" s="31">
        <f t="shared" si="69"/>
        <v>359004.94200358918</v>
      </c>
      <c r="V241" s="31">
        <f t="shared" si="70"/>
        <v>2611880.9478423879</v>
      </c>
      <c r="W241" s="42">
        <f t="shared" si="71"/>
        <v>2617213.9368993146</v>
      </c>
    </row>
    <row r="242" spans="2:23" x14ac:dyDescent="0.3">
      <c r="B242" s="2">
        <v>234</v>
      </c>
      <c r="C242" s="2">
        <v>1163</v>
      </c>
      <c r="D242" s="4">
        <v>296890.64</v>
      </c>
      <c r="E242" s="4">
        <f t="shared" si="54"/>
        <v>345283814.31999999</v>
      </c>
      <c r="F242" s="2">
        <f t="shared" si="55"/>
        <v>1352569</v>
      </c>
      <c r="G242" s="2">
        <f t="shared" si="56"/>
        <v>88144052119.609604</v>
      </c>
      <c r="H242" s="42">
        <f t="shared" si="57"/>
        <v>-3861.4809999999998</v>
      </c>
      <c r="I242" s="2">
        <f t="shared" si="58"/>
        <v>14911035.513360998</v>
      </c>
      <c r="J242" s="4">
        <f t="shared" si="59"/>
        <v>-992211.25680999912</v>
      </c>
      <c r="K242" s="2">
        <f t="shared" si="60"/>
        <v>984483178140.47803</v>
      </c>
      <c r="L242" s="2">
        <f t="shared" si="61"/>
        <v>3831404916.1579318</v>
      </c>
      <c r="N242" s="42">
        <f t="shared" si="62"/>
        <v>311238.41769719013</v>
      </c>
      <c r="O242" s="42">
        <f t="shared" si="63"/>
        <v>956216983782.60718</v>
      </c>
      <c r="P242" s="4">
        <f t="shared" si="64"/>
        <v>-14347.777697190118</v>
      </c>
      <c r="Q242" s="4">
        <f t="shared" si="65"/>
        <v>205858724.84798619</v>
      </c>
      <c r="R242" s="43">
        <f t="shared" si="66"/>
        <v>2.8784358140652427E-3</v>
      </c>
      <c r="S242" s="4">
        <f t="shared" si="67"/>
        <v>-1.1808061955969911E-2</v>
      </c>
      <c r="T242" s="30">
        <f t="shared" si="68"/>
        <v>182999.4322225661</v>
      </c>
      <c r="U242" s="31">
        <f t="shared" si="69"/>
        <v>439477.40317181416</v>
      </c>
      <c r="V242" s="31">
        <f t="shared" si="70"/>
        <v>2700429.9398274976</v>
      </c>
      <c r="W242" s="42">
        <f t="shared" si="71"/>
        <v>2704917.6139338654</v>
      </c>
    </row>
    <row r="243" spans="2:23" x14ac:dyDescent="0.3">
      <c r="B243" s="2">
        <v>235</v>
      </c>
      <c r="C243" s="2">
        <v>1156</v>
      </c>
      <c r="D243" s="4">
        <v>54852.200000000004</v>
      </c>
      <c r="E243" s="4">
        <f t="shared" si="54"/>
        <v>63409143.200000003</v>
      </c>
      <c r="F243" s="2">
        <f t="shared" si="55"/>
        <v>1336336</v>
      </c>
      <c r="G243" s="2">
        <f t="shared" si="56"/>
        <v>3008763844.8400006</v>
      </c>
      <c r="H243" s="42">
        <f t="shared" si="57"/>
        <v>-3868.4809999999998</v>
      </c>
      <c r="I243" s="2">
        <f t="shared" si="58"/>
        <v>14965145.247360999</v>
      </c>
      <c r="J243" s="4">
        <f t="shared" si="59"/>
        <v>-1234249.6968099992</v>
      </c>
      <c r="K243" s="2">
        <f t="shared" si="60"/>
        <v>1523372314075.575</v>
      </c>
      <c r="L243" s="2">
        <f t="shared" si="61"/>
        <v>4774671501.365242</v>
      </c>
      <c r="N243" s="42">
        <f t="shared" si="62"/>
        <v>309465.77027155482</v>
      </c>
      <c r="O243" s="42">
        <f t="shared" si="63"/>
        <v>959686940419.24683</v>
      </c>
      <c r="P243" s="4">
        <f t="shared" si="64"/>
        <v>-254613.57027155481</v>
      </c>
      <c r="Q243" s="4">
        <f t="shared" si="65"/>
        <v>64828070166.427979</v>
      </c>
      <c r="R243" s="43">
        <f t="shared" si="66"/>
        <v>2.8852523535432733E-3</v>
      </c>
      <c r="S243" s="4">
        <f t="shared" si="67"/>
        <v>-0.20954486141484313</v>
      </c>
      <c r="T243" s="30">
        <f t="shared" si="68"/>
        <v>181075.03064115034</v>
      </c>
      <c r="U243" s="31">
        <f t="shared" si="69"/>
        <v>437856.50990195933</v>
      </c>
      <c r="V243" s="31">
        <f t="shared" si="70"/>
        <v>2698649.1422193954</v>
      </c>
      <c r="W243" s="42">
        <f t="shared" si="71"/>
        <v>2703153.1013830211</v>
      </c>
    </row>
    <row r="244" spans="2:23" x14ac:dyDescent="0.3">
      <c r="B244" s="2">
        <v>236</v>
      </c>
      <c r="C244" s="2">
        <v>8767</v>
      </c>
      <c r="D244" s="4">
        <v>1803371.9</v>
      </c>
      <c r="E244" s="4">
        <f t="shared" si="54"/>
        <v>15810161447.299999</v>
      </c>
      <c r="F244" s="2">
        <f t="shared" si="55"/>
        <v>76860289</v>
      </c>
      <c r="G244" s="2">
        <f t="shared" si="56"/>
        <v>3252150209709.6099</v>
      </c>
      <c r="H244" s="42">
        <f t="shared" si="57"/>
        <v>3742.5190000000002</v>
      </c>
      <c r="I244" s="2">
        <f t="shared" si="58"/>
        <v>14006448.465361001</v>
      </c>
      <c r="J244" s="4">
        <f t="shared" si="59"/>
        <v>514270.00319000077</v>
      </c>
      <c r="K244" s="2">
        <f t="shared" si="60"/>
        <v>264473636181.0434</v>
      </c>
      <c r="L244" s="2">
        <f t="shared" si="61"/>
        <v>1924665258.0686386</v>
      </c>
      <c r="N244" s="42">
        <f t="shared" si="62"/>
        <v>2236839.9926301758</v>
      </c>
      <c r="O244" s="42">
        <f t="shared" si="63"/>
        <v>898207498268.85437</v>
      </c>
      <c r="P244" s="4">
        <f t="shared" si="64"/>
        <v>-433468.09263017587</v>
      </c>
      <c r="Q244" s="4">
        <f t="shared" si="65"/>
        <v>187894587328.44272</v>
      </c>
      <c r="R244" s="43">
        <f t="shared" si="66"/>
        <v>2.7644793617195833E-3</v>
      </c>
      <c r="S244" s="4">
        <f t="shared" si="67"/>
        <v>-0.35671905061042103</v>
      </c>
      <c r="T244" s="30">
        <f t="shared" si="68"/>
        <v>2111165.1139125139</v>
      </c>
      <c r="U244" s="31">
        <f t="shared" si="69"/>
        <v>2362514.8713478376</v>
      </c>
      <c r="V244" s="31">
        <f t="shared" si="70"/>
        <v>4626167.7624587938</v>
      </c>
      <c r="W244" s="42">
        <f t="shared" si="71"/>
        <v>4630383.18886487</v>
      </c>
    </row>
    <row r="245" spans="2:23" x14ac:dyDescent="0.3">
      <c r="B245" s="2">
        <v>237</v>
      </c>
      <c r="C245" s="2">
        <v>9000</v>
      </c>
      <c r="D245" s="4">
        <v>5860890</v>
      </c>
      <c r="E245" s="4">
        <f t="shared" si="54"/>
        <v>52748010000</v>
      </c>
      <c r="F245" s="2">
        <f t="shared" si="55"/>
        <v>81000000</v>
      </c>
      <c r="G245" s="2">
        <f t="shared" si="56"/>
        <v>34350031592100</v>
      </c>
      <c r="H245" s="42">
        <f t="shared" si="57"/>
        <v>3975.5190000000002</v>
      </c>
      <c r="I245" s="2">
        <f t="shared" si="58"/>
        <v>15804751.319361001</v>
      </c>
      <c r="J245" s="4">
        <f t="shared" si="59"/>
        <v>4571788.1031900011</v>
      </c>
      <c r="K245" s="2">
        <f t="shared" si="60"/>
        <v>20901246460469.629</v>
      </c>
      <c r="L245" s="2">
        <f t="shared" si="61"/>
        <v>18175230468.205811</v>
      </c>
      <c r="N245" s="42">
        <f t="shared" si="62"/>
        <v>2295843.8283691797</v>
      </c>
      <c r="O245" s="42">
        <f t="shared" si="63"/>
        <v>1013529316759.5099</v>
      </c>
      <c r="P245" s="4">
        <f t="shared" si="64"/>
        <v>3565046.1716308203</v>
      </c>
      <c r="Q245" s="4">
        <f t="shared" si="65"/>
        <v>12709554205859.568</v>
      </c>
      <c r="R245" s="43">
        <f t="shared" si="66"/>
        <v>2.9910227484925877E-3</v>
      </c>
      <c r="S245" s="4">
        <f t="shared" si="67"/>
        <v>2.934159125338593</v>
      </c>
      <c r="T245" s="30">
        <f t="shared" si="68"/>
        <v>2165120.9334902642</v>
      </c>
      <c r="U245" s="31">
        <f t="shared" si="69"/>
        <v>2426566.7232480953</v>
      </c>
      <c r="V245" s="31">
        <f t="shared" si="70"/>
        <v>4684900.7325825077</v>
      </c>
      <c r="W245" s="42">
        <f t="shared" si="71"/>
        <v>4689657.3825847572</v>
      </c>
    </row>
    <row r="246" spans="2:23" x14ac:dyDescent="0.3">
      <c r="B246" s="2">
        <v>238</v>
      </c>
      <c r="C246" s="2">
        <v>8893</v>
      </c>
      <c r="D246" s="4">
        <v>1370055.58</v>
      </c>
      <c r="E246" s="4">
        <f t="shared" si="54"/>
        <v>12183904272.940001</v>
      </c>
      <c r="F246" s="2">
        <f t="shared" si="55"/>
        <v>79085449</v>
      </c>
      <c r="G246" s="2">
        <f t="shared" si="56"/>
        <v>1877052292289.1367</v>
      </c>
      <c r="H246" s="42">
        <f t="shared" si="57"/>
        <v>3868.5190000000002</v>
      </c>
      <c r="I246" s="2">
        <f t="shared" si="58"/>
        <v>14965439.253361002</v>
      </c>
      <c r="J246" s="4">
        <f t="shared" si="59"/>
        <v>80953.683190000942</v>
      </c>
      <c r="K246" s="2">
        <f t="shared" si="60"/>
        <v>6553498822.0270414</v>
      </c>
      <c r="L246" s="2">
        <f t="shared" si="61"/>
        <v>313170861.54049927</v>
      </c>
      <c r="N246" s="42">
        <f t="shared" si="62"/>
        <v>2268747.6462916113</v>
      </c>
      <c r="O246" s="42">
        <f t="shared" si="63"/>
        <v>959705794477.38953</v>
      </c>
      <c r="P246" s="4">
        <f t="shared" si="64"/>
        <v>-898692.06629161118</v>
      </c>
      <c r="Q246" s="4">
        <f t="shared" si="65"/>
        <v>807647430015.4856</v>
      </c>
      <c r="R246" s="43">
        <f t="shared" si="66"/>
        <v>2.8852893913063086E-3</v>
      </c>
      <c r="S246" s="4">
        <f t="shared" si="67"/>
        <v>-0.73961614764816708</v>
      </c>
      <c r="T246" s="30">
        <f t="shared" si="68"/>
        <v>2140356.0825928156</v>
      </c>
      <c r="U246" s="31">
        <f t="shared" si="69"/>
        <v>2397139.2099904069</v>
      </c>
      <c r="V246" s="31">
        <f t="shared" si="70"/>
        <v>4657930.9739552457</v>
      </c>
      <c r="W246" s="42">
        <f t="shared" si="71"/>
        <v>4662435.0216039587</v>
      </c>
    </row>
    <row r="247" spans="2:23" x14ac:dyDescent="0.3">
      <c r="B247" s="2">
        <v>239</v>
      </c>
      <c r="C247" s="2">
        <v>2512</v>
      </c>
      <c r="D247" s="4">
        <v>1059787.68</v>
      </c>
      <c r="E247" s="4">
        <f t="shared" si="54"/>
        <v>2662186652.1599998</v>
      </c>
      <c r="F247" s="2">
        <f t="shared" si="55"/>
        <v>6310144</v>
      </c>
      <c r="G247" s="2">
        <f t="shared" si="56"/>
        <v>1123149926679.7822</v>
      </c>
      <c r="H247" s="42">
        <f t="shared" si="57"/>
        <v>-2512.4809999999998</v>
      </c>
      <c r="I247" s="2">
        <f t="shared" si="58"/>
        <v>6312560.7753609987</v>
      </c>
      <c r="J247" s="4">
        <f t="shared" si="59"/>
        <v>-229314.2168099992</v>
      </c>
      <c r="K247" s="2">
        <f t="shared" si="60"/>
        <v>52585010031.183319</v>
      </c>
      <c r="L247" s="2">
        <f t="shared" si="61"/>
        <v>576147612.76500356</v>
      </c>
      <c r="N247" s="42">
        <f t="shared" si="62"/>
        <v>652852.90015176637</v>
      </c>
      <c r="O247" s="42">
        <f t="shared" si="63"/>
        <v>404812785748.60791</v>
      </c>
      <c r="P247" s="4">
        <f t="shared" si="64"/>
        <v>406934.77984823356</v>
      </c>
      <c r="Q247" s="4">
        <f t="shared" si="65"/>
        <v>165595915050.13031</v>
      </c>
      <c r="R247" s="43">
        <f t="shared" si="66"/>
        <v>1.7952325127437632E-3</v>
      </c>
      <c r="S247" s="4">
        <f t="shared" si="67"/>
        <v>0.3347210522535089</v>
      </c>
      <c r="T247" s="30">
        <f t="shared" si="68"/>
        <v>551577.92361235467</v>
      </c>
      <c r="U247" s="31">
        <f t="shared" si="69"/>
        <v>754127.87669117807</v>
      </c>
      <c r="V247" s="31">
        <f t="shared" si="70"/>
        <v>3043339.199200944</v>
      </c>
      <c r="W247" s="42">
        <f t="shared" si="71"/>
        <v>3045239.0474895556</v>
      </c>
    </row>
    <row r="248" spans="2:23" x14ac:dyDescent="0.3">
      <c r="B248" s="2">
        <v>240</v>
      </c>
      <c r="C248" s="2">
        <v>5955</v>
      </c>
      <c r="D248" s="4">
        <v>917427.3</v>
      </c>
      <c r="E248" s="4">
        <f t="shared" si="54"/>
        <v>5463279571.5</v>
      </c>
      <c r="F248" s="2">
        <f t="shared" si="55"/>
        <v>35462025</v>
      </c>
      <c r="G248" s="2">
        <f t="shared" si="56"/>
        <v>841672850785.29004</v>
      </c>
      <c r="H248" s="42">
        <f t="shared" si="57"/>
        <v>930.51900000000023</v>
      </c>
      <c r="I248" s="2">
        <f t="shared" si="58"/>
        <v>865865.60936100048</v>
      </c>
      <c r="J248" s="4">
        <f t="shared" si="59"/>
        <v>-371674.59680999909</v>
      </c>
      <c r="K248" s="2">
        <f t="shared" si="60"/>
        <v>138142005913.8754</v>
      </c>
      <c r="L248" s="2">
        <f t="shared" si="61"/>
        <v>-345850274.14904362</v>
      </c>
      <c r="N248" s="42">
        <f t="shared" si="62"/>
        <v>1524742.1982178197</v>
      </c>
      <c r="O248" s="42">
        <f t="shared" si="63"/>
        <v>55526351647.568512</v>
      </c>
      <c r="P248" s="4">
        <f t="shared" si="64"/>
        <v>-607314.89821781963</v>
      </c>
      <c r="Q248" s="4">
        <f t="shared" si="65"/>
        <v>368831385597.32062</v>
      </c>
      <c r="R248" s="43">
        <f t="shared" si="66"/>
        <v>1.1090784720708183E-3</v>
      </c>
      <c r="S248" s="4">
        <f t="shared" si="67"/>
        <v>-0.49937056586926293</v>
      </c>
      <c r="T248" s="30">
        <f t="shared" si="68"/>
        <v>1445140.3893975145</v>
      </c>
      <c r="U248" s="31">
        <f t="shared" si="69"/>
        <v>1604344.0070381248</v>
      </c>
      <c r="V248" s="31">
        <f t="shared" si="70"/>
        <v>3916048.3097074032</v>
      </c>
      <c r="W248" s="42">
        <f t="shared" si="71"/>
        <v>3916308.9033440137</v>
      </c>
    </row>
    <row r="249" spans="2:23" x14ac:dyDescent="0.3">
      <c r="B249" s="2">
        <v>241</v>
      </c>
      <c r="C249" s="2">
        <v>2354</v>
      </c>
      <c r="D249" s="4">
        <v>21962.82</v>
      </c>
      <c r="E249" s="4">
        <f t="shared" si="54"/>
        <v>51700478.280000001</v>
      </c>
      <c r="F249" s="2">
        <f t="shared" si="55"/>
        <v>5541316</v>
      </c>
      <c r="G249" s="2">
        <f t="shared" si="56"/>
        <v>482365462.3524</v>
      </c>
      <c r="H249" s="42">
        <f t="shared" si="57"/>
        <v>-2670.4809999999998</v>
      </c>
      <c r="I249" s="2">
        <f t="shared" si="58"/>
        <v>7131468.771360999</v>
      </c>
      <c r="J249" s="4">
        <f t="shared" si="59"/>
        <v>-1267139.0768099991</v>
      </c>
      <c r="K249" s="2">
        <f t="shared" si="60"/>
        <v>1605641439978.8967</v>
      </c>
      <c r="L249" s="2">
        <f t="shared" si="61"/>
        <v>3383870828.9786429</v>
      </c>
      <c r="N249" s="42">
        <f t="shared" si="62"/>
        <v>612841.71540171222</v>
      </c>
      <c r="O249" s="42">
        <f t="shared" si="63"/>
        <v>457327832958.36914</v>
      </c>
      <c r="P249" s="4">
        <f t="shared" si="64"/>
        <v>-590878.89540171227</v>
      </c>
      <c r="Q249" s="4">
        <f t="shared" si="65"/>
        <v>349137869031.14764</v>
      </c>
      <c r="R249" s="43">
        <f t="shared" si="66"/>
        <v>1.8983954424230895E-3</v>
      </c>
      <c r="S249" s="4">
        <f t="shared" si="67"/>
        <v>-0.48604797702105118</v>
      </c>
      <c r="T249" s="30">
        <f t="shared" si="68"/>
        <v>508697.50297432125</v>
      </c>
      <c r="U249" s="31">
        <f t="shared" si="69"/>
        <v>716985.9278291032</v>
      </c>
      <c r="V249" s="31">
        <f t="shared" si="70"/>
        <v>3003204.7317305654</v>
      </c>
      <c r="W249" s="42">
        <f t="shared" si="71"/>
        <v>3005351.0412106663</v>
      </c>
    </row>
    <row r="250" spans="2:23" x14ac:dyDescent="0.3">
      <c r="B250" s="2">
        <v>242</v>
      </c>
      <c r="C250" s="2">
        <v>6869</v>
      </c>
      <c r="D250" s="4">
        <v>2897962.4099999997</v>
      </c>
      <c r="E250" s="4">
        <f t="shared" si="54"/>
        <v>19906103794.289997</v>
      </c>
      <c r="F250" s="2">
        <f t="shared" si="55"/>
        <v>47183161</v>
      </c>
      <c r="G250" s="2">
        <f t="shared" si="56"/>
        <v>8398186129773.0059</v>
      </c>
      <c r="H250" s="42">
        <f t="shared" si="57"/>
        <v>1844.5190000000002</v>
      </c>
      <c r="I250" s="2">
        <f t="shared" si="58"/>
        <v>3402250.3413610007</v>
      </c>
      <c r="J250" s="4">
        <f t="shared" si="59"/>
        <v>1608860.5131900006</v>
      </c>
      <c r="K250" s="2">
        <f t="shared" si="60"/>
        <v>2588432150901.9917</v>
      </c>
      <c r="L250" s="2">
        <f t="shared" si="61"/>
        <v>2967573784.9287071</v>
      </c>
      <c r="N250" s="42">
        <f t="shared" si="62"/>
        <v>1756199.3049364875</v>
      </c>
      <c r="O250" s="42">
        <f t="shared" si="63"/>
        <v>218179988678.48322</v>
      </c>
      <c r="P250" s="4">
        <f t="shared" si="64"/>
        <v>1141763.1050635122</v>
      </c>
      <c r="Q250" s="4">
        <f t="shared" si="65"/>
        <v>1303622988084.2729</v>
      </c>
      <c r="R250" s="43">
        <f t="shared" si="66"/>
        <v>1.4286026201132472E-3</v>
      </c>
      <c r="S250" s="4">
        <f t="shared" si="67"/>
        <v>0.93897597929053567</v>
      </c>
      <c r="T250" s="30">
        <f t="shared" si="68"/>
        <v>1665855.6783863606</v>
      </c>
      <c r="U250" s="31">
        <f t="shared" si="69"/>
        <v>1846542.9314866143</v>
      </c>
      <c r="V250" s="31">
        <f t="shared" si="70"/>
        <v>4147123.6859984789</v>
      </c>
      <c r="W250" s="42">
        <f t="shared" si="71"/>
        <v>4148147.6379819401</v>
      </c>
    </row>
    <row r="251" spans="2:23" x14ac:dyDescent="0.3">
      <c r="B251" s="2">
        <v>243</v>
      </c>
      <c r="C251" s="2">
        <v>1692</v>
      </c>
      <c r="D251" s="4">
        <v>260669.52</v>
      </c>
      <c r="E251" s="4">
        <f t="shared" si="54"/>
        <v>441052827.83999997</v>
      </c>
      <c r="F251" s="2">
        <f t="shared" si="55"/>
        <v>2862864</v>
      </c>
      <c r="G251" s="2">
        <f t="shared" si="56"/>
        <v>67948598657.030396</v>
      </c>
      <c r="H251" s="42">
        <f t="shared" si="57"/>
        <v>-3332.4809999999998</v>
      </c>
      <c r="I251" s="2">
        <f t="shared" si="58"/>
        <v>11105429.615360998</v>
      </c>
      <c r="J251" s="4">
        <f t="shared" si="59"/>
        <v>-1028432.3768099991</v>
      </c>
      <c r="K251" s="2">
        <f t="shared" si="60"/>
        <v>1057673153671.064</v>
      </c>
      <c r="L251" s="2">
        <f t="shared" si="61"/>
        <v>3427231355.5041623</v>
      </c>
      <c r="N251" s="42">
        <f t="shared" si="62"/>
        <v>445199.91600591573</v>
      </c>
      <c r="O251" s="42">
        <f t="shared" si="63"/>
        <v>712170553205.05554</v>
      </c>
      <c r="P251" s="4">
        <f t="shared" si="64"/>
        <v>-184530.39600591574</v>
      </c>
      <c r="Q251" s="4">
        <f t="shared" si="65"/>
        <v>34051467050.100082</v>
      </c>
      <c r="R251" s="43">
        <f t="shared" si="66"/>
        <v>2.3990199876717201E-3</v>
      </c>
      <c r="S251" s="4">
        <f t="shared" si="67"/>
        <v>-0.1518299743086545</v>
      </c>
      <c r="T251" s="30">
        <f t="shared" si="68"/>
        <v>328126.38100826094</v>
      </c>
      <c r="U251" s="31">
        <f t="shared" si="69"/>
        <v>562273.45100357058</v>
      </c>
      <c r="V251" s="31">
        <f t="shared" si="70"/>
        <v>2834964.5810342627</v>
      </c>
      <c r="W251" s="42">
        <f t="shared" si="71"/>
        <v>2838306.9068647744</v>
      </c>
    </row>
    <row r="252" spans="2:23" x14ac:dyDescent="0.3">
      <c r="B252" s="2">
        <v>244</v>
      </c>
      <c r="C252" s="2">
        <v>1047</v>
      </c>
      <c r="D252" s="4">
        <v>49680.15</v>
      </c>
      <c r="E252" s="4">
        <f t="shared" si="54"/>
        <v>52015117.050000004</v>
      </c>
      <c r="F252" s="2">
        <f t="shared" si="55"/>
        <v>1096209</v>
      </c>
      <c r="G252" s="2">
        <f t="shared" si="56"/>
        <v>2468117304.0225</v>
      </c>
      <c r="H252" s="42">
        <f t="shared" si="57"/>
        <v>-3977.4809999999998</v>
      </c>
      <c r="I252" s="2">
        <f t="shared" si="58"/>
        <v>15820355.105360998</v>
      </c>
      <c r="J252" s="4">
        <f t="shared" si="59"/>
        <v>-1239421.7468099992</v>
      </c>
      <c r="K252" s="2">
        <f t="shared" si="60"/>
        <v>1536166266465.5498</v>
      </c>
      <c r="L252" s="2">
        <f t="shared" si="61"/>
        <v>4929776448.9235821</v>
      </c>
      <c r="N252" s="42">
        <f t="shared" si="62"/>
        <v>281863.11750094785</v>
      </c>
      <c r="O252" s="42">
        <f t="shared" si="63"/>
        <v>1014529958543.9878</v>
      </c>
      <c r="P252" s="4">
        <f t="shared" si="64"/>
        <v>-232182.96750094785</v>
      </c>
      <c r="Q252" s="4">
        <f t="shared" si="65"/>
        <v>53908930397.546204</v>
      </c>
      <c r="R252" s="43">
        <f t="shared" si="66"/>
        <v>2.9929884543908225E-3</v>
      </c>
      <c r="S252" s="4">
        <f t="shared" si="67"/>
        <v>-0.19109498492675386</v>
      </c>
      <c r="T252" s="30">
        <f t="shared" si="68"/>
        <v>151097.27400848735</v>
      </c>
      <c r="U252" s="31">
        <f t="shared" si="69"/>
        <v>412628.96099340834</v>
      </c>
      <c r="V252" s="31">
        <f t="shared" si="70"/>
        <v>2670917.6712921751</v>
      </c>
      <c r="W252" s="42">
        <f t="shared" si="71"/>
        <v>2675679.0174658941</v>
      </c>
    </row>
    <row r="253" spans="2:23" x14ac:dyDescent="0.3">
      <c r="B253" s="2">
        <v>245</v>
      </c>
      <c r="C253" s="2">
        <v>6189</v>
      </c>
      <c r="D253" s="4">
        <v>4030338.6900000004</v>
      </c>
      <c r="E253" s="4">
        <f t="shared" si="54"/>
        <v>24943766152.410004</v>
      </c>
      <c r="F253" s="2">
        <f t="shared" si="55"/>
        <v>38303721</v>
      </c>
      <c r="G253" s="2">
        <f t="shared" si="56"/>
        <v>16243629956110.92</v>
      </c>
      <c r="H253" s="42">
        <f t="shared" si="57"/>
        <v>1164.5190000000002</v>
      </c>
      <c r="I253" s="2">
        <f t="shared" si="58"/>
        <v>1356104.5013610006</v>
      </c>
      <c r="J253" s="4">
        <f t="shared" si="59"/>
        <v>2741236.7931900015</v>
      </c>
      <c r="K253" s="2">
        <f t="shared" si="60"/>
        <v>7514379156338.6035</v>
      </c>
      <c r="L253" s="2">
        <f t="shared" si="61"/>
        <v>3192222329.168828</v>
      </c>
      <c r="N253" s="42">
        <f t="shared" si="62"/>
        <v>1583999.269303343</v>
      </c>
      <c r="O253" s="42">
        <f t="shared" si="63"/>
        <v>86964460303.478012</v>
      </c>
      <c r="P253" s="4">
        <f t="shared" si="64"/>
        <v>2446339.4206966572</v>
      </c>
      <c r="Q253" s="4">
        <f t="shared" si="65"/>
        <v>5984576561254.4561</v>
      </c>
      <c r="R253" s="43">
        <f t="shared" si="66"/>
        <v>1.1708369120769003E-3</v>
      </c>
      <c r="S253" s="4">
        <f t="shared" si="67"/>
        <v>2.0115885037902257</v>
      </c>
      <c r="T253" s="30">
        <f t="shared" si="68"/>
        <v>1502211.1914753604</v>
      </c>
      <c r="U253" s="31">
        <f t="shared" si="69"/>
        <v>1665787.3471313256</v>
      </c>
      <c r="V253" s="31">
        <f t="shared" si="70"/>
        <v>3975231.6037158938</v>
      </c>
      <c r="W253" s="42">
        <f t="shared" si="71"/>
        <v>3975639.7411919357</v>
      </c>
    </row>
    <row r="254" spans="2:23" x14ac:dyDescent="0.3">
      <c r="B254" s="2">
        <v>246</v>
      </c>
      <c r="C254" s="2">
        <v>404</v>
      </c>
      <c r="D254" s="4">
        <v>269981.08</v>
      </c>
      <c r="E254" s="4">
        <f t="shared" si="54"/>
        <v>109072356.32000001</v>
      </c>
      <c r="F254" s="2">
        <f t="shared" si="55"/>
        <v>163216</v>
      </c>
      <c r="G254" s="2">
        <f t="shared" si="56"/>
        <v>72889783557.966415</v>
      </c>
      <c r="H254" s="42">
        <f t="shared" si="57"/>
        <v>-4620.4809999999998</v>
      </c>
      <c r="I254" s="2">
        <f t="shared" si="58"/>
        <v>21348844.671360999</v>
      </c>
      <c r="J254" s="4">
        <f t="shared" si="59"/>
        <v>-1019120.8168099991</v>
      </c>
      <c r="K254" s="2">
        <f t="shared" si="60"/>
        <v>1038607239255.4796</v>
      </c>
      <c r="L254" s="2">
        <f t="shared" si="61"/>
        <v>4708828370.7750807</v>
      </c>
      <c r="N254" s="42">
        <f t="shared" si="62"/>
        <v>119032.78968901862</v>
      </c>
      <c r="O254" s="42">
        <f t="shared" si="63"/>
        <v>1369061715438.8887</v>
      </c>
      <c r="P254" s="4">
        <f t="shared" si="64"/>
        <v>150948.29031098139</v>
      </c>
      <c r="Q254" s="4">
        <f t="shared" si="65"/>
        <v>22785386347.808319</v>
      </c>
      <c r="R254" s="43">
        <f t="shared" si="66"/>
        <v>3.6894466439749756E-3</v>
      </c>
      <c r="S254" s="4">
        <f t="shared" si="67"/>
        <v>0.12427932090336022</v>
      </c>
      <c r="T254" s="30">
        <f t="shared" si="68"/>
        <v>-26152.433246044151</v>
      </c>
      <c r="U254" s="31">
        <f t="shared" si="69"/>
        <v>264218.0126240814</v>
      </c>
      <c r="V254" s="31">
        <f t="shared" si="70"/>
        <v>2507254.4330580318</v>
      </c>
      <c r="W254" s="42">
        <f t="shared" si="71"/>
        <v>2513679.654272479</v>
      </c>
    </row>
    <row r="255" spans="2:23" x14ac:dyDescent="0.3">
      <c r="B255" s="2">
        <v>247</v>
      </c>
      <c r="C255" s="2">
        <v>4010</v>
      </c>
      <c r="D255" s="4">
        <v>438212.8</v>
      </c>
      <c r="E255" s="4">
        <f t="shared" si="54"/>
        <v>1757233328</v>
      </c>
      <c r="F255" s="2">
        <f t="shared" si="55"/>
        <v>16080100</v>
      </c>
      <c r="G255" s="2">
        <f t="shared" si="56"/>
        <v>192030458083.84</v>
      </c>
      <c r="H255" s="42">
        <f t="shared" si="57"/>
        <v>-1014.4809999999998</v>
      </c>
      <c r="I255" s="2">
        <f t="shared" si="58"/>
        <v>1029171.6993609995</v>
      </c>
      <c r="J255" s="4">
        <f t="shared" si="59"/>
        <v>-850889.09680999909</v>
      </c>
      <c r="K255" s="2">
        <f t="shared" si="60"/>
        <v>724012255070.13599</v>
      </c>
      <c r="L255" s="2">
        <f t="shared" si="61"/>
        <v>863210821.82090449</v>
      </c>
      <c r="N255" s="42">
        <f t="shared" si="62"/>
        <v>1032199.4492377228</v>
      </c>
      <c r="O255" s="42">
        <f t="shared" si="63"/>
        <v>65998867568.626198</v>
      </c>
      <c r="P255" s="4">
        <f t="shared" si="64"/>
        <v>-593986.64923772286</v>
      </c>
      <c r="Q255" s="4">
        <f t="shared" si="65"/>
        <v>352820139472.65759</v>
      </c>
      <c r="R255" s="43">
        <f t="shared" si="66"/>
        <v>1.129651155157522E-3</v>
      </c>
      <c r="S255" s="4">
        <f t="shared" si="67"/>
        <v>-0.48841631348567094</v>
      </c>
      <c r="T255" s="30">
        <f t="shared" si="68"/>
        <v>951862.7518383828</v>
      </c>
      <c r="U255" s="31">
        <f t="shared" si="69"/>
        <v>1112536.1466370628</v>
      </c>
      <c r="V255" s="31">
        <f t="shared" si="70"/>
        <v>3423480.9847048162</v>
      </c>
      <c r="W255" s="42">
        <f t="shared" si="71"/>
        <v>3423790.7274559988</v>
      </c>
    </row>
    <row r="256" spans="2:23" x14ac:dyDescent="0.3">
      <c r="B256" s="2">
        <v>248</v>
      </c>
      <c r="C256" s="2">
        <v>9354</v>
      </c>
      <c r="D256" s="4">
        <v>87272.82</v>
      </c>
      <c r="E256" s="4">
        <f t="shared" si="54"/>
        <v>816349958.28000009</v>
      </c>
      <c r="F256" s="2">
        <f t="shared" si="55"/>
        <v>87497316</v>
      </c>
      <c r="G256" s="2">
        <f t="shared" si="56"/>
        <v>7616545110.7524014</v>
      </c>
      <c r="H256" s="42">
        <f t="shared" si="57"/>
        <v>4329.5190000000002</v>
      </c>
      <c r="I256" s="2">
        <f t="shared" si="58"/>
        <v>18744734.771361001</v>
      </c>
      <c r="J256" s="4">
        <f t="shared" si="59"/>
        <v>-1201829.0768099991</v>
      </c>
      <c r="K256" s="2">
        <f t="shared" si="60"/>
        <v>1444393129865.9746</v>
      </c>
      <c r="L256" s="2">
        <f t="shared" si="61"/>
        <v>-5203341822.8013506</v>
      </c>
      <c r="N256" s="42">
        <f t="shared" si="62"/>
        <v>2385489.1410370227</v>
      </c>
      <c r="O256" s="42">
        <f t="shared" si="63"/>
        <v>1202064989303.7271</v>
      </c>
      <c r="P256" s="4">
        <f t="shared" si="64"/>
        <v>-2298216.3210370229</v>
      </c>
      <c r="Q256" s="4">
        <f t="shared" si="65"/>
        <v>5281798258280.9482</v>
      </c>
      <c r="R256" s="43">
        <f t="shared" si="66"/>
        <v>3.3613907356151102E-3</v>
      </c>
      <c r="S256" s="4">
        <f t="shared" si="67"/>
        <v>-1.8918647664647681</v>
      </c>
      <c r="T256" s="30">
        <f t="shared" si="68"/>
        <v>2246908.9045425416</v>
      </c>
      <c r="U256" s="31">
        <f t="shared" si="69"/>
        <v>2524069.3775315038</v>
      </c>
      <c r="V256" s="31">
        <f t="shared" si="70"/>
        <v>4774103.1502205972</v>
      </c>
      <c r="W256" s="42">
        <f t="shared" si="71"/>
        <v>4779744.6284584384</v>
      </c>
    </row>
    <row r="257" spans="2:23" x14ac:dyDescent="0.3">
      <c r="B257" s="2">
        <v>249</v>
      </c>
      <c r="C257" s="2">
        <v>5818</v>
      </c>
      <c r="D257" s="4">
        <v>54281.94</v>
      </c>
      <c r="E257" s="4">
        <f t="shared" si="54"/>
        <v>315812326.92000002</v>
      </c>
      <c r="F257" s="2">
        <f t="shared" si="55"/>
        <v>33849124</v>
      </c>
      <c r="G257" s="2">
        <f t="shared" si="56"/>
        <v>2946529010.1636004</v>
      </c>
      <c r="H257" s="42">
        <f t="shared" si="57"/>
        <v>793.51900000000023</v>
      </c>
      <c r="I257" s="2">
        <f t="shared" si="58"/>
        <v>629672.40336100035</v>
      </c>
      <c r="J257" s="4">
        <f t="shared" si="59"/>
        <v>-1234819.9568099992</v>
      </c>
      <c r="K257" s="2">
        <f t="shared" si="60"/>
        <v>1524780325736.2483</v>
      </c>
      <c r="L257" s="2">
        <f t="shared" si="61"/>
        <v>-979853097.30791402</v>
      </c>
      <c r="N257" s="42">
        <f t="shared" si="62"/>
        <v>1490048.9557446716</v>
      </c>
      <c r="O257" s="42">
        <f t="shared" si="63"/>
        <v>40379720494.494743</v>
      </c>
      <c r="P257" s="4">
        <f t="shared" si="64"/>
        <v>-1435767.0157446717</v>
      </c>
      <c r="Q257" s="4">
        <f t="shared" si="65"/>
        <v>2061426923500.3604</v>
      </c>
      <c r="R257" s="43">
        <f t="shared" si="66"/>
        <v>1.0793237459961781E-3</v>
      </c>
      <c r="S257" s="4">
        <f t="shared" si="67"/>
        <v>-1.180555772366797</v>
      </c>
      <c r="T257" s="30">
        <f t="shared" si="68"/>
        <v>1411522.1983036771</v>
      </c>
      <c r="U257" s="31">
        <f t="shared" si="69"/>
        <v>1568575.7131856661</v>
      </c>
      <c r="V257" s="31">
        <f t="shared" si="70"/>
        <v>3881390.6116317385</v>
      </c>
      <c r="W257" s="42">
        <f t="shared" si="71"/>
        <v>3881580.1198182013</v>
      </c>
    </row>
    <row r="258" spans="2:23" x14ac:dyDescent="0.3">
      <c r="B258" s="2">
        <v>250</v>
      </c>
      <c r="C258" s="2">
        <v>4811</v>
      </c>
      <c r="D258" s="4">
        <v>2103369.1999999997</v>
      </c>
      <c r="E258" s="4">
        <f t="shared" si="54"/>
        <v>10119309221.199999</v>
      </c>
      <c r="F258" s="2">
        <f t="shared" si="55"/>
        <v>23145721</v>
      </c>
      <c r="G258" s="2">
        <f t="shared" si="56"/>
        <v>4424161991508.6387</v>
      </c>
      <c r="H258" s="42">
        <f t="shared" si="57"/>
        <v>-213.48099999999977</v>
      </c>
      <c r="I258" s="2">
        <f t="shared" si="58"/>
        <v>45574.137360999899</v>
      </c>
      <c r="J258" s="4">
        <f t="shared" si="59"/>
        <v>814267.30319000059</v>
      </c>
      <c r="K258" s="2">
        <f t="shared" si="60"/>
        <v>663031241044.31628</v>
      </c>
      <c r="L258" s="2">
        <f t="shared" si="61"/>
        <v>-173830598.15230432</v>
      </c>
      <c r="N258" s="42">
        <f t="shared" si="62"/>
        <v>1235040.9617997061</v>
      </c>
      <c r="O258" s="42">
        <f t="shared" si="63"/>
        <v>2922584694.1871271</v>
      </c>
      <c r="P258" s="4">
        <f t="shared" si="64"/>
        <v>868328.23820029362</v>
      </c>
      <c r="Q258" s="4">
        <f t="shared" si="65"/>
        <v>753993929256.02588</v>
      </c>
      <c r="R258" s="43">
        <f t="shared" si="66"/>
        <v>1.0057412573216207E-3</v>
      </c>
      <c r="S258" s="4">
        <f t="shared" si="67"/>
        <v>0.7139543874048857</v>
      </c>
      <c r="T258" s="30">
        <f t="shared" si="68"/>
        <v>1159238.2169722309</v>
      </c>
      <c r="U258" s="31">
        <f t="shared" si="69"/>
        <v>1310843.7066271813</v>
      </c>
      <c r="V258" s="31">
        <f t="shared" si="70"/>
        <v>3626470.5155795189</v>
      </c>
      <c r="W258" s="42">
        <f t="shared" si="71"/>
        <v>3626484.2317151921</v>
      </c>
    </row>
    <row r="259" spans="2:23" x14ac:dyDescent="0.3">
      <c r="B259" s="2">
        <v>251</v>
      </c>
      <c r="C259" s="2">
        <v>4777</v>
      </c>
      <c r="D259" s="4">
        <v>728874.66</v>
      </c>
      <c r="E259" s="4">
        <f t="shared" si="54"/>
        <v>3481834250.8200002</v>
      </c>
      <c r="F259" s="2">
        <f t="shared" si="55"/>
        <v>22819729</v>
      </c>
      <c r="G259" s="2">
        <f t="shared" si="56"/>
        <v>531258269990.11566</v>
      </c>
      <c r="H259" s="42">
        <f t="shared" si="57"/>
        <v>-247.48099999999977</v>
      </c>
      <c r="I259" s="2">
        <f t="shared" si="58"/>
        <v>61246.845360999883</v>
      </c>
      <c r="J259" s="4">
        <f t="shared" si="59"/>
        <v>-560227.2368099991</v>
      </c>
      <c r="K259" s="2">
        <f t="shared" si="60"/>
        <v>313854556863.76678</v>
      </c>
      <c r="L259" s="2">
        <f t="shared" si="61"/>
        <v>138645596.79297525</v>
      </c>
      <c r="N259" s="42">
        <f t="shared" si="62"/>
        <v>1226430.960018049</v>
      </c>
      <c r="O259" s="42">
        <f t="shared" si="63"/>
        <v>3927646318.3806095</v>
      </c>
      <c r="P259" s="4">
        <f t="shared" si="64"/>
        <v>-497556.30001804896</v>
      </c>
      <c r="Q259" s="4">
        <f t="shared" si="65"/>
        <v>247562271687.65076</v>
      </c>
      <c r="R259" s="43">
        <f t="shared" si="66"/>
        <v>1.0077156457525386E-3</v>
      </c>
      <c r="S259" s="4">
        <f t="shared" si="67"/>
        <v>-0.40909973762010987</v>
      </c>
      <c r="T259" s="30">
        <f t="shared" si="68"/>
        <v>1150553.8468173477</v>
      </c>
      <c r="U259" s="31">
        <f t="shared" si="69"/>
        <v>1302308.0732187503</v>
      </c>
      <c r="V259" s="31">
        <f t="shared" si="70"/>
        <v>3617858.1553361965</v>
      </c>
      <c r="W259" s="42">
        <f t="shared" si="71"/>
        <v>3617876.5883793472</v>
      </c>
    </row>
    <row r="260" spans="2:23" x14ac:dyDescent="0.3">
      <c r="B260" s="2">
        <v>252</v>
      </c>
      <c r="C260" s="2">
        <v>6189</v>
      </c>
      <c r="D260" s="4">
        <v>2611077.21</v>
      </c>
      <c r="E260" s="4">
        <f t="shared" si="54"/>
        <v>16159956852.690001</v>
      </c>
      <c r="F260" s="2">
        <f t="shared" si="55"/>
        <v>38303721</v>
      </c>
      <c r="G260" s="2">
        <f t="shared" si="56"/>
        <v>6817724196581.3838</v>
      </c>
      <c r="H260" s="42">
        <f t="shared" si="57"/>
        <v>1164.5190000000002</v>
      </c>
      <c r="I260" s="2">
        <f t="shared" si="58"/>
        <v>1356104.5013610006</v>
      </c>
      <c r="J260" s="4">
        <f t="shared" si="59"/>
        <v>1321975.3131900008</v>
      </c>
      <c r="K260" s="2">
        <f t="shared" si="60"/>
        <v>1747618728683.8008</v>
      </c>
      <c r="L260" s="2">
        <f t="shared" si="61"/>
        <v>1539465369.7407069</v>
      </c>
      <c r="N260" s="42">
        <f t="shared" si="62"/>
        <v>1583999.269303343</v>
      </c>
      <c r="O260" s="42">
        <f t="shared" si="63"/>
        <v>86964460303.478012</v>
      </c>
      <c r="P260" s="4">
        <f t="shared" si="64"/>
        <v>1027077.9406966569</v>
      </c>
      <c r="Q260" s="4">
        <f t="shared" si="65"/>
        <v>1054889096265.6855</v>
      </c>
      <c r="R260" s="43">
        <f t="shared" si="66"/>
        <v>1.1708369120769003E-3</v>
      </c>
      <c r="S260" s="4">
        <f t="shared" si="67"/>
        <v>0.84455090758157025</v>
      </c>
      <c r="T260" s="30">
        <f t="shared" si="68"/>
        <v>1502211.1914753604</v>
      </c>
      <c r="U260" s="31">
        <f t="shared" si="69"/>
        <v>1665787.3471313256</v>
      </c>
      <c r="V260" s="31">
        <f t="shared" si="70"/>
        <v>3975231.6037158938</v>
      </c>
      <c r="W260" s="42">
        <f t="shared" si="71"/>
        <v>3975639.7411919357</v>
      </c>
    </row>
    <row r="261" spans="2:23" x14ac:dyDescent="0.3">
      <c r="B261" s="2">
        <v>253</v>
      </c>
      <c r="C261" s="2">
        <v>6552</v>
      </c>
      <c r="D261" s="4">
        <v>310892.40000000002</v>
      </c>
      <c r="E261" s="4">
        <f t="shared" si="54"/>
        <v>2036967004.8000002</v>
      </c>
      <c r="F261" s="2">
        <f t="shared" si="55"/>
        <v>42928704</v>
      </c>
      <c r="G261" s="2">
        <f t="shared" si="56"/>
        <v>96654084377.76001</v>
      </c>
      <c r="H261" s="42">
        <f t="shared" si="57"/>
        <v>1527.5190000000002</v>
      </c>
      <c r="I261" s="2">
        <f t="shared" si="58"/>
        <v>2333314.2953610006</v>
      </c>
      <c r="J261" s="4">
        <f t="shared" si="59"/>
        <v>-978209.49680999911</v>
      </c>
      <c r="K261" s="2">
        <f t="shared" si="60"/>
        <v>956893819649.27161</v>
      </c>
      <c r="L261" s="2">
        <f t="shared" si="61"/>
        <v>-1494233592.3577132</v>
      </c>
      <c r="N261" s="42">
        <f t="shared" si="62"/>
        <v>1675923.7000898598</v>
      </c>
      <c r="O261" s="42">
        <f t="shared" si="63"/>
        <v>149631107492.6832</v>
      </c>
      <c r="P261" s="4">
        <f t="shared" si="64"/>
        <v>-1365031.3000898599</v>
      </c>
      <c r="Q261" s="4">
        <f t="shared" si="65"/>
        <v>1863310450225.0132</v>
      </c>
      <c r="R261" s="43">
        <f t="shared" si="66"/>
        <v>1.2939421030785654E-3</v>
      </c>
      <c r="S261" s="4">
        <f t="shared" si="67"/>
        <v>-1.1225141030009995</v>
      </c>
      <c r="T261" s="30">
        <f t="shared" si="68"/>
        <v>1589943.3476526856</v>
      </c>
      <c r="U261" s="31">
        <f t="shared" si="69"/>
        <v>1761904.052527034</v>
      </c>
      <c r="V261" s="31">
        <f t="shared" si="70"/>
        <v>4067008.9653637004</v>
      </c>
      <c r="W261" s="42">
        <f t="shared" si="71"/>
        <v>4067711.206977943</v>
      </c>
    </row>
    <row r="262" spans="2:23" x14ac:dyDescent="0.3">
      <c r="B262" s="2">
        <v>254</v>
      </c>
      <c r="C262" s="2">
        <v>5402</v>
      </c>
      <c r="D262" s="4">
        <v>2361754.4</v>
      </c>
      <c r="E262" s="4">
        <f t="shared" si="54"/>
        <v>12758197268.799999</v>
      </c>
      <c r="F262" s="2">
        <f t="shared" si="55"/>
        <v>29181604</v>
      </c>
      <c r="G262" s="2">
        <f t="shared" si="56"/>
        <v>5577883845919.3594</v>
      </c>
      <c r="H262" s="42">
        <f t="shared" si="57"/>
        <v>377.51900000000023</v>
      </c>
      <c r="I262" s="2">
        <f t="shared" si="58"/>
        <v>142520.59536100019</v>
      </c>
      <c r="J262" s="4">
        <f t="shared" si="59"/>
        <v>1072652.5031900008</v>
      </c>
      <c r="K262" s="2">
        <f t="shared" si="60"/>
        <v>1150583392599.7747</v>
      </c>
      <c r="L262" s="2">
        <f t="shared" si="61"/>
        <v>404946700.35178614</v>
      </c>
      <c r="N262" s="42">
        <f t="shared" si="62"/>
        <v>1384703.0515926303</v>
      </c>
      <c r="O262" s="42">
        <f t="shared" si="63"/>
        <v>9139580795.7726078</v>
      </c>
      <c r="P262" s="4">
        <f t="shared" si="64"/>
        <v>977051.34840736957</v>
      </c>
      <c r="Q262" s="4">
        <f t="shared" si="65"/>
        <v>954629337424.65906</v>
      </c>
      <c r="R262" s="43">
        <f t="shared" si="66"/>
        <v>1.0179542051474639E-3</v>
      </c>
      <c r="S262" s="4">
        <f t="shared" si="67"/>
        <v>0.80335330609800237</v>
      </c>
      <c r="T262" s="30">
        <f t="shared" si="68"/>
        <v>1308441.4504629346</v>
      </c>
      <c r="U262" s="31">
        <f t="shared" si="69"/>
        <v>1460964.6527223261</v>
      </c>
      <c r="V262" s="31">
        <f t="shared" si="70"/>
        <v>3776118.0166306994</v>
      </c>
      <c r="W262" s="42">
        <f t="shared" si="71"/>
        <v>3776160.9100771905</v>
      </c>
    </row>
    <row r="263" spans="2:23" x14ac:dyDescent="0.3">
      <c r="B263" s="2">
        <v>255</v>
      </c>
      <c r="C263" s="2">
        <v>9307</v>
      </c>
      <c r="D263" s="4">
        <v>1420062.06</v>
      </c>
      <c r="E263" s="4">
        <f t="shared" si="54"/>
        <v>13216517592.42</v>
      </c>
      <c r="F263" s="2">
        <f t="shared" si="55"/>
        <v>86620249</v>
      </c>
      <c r="G263" s="2">
        <f t="shared" si="56"/>
        <v>2016576254251.4438</v>
      </c>
      <c r="H263" s="42">
        <f t="shared" si="57"/>
        <v>4282.5190000000002</v>
      </c>
      <c r="I263" s="2">
        <f t="shared" si="58"/>
        <v>18339968.985361002</v>
      </c>
      <c r="J263" s="4">
        <f t="shared" si="59"/>
        <v>130960.16319000092</v>
      </c>
      <c r="K263" s="2">
        <f t="shared" si="60"/>
        <v>17150564342.751673</v>
      </c>
      <c r="L263" s="2">
        <f t="shared" si="61"/>
        <v>560839387.10427964</v>
      </c>
      <c r="N263" s="42">
        <f t="shared" si="62"/>
        <v>2373587.0797506142</v>
      </c>
      <c r="O263" s="42">
        <f t="shared" si="63"/>
        <v>1176108112017.7395</v>
      </c>
      <c r="P263" s="4">
        <f t="shared" si="64"/>
        <v>-953525.01975061418</v>
      </c>
      <c r="Q263" s="4">
        <f t="shared" si="65"/>
        <v>909209963290.40918</v>
      </c>
      <c r="R263" s="43">
        <f t="shared" si="66"/>
        <v>3.3103998739778097E-3</v>
      </c>
      <c r="S263" s="4">
        <f t="shared" si="67"/>
        <v>-0.78491055289732481</v>
      </c>
      <c r="T263" s="30">
        <f t="shared" si="68"/>
        <v>2236061.9614669015</v>
      </c>
      <c r="U263" s="31">
        <f t="shared" si="69"/>
        <v>2511112.198034327</v>
      </c>
      <c r="V263" s="31">
        <f t="shared" si="70"/>
        <v>4762262.0699190013</v>
      </c>
      <c r="W263" s="42">
        <f t="shared" si="71"/>
        <v>4767781.7283244599</v>
      </c>
    </row>
    <row r="264" spans="2:23" x14ac:dyDescent="0.3">
      <c r="B264" s="2">
        <v>256</v>
      </c>
      <c r="C264" s="2">
        <v>6864</v>
      </c>
      <c r="D264" s="4">
        <v>1047309.1200000001</v>
      </c>
      <c r="E264" s="4">
        <f t="shared" si="54"/>
        <v>7188729799.6800003</v>
      </c>
      <c r="F264" s="2">
        <f t="shared" si="55"/>
        <v>47114496</v>
      </c>
      <c r="G264" s="2">
        <f t="shared" si="56"/>
        <v>1096856392835.1747</v>
      </c>
      <c r="H264" s="42">
        <f t="shared" si="57"/>
        <v>1839.5190000000002</v>
      </c>
      <c r="I264" s="2">
        <f t="shared" si="58"/>
        <v>3383830.1513610007</v>
      </c>
      <c r="J264" s="4">
        <f t="shared" si="59"/>
        <v>-241792.77680999902</v>
      </c>
      <c r="K264" s="2">
        <f t="shared" si="60"/>
        <v>58463746917.489998</v>
      </c>
      <c r="L264" s="2">
        <f t="shared" si="61"/>
        <v>-444782407.00475264</v>
      </c>
      <c r="N264" s="42">
        <f t="shared" si="62"/>
        <v>1754933.1282038908</v>
      </c>
      <c r="O264" s="42">
        <f t="shared" si="63"/>
        <v>216998736141.9494</v>
      </c>
      <c r="P264" s="4">
        <f t="shared" si="64"/>
        <v>-707624.00820389064</v>
      </c>
      <c r="Q264" s="4">
        <f t="shared" si="65"/>
        <v>500731736986.53992</v>
      </c>
      <c r="R264" s="43">
        <f t="shared" si="66"/>
        <v>1.4262821142994905E-3</v>
      </c>
      <c r="S264" s="4">
        <f t="shared" si="67"/>
        <v>-0.58194311158225154</v>
      </c>
      <c r="T264" s="30">
        <f t="shared" si="68"/>
        <v>1664662.9048901235</v>
      </c>
      <c r="U264" s="31">
        <f t="shared" si="69"/>
        <v>1845203.351517658</v>
      </c>
      <c r="V264" s="31">
        <f t="shared" si="70"/>
        <v>4145860.2817570423</v>
      </c>
      <c r="W264" s="42">
        <f t="shared" si="71"/>
        <v>4146878.6899418267</v>
      </c>
    </row>
    <row r="265" spans="2:23" x14ac:dyDescent="0.3">
      <c r="B265" s="2">
        <v>257</v>
      </c>
      <c r="C265" s="2">
        <v>3705</v>
      </c>
      <c r="D265" s="4">
        <v>302809.65000000002</v>
      </c>
      <c r="E265" s="4">
        <f t="shared" si="54"/>
        <v>1121909753.25</v>
      </c>
      <c r="F265" s="2">
        <f t="shared" si="55"/>
        <v>13727025</v>
      </c>
      <c r="G265" s="2">
        <f t="shared" si="56"/>
        <v>91693684133.122513</v>
      </c>
      <c r="H265" s="42">
        <f t="shared" si="57"/>
        <v>-1319.4809999999998</v>
      </c>
      <c r="I265" s="2">
        <f t="shared" si="58"/>
        <v>1741030.1093609994</v>
      </c>
      <c r="J265" s="4">
        <f t="shared" si="59"/>
        <v>-986292.24680999911</v>
      </c>
      <c r="K265" s="2">
        <f t="shared" si="60"/>
        <v>972772396117.51624</v>
      </c>
      <c r="L265" s="2">
        <f t="shared" si="61"/>
        <v>1301393880.1131041</v>
      </c>
      <c r="N265" s="42">
        <f t="shared" si="62"/>
        <v>954962.66854932718</v>
      </c>
      <c r="O265" s="42">
        <f t="shared" si="63"/>
        <v>111649023862.63744</v>
      </c>
      <c r="P265" s="4">
        <f t="shared" si="64"/>
        <v>-652153.01854932716</v>
      </c>
      <c r="Q265" s="4">
        <f t="shared" si="65"/>
        <v>425303559602.99902</v>
      </c>
      <c r="R265" s="43">
        <f t="shared" si="66"/>
        <v>1.2193283831870149E-3</v>
      </c>
      <c r="S265" s="4">
        <f t="shared" si="67"/>
        <v>-0.53626874066081398</v>
      </c>
      <c r="T265" s="30">
        <f t="shared" si="68"/>
        <v>871498.10236915736</v>
      </c>
      <c r="U265" s="31">
        <f t="shared" si="69"/>
        <v>1038427.234729497</v>
      </c>
      <c r="V265" s="31">
        <f t="shared" si="70"/>
        <v>3346137.0731060612</v>
      </c>
      <c r="W265" s="42">
        <f t="shared" si="71"/>
        <v>3346661.0590050169</v>
      </c>
    </row>
    <row r="266" spans="2:23" x14ac:dyDescent="0.3">
      <c r="B266" s="2">
        <v>258</v>
      </c>
      <c r="C266" s="2">
        <v>7490</v>
      </c>
      <c r="D266" s="4">
        <v>355400.5</v>
      </c>
      <c r="E266" s="4">
        <f t="shared" ref="E266:E329" si="72">C266*D266</f>
        <v>2661949745</v>
      </c>
      <c r="F266" s="2">
        <f t="shared" ref="F266:F329" si="73">POWER(C266,2)</f>
        <v>56100100</v>
      </c>
      <c r="G266" s="2">
        <f t="shared" ref="G266:G329" si="74">POWER(D266,2)</f>
        <v>126309515400.25</v>
      </c>
      <c r="H266" s="42">
        <f t="shared" ref="H266:H329" si="75">C266-$AG$9</f>
        <v>2465.5190000000002</v>
      </c>
      <c r="I266" s="2">
        <f t="shared" ref="I266:I329" si="76">POWER(H266,2)</f>
        <v>6078783.9393610014</v>
      </c>
      <c r="J266" s="4">
        <f t="shared" ref="J266:J329" si="77">D266-$AG$10</f>
        <v>-933701.39680999913</v>
      </c>
      <c r="K266" s="2">
        <f t="shared" ref="K266:K329" si="78">POWER(J266,2)</f>
        <v>871798298404.94348</v>
      </c>
      <c r="L266" s="2">
        <f t="shared" ref="L266:L329" si="79">H266*J266</f>
        <v>-2302058534.1615925</v>
      </c>
      <c r="N266" s="42">
        <f t="shared" ref="N266:N329" si="80">$AG$18+$AG$17*C266</f>
        <v>1913458.4551249915</v>
      </c>
      <c r="O266" s="42">
        <f t="shared" ref="O266:O329" si="81">(N266-$AG$10)^2</f>
        <v>389821111910.94244</v>
      </c>
      <c r="P266" s="4">
        <f t="shared" ref="P266:P329" si="82">D266-N266</f>
        <v>-1558057.9551249915</v>
      </c>
      <c r="Q266" s="4">
        <f t="shared" ref="Q266:Q329" si="83">P266^2</f>
        <v>2427544591528.27</v>
      </c>
      <c r="R266" s="43">
        <f t="shared" ref="R266:R329" si="84">(1/$AG$8)+((I266)/($I$1009))</f>
        <v>1.7657821918154973E-3</v>
      </c>
      <c r="S266" s="4">
        <f t="shared" ref="S266:S329" si="85">P266 / ($AG$19*SQRT(1-R266))</f>
        <v>-1.2815496020663053</v>
      </c>
      <c r="T266" s="30">
        <f t="shared" ref="T266:T329" si="86">N266-$AK$16*SQRT($AG$25*((1/$AG$8)+((C266-$AG$9)^2)/$I$1009))</f>
        <v>1813017.6084341565</v>
      </c>
      <c r="U266" s="31">
        <f t="shared" ref="U266:U329" si="87">N266+$AK$16*SQRT($AG$25*((1/$AG$8)+((C266-$AG$9)^2)/$I$1009))</f>
        <v>2013899.3018158264</v>
      </c>
      <c r="V266" s="31">
        <f t="shared" ref="V266:V329" si="88">N266+$AK$16*SQRT($AG$25*(1+(1/$AG$8)-((C266-$AG$9)^2)/$I$1009))</f>
        <v>4303979.9470030554</v>
      </c>
      <c r="W266" s="42">
        <f t="shared" ref="W266:W329" si="89">N266+$AK$16*SQRT($AG$25*(1+(1/$AG$8)+((C266-$AG$9)^2)/$I$1009))</f>
        <v>4305809.4370640265</v>
      </c>
    </row>
    <row r="267" spans="2:23" x14ac:dyDescent="0.3">
      <c r="B267" s="2">
        <v>259</v>
      </c>
      <c r="C267" s="2">
        <v>2911</v>
      </c>
      <c r="D267" s="4">
        <v>743120.08</v>
      </c>
      <c r="E267" s="4">
        <f t="shared" si="72"/>
        <v>2163222552.8800001</v>
      </c>
      <c r="F267" s="2">
        <f t="shared" si="73"/>
        <v>8473921</v>
      </c>
      <c r="G267" s="2">
        <f t="shared" si="74"/>
        <v>552227453299.2063</v>
      </c>
      <c r="H267" s="42">
        <f t="shared" si="75"/>
        <v>-2113.4809999999998</v>
      </c>
      <c r="I267" s="2">
        <f t="shared" si="76"/>
        <v>4466801.9373609992</v>
      </c>
      <c r="J267" s="4">
        <f t="shared" si="77"/>
        <v>-545981.81680999917</v>
      </c>
      <c r="K267" s="2">
        <f t="shared" si="78"/>
        <v>298096144287.14752</v>
      </c>
      <c r="L267" s="2">
        <f t="shared" si="79"/>
        <v>1153922196.1734138</v>
      </c>
      <c r="N267" s="42">
        <f t="shared" si="80"/>
        <v>753893.803412979</v>
      </c>
      <c r="O267" s="42">
        <f t="shared" si="81"/>
        <v>286447703237.6734</v>
      </c>
      <c r="P267" s="4">
        <f t="shared" si="82"/>
        <v>-10773.723412979045</v>
      </c>
      <c r="Q267" s="4">
        <f t="shared" si="83"/>
        <v>116073116.17937285</v>
      </c>
      <c r="R267" s="43">
        <f t="shared" si="84"/>
        <v>1.5627108007325538E-3</v>
      </c>
      <c r="S267" s="4">
        <f t="shared" si="85"/>
        <v>-8.8608108139473854E-3</v>
      </c>
      <c r="T267" s="30">
        <f t="shared" si="86"/>
        <v>659404.83541920222</v>
      </c>
      <c r="U267" s="31">
        <f t="shared" si="87"/>
        <v>848382.77140675578</v>
      </c>
      <c r="V267" s="31">
        <f t="shared" si="88"/>
        <v>3144657.9494011118</v>
      </c>
      <c r="W267" s="42">
        <f t="shared" si="89"/>
        <v>3146002.2922096769</v>
      </c>
    </row>
    <row r="268" spans="2:23" x14ac:dyDescent="0.3">
      <c r="B268" s="2">
        <v>260</v>
      </c>
      <c r="C268" s="2">
        <v>6692</v>
      </c>
      <c r="D268" s="4">
        <v>2823287.88</v>
      </c>
      <c r="E268" s="4">
        <f t="shared" si="72"/>
        <v>18893442492.959999</v>
      </c>
      <c r="F268" s="2">
        <f t="shared" si="73"/>
        <v>44782864</v>
      </c>
      <c r="G268" s="2">
        <f t="shared" si="74"/>
        <v>7970954453354.8936</v>
      </c>
      <c r="H268" s="42">
        <f t="shared" si="75"/>
        <v>1667.5190000000002</v>
      </c>
      <c r="I268" s="2">
        <f t="shared" si="76"/>
        <v>2780619.6153610009</v>
      </c>
      <c r="J268" s="4">
        <f t="shared" si="77"/>
        <v>1534185.9831900008</v>
      </c>
      <c r="K268" s="2">
        <f t="shared" si="78"/>
        <v>2353726631016.6694</v>
      </c>
      <c r="L268" s="2">
        <f t="shared" si="79"/>
        <v>2558284276.5030074</v>
      </c>
      <c r="N268" s="42">
        <f t="shared" si="80"/>
        <v>1711376.648602566</v>
      </c>
      <c r="O268" s="42">
        <f t="shared" si="81"/>
        <v>178315966001.47394</v>
      </c>
      <c r="P268" s="4">
        <f t="shared" si="82"/>
        <v>1111911.2313974339</v>
      </c>
      <c r="Q268" s="4">
        <f t="shared" si="83"/>
        <v>1236346586507.7578</v>
      </c>
      <c r="R268" s="43">
        <f t="shared" si="84"/>
        <v>1.3502919341923754E-3</v>
      </c>
      <c r="S268" s="4">
        <f t="shared" si="85"/>
        <v>0.914390206016642</v>
      </c>
      <c r="T268" s="30">
        <f t="shared" si="86"/>
        <v>1623544.0695015942</v>
      </c>
      <c r="U268" s="31">
        <f t="shared" si="87"/>
        <v>1799209.2277035378</v>
      </c>
      <c r="V268" s="31">
        <f t="shared" si="88"/>
        <v>4102394.5918358164</v>
      </c>
      <c r="W268" s="42">
        <f t="shared" si="89"/>
        <v>4103231.4558708128</v>
      </c>
    </row>
    <row r="269" spans="2:23" x14ac:dyDescent="0.3">
      <c r="B269" s="2">
        <v>261</v>
      </c>
      <c r="C269" s="2">
        <v>2589</v>
      </c>
      <c r="D269" s="4">
        <v>1092273.21</v>
      </c>
      <c r="E269" s="4">
        <f t="shared" si="72"/>
        <v>2827895340.6900001</v>
      </c>
      <c r="F269" s="2">
        <f t="shared" si="73"/>
        <v>6702921</v>
      </c>
      <c r="G269" s="2">
        <f t="shared" si="74"/>
        <v>1193060765283.7041</v>
      </c>
      <c r="H269" s="42">
        <f t="shared" si="75"/>
        <v>-2435.4809999999998</v>
      </c>
      <c r="I269" s="2">
        <f t="shared" si="76"/>
        <v>5931567.7013609987</v>
      </c>
      <c r="J269" s="4">
        <f t="shared" si="77"/>
        <v>-196828.68680999917</v>
      </c>
      <c r="K269" s="2">
        <f t="shared" si="78"/>
        <v>38741531951.34874</v>
      </c>
      <c r="L269" s="2">
        <f t="shared" si="79"/>
        <v>479372526.98070353</v>
      </c>
      <c r="N269" s="42">
        <f t="shared" si="80"/>
        <v>672352.02183375484</v>
      </c>
      <c r="O269" s="42">
        <f t="shared" si="81"/>
        <v>380380408283.21295</v>
      </c>
      <c r="P269" s="4">
        <f t="shared" si="82"/>
        <v>419921.18816624512</v>
      </c>
      <c r="Q269" s="4">
        <f t="shared" si="83"/>
        <v>176333804270.95105</v>
      </c>
      <c r="R269" s="43">
        <f t="shared" si="84"/>
        <v>1.7472364473818951E-3</v>
      </c>
      <c r="S269" s="4">
        <f t="shared" si="85"/>
        <v>0.34539461826266887</v>
      </c>
      <c r="T269" s="30">
        <f t="shared" si="86"/>
        <v>572440.02495896525</v>
      </c>
      <c r="U269" s="31">
        <f t="shared" si="87"/>
        <v>772264.01870854443</v>
      </c>
      <c r="V269" s="31">
        <f t="shared" si="88"/>
        <v>3062895.6754187262</v>
      </c>
      <c r="W269" s="42">
        <f t="shared" si="89"/>
        <v>3064680.8588083461</v>
      </c>
    </row>
    <row r="270" spans="2:23" x14ac:dyDescent="0.3">
      <c r="B270" s="2">
        <v>262</v>
      </c>
      <c r="C270" s="2">
        <v>6386</v>
      </c>
      <c r="D270" s="4">
        <v>521927.78</v>
      </c>
      <c r="E270" s="4">
        <f t="shared" si="72"/>
        <v>3333030803.0800004</v>
      </c>
      <c r="F270" s="2">
        <f t="shared" si="73"/>
        <v>40780996</v>
      </c>
      <c r="G270" s="2">
        <f t="shared" si="74"/>
        <v>272408607535.72842</v>
      </c>
      <c r="H270" s="42">
        <f t="shared" si="75"/>
        <v>1361.5190000000002</v>
      </c>
      <c r="I270" s="2">
        <f t="shared" si="76"/>
        <v>1853733.9873610006</v>
      </c>
      <c r="J270" s="4">
        <f t="shared" si="77"/>
        <v>-767174.1168099991</v>
      </c>
      <c r="K270" s="2">
        <f t="shared" si="78"/>
        <v>588556125503.20215</v>
      </c>
      <c r="L270" s="2">
        <f t="shared" si="79"/>
        <v>-1044522136.3450334</v>
      </c>
      <c r="N270" s="42">
        <f t="shared" si="80"/>
        <v>1633886.6325676511</v>
      </c>
      <c r="O270" s="42">
        <f t="shared" si="81"/>
        <v>118876514011.47389</v>
      </c>
      <c r="P270" s="4">
        <f t="shared" si="82"/>
        <v>-1111958.8525676511</v>
      </c>
      <c r="Q270" s="4">
        <f t="shared" si="83"/>
        <v>1236452489803.5671</v>
      </c>
      <c r="R270" s="43">
        <f t="shared" si="84"/>
        <v>1.2335263911408918E-3</v>
      </c>
      <c r="S270" s="4">
        <f t="shared" si="85"/>
        <v>-0.91437591329571921</v>
      </c>
      <c r="T270" s="30">
        <f t="shared" si="86"/>
        <v>1549937.5370064266</v>
      </c>
      <c r="U270" s="31">
        <f t="shared" si="87"/>
        <v>1717835.7281288756</v>
      </c>
      <c r="V270" s="31">
        <f t="shared" si="88"/>
        <v>4025044.0753491479</v>
      </c>
      <c r="W270" s="42">
        <f t="shared" si="89"/>
        <v>4025601.9809622378</v>
      </c>
    </row>
    <row r="271" spans="2:23" x14ac:dyDescent="0.3">
      <c r="B271" s="2">
        <v>263</v>
      </c>
      <c r="C271" s="2">
        <v>903</v>
      </c>
      <c r="D271" s="4">
        <v>380966.67</v>
      </c>
      <c r="E271" s="4">
        <f t="shared" si="72"/>
        <v>344012903.00999999</v>
      </c>
      <c r="F271" s="2">
        <f t="shared" si="73"/>
        <v>815409</v>
      </c>
      <c r="G271" s="2">
        <f t="shared" si="74"/>
        <v>145135603650.88889</v>
      </c>
      <c r="H271" s="42">
        <f t="shared" si="75"/>
        <v>-4121.4809999999998</v>
      </c>
      <c r="I271" s="2">
        <f t="shared" si="76"/>
        <v>16986605.633360997</v>
      </c>
      <c r="J271" s="4">
        <f t="shared" si="77"/>
        <v>-908135.22680999921</v>
      </c>
      <c r="K271" s="2">
        <f t="shared" si="78"/>
        <v>824709590173.24866</v>
      </c>
      <c r="L271" s="2">
        <f t="shared" si="79"/>
        <v>3742862082.7281022</v>
      </c>
      <c r="N271" s="42">
        <f t="shared" si="80"/>
        <v>245397.22760216432</v>
      </c>
      <c r="O271" s="42">
        <f t="shared" si="81"/>
        <v>1089319436526.236</v>
      </c>
      <c r="P271" s="4">
        <f t="shared" si="82"/>
        <v>135569.44239783566</v>
      </c>
      <c r="Q271" s="4">
        <f t="shared" si="83"/>
        <v>18379073712.060081</v>
      </c>
      <c r="R271" s="43">
        <f t="shared" si="84"/>
        <v>3.139908281521856E-3</v>
      </c>
      <c r="S271" s="4">
        <f t="shared" si="85"/>
        <v>0.11158677940084497</v>
      </c>
      <c r="T271" s="30">
        <f t="shared" si="86"/>
        <v>111460.31618393192</v>
      </c>
      <c r="U271" s="31">
        <f t="shared" si="87"/>
        <v>379334.13902039675</v>
      </c>
      <c r="V271" s="31">
        <f t="shared" si="88"/>
        <v>2634276.1007505371</v>
      </c>
      <c r="W271" s="42">
        <f t="shared" si="89"/>
        <v>2639388.4459112352</v>
      </c>
    </row>
    <row r="272" spans="2:23" x14ac:dyDescent="0.3">
      <c r="B272" s="2">
        <v>264</v>
      </c>
      <c r="C272" s="2">
        <v>986</v>
      </c>
      <c r="D272" s="4">
        <v>107750.08</v>
      </c>
      <c r="E272" s="4">
        <f t="shared" si="72"/>
        <v>106241578.88</v>
      </c>
      <c r="F272" s="2">
        <f t="shared" si="73"/>
        <v>972196</v>
      </c>
      <c r="G272" s="2">
        <f t="shared" si="74"/>
        <v>11610079740.006401</v>
      </c>
      <c r="H272" s="42">
        <f t="shared" si="75"/>
        <v>-4038.4809999999998</v>
      </c>
      <c r="I272" s="2">
        <f t="shared" si="76"/>
        <v>16309328.787360998</v>
      </c>
      <c r="J272" s="4">
        <f t="shared" si="77"/>
        <v>-1181351.8168099991</v>
      </c>
      <c r="K272" s="2">
        <f t="shared" si="78"/>
        <v>1395592115080.2856</v>
      </c>
      <c r="L272" s="2">
        <f t="shared" si="79"/>
        <v>4770866866.5026617</v>
      </c>
      <c r="N272" s="42">
        <f t="shared" si="80"/>
        <v>266415.76136326871</v>
      </c>
      <c r="O272" s="42">
        <f t="shared" si="81"/>
        <v>1045886931634.9683</v>
      </c>
      <c r="P272" s="4">
        <f t="shared" si="82"/>
        <v>-158665.6813632687</v>
      </c>
      <c r="Q272" s="4">
        <f t="shared" si="83"/>
        <v>25174798442.47031</v>
      </c>
      <c r="R272" s="43">
        <f t="shared" si="84"/>
        <v>3.0545875080300634E-3</v>
      </c>
      <c r="S272" s="4">
        <f t="shared" si="85"/>
        <v>-0.13059163215097241</v>
      </c>
      <c r="T272" s="30">
        <f t="shared" si="86"/>
        <v>134311.11755128205</v>
      </c>
      <c r="U272" s="31">
        <f t="shared" si="87"/>
        <v>398520.40517525538</v>
      </c>
      <c r="V272" s="31">
        <f t="shared" si="88"/>
        <v>2655396.6591308089</v>
      </c>
      <c r="W272" s="42">
        <f t="shared" si="89"/>
        <v>2660305.1685868744</v>
      </c>
    </row>
    <row r="273" spans="2:23" x14ac:dyDescent="0.3">
      <c r="B273" s="2">
        <v>265</v>
      </c>
      <c r="C273" s="2">
        <v>8516</v>
      </c>
      <c r="D273" s="4">
        <v>404084.2</v>
      </c>
      <c r="E273" s="4">
        <f t="shared" si="72"/>
        <v>3441181047.2000003</v>
      </c>
      <c r="F273" s="2">
        <f t="shared" si="73"/>
        <v>72522256</v>
      </c>
      <c r="G273" s="2">
        <f t="shared" si="74"/>
        <v>163284040689.64001</v>
      </c>
      <c r="H273" s="42">
        <f t="shared" si="75"/>
        <v>3491.5190000000002</v>
      </c>
      <c r="I273" s="2">
        <f t="shared" si="76"/>
        <v>12190704.927361002</v>
      </c>
      <c r="J273" s="4">
        <f t="shared" si="77"/>
        <v>-885017.69680999918</v>
      </c>
      <c r="K273" s="2">
        <f t="shared" si="78"/>
        <v>783256323666.87561</v>
      </c>
      <c r="L273" s="2">
        <f t="shared" si="79"/>
        <v>-3090056103.7483516</v>
      </c>
      <c r="N273" s="42">
        <f t="shared" si="80"/>
        <v>2173277.9206538242</v>
      </c>
      <c r="O273" s="42">
        <f t="shared" si="81"/>
        <v>781767241140.27637</v>
      </c>
      <c r="P273" s="4">
        <f t="shared" si="82"/>
        <v>-1769193.7206538243</v>
      </c>
      <c r="Q273" s="4">
        <f t="shared" si="83"/>
        <v>3130046421200.9219</v>
      </c>
      <c r="R273" s="43">
        <f t="shared" si="84"/>
        <v>2.5357388635911652E-3</v>
      </c>
      <c r="S273" s="4">
        <f t="shared" si="85"/>
        <v>-1.4557766714904119</v>
      </c>
      <c r="T273" s="30">
        <f t="shared" si="86"/>
        <v>2052914.627334178</v>
      </c>
      <c r="U273" s="31">
        <f t="shared" si="87"/>
        <v>2293641.2139734705</v>
      </c>
      <c r="V273" s="31">
        <f t="shared" si="88"/>
        <v>4562879.1519131623</v>
      </c>
      <c r="W273" s="42">
        <f t="shared" si="89"/>
        <v>4566548.1058772653</v>
      </c>
    </row>
    <row r="274" spans="2:23" x14ac:dyDescent="0.3">
      <c r="B274" s="2">
        <v>266</v>
      </c>
      <c r="C274" s="2">
        <v>7405</v>
      </c>
      <c r="D274" s="4">
        <v>4822210.05</v>
      </c>
      <c r="E274" s="4">
        <f t="shared" si="72"/>
        <v>35708465420.25</v>
      </c>
      <c r="F274" s="2">
        <f t="shared" si="73"/>
        <v>54834025</v>
      </c>
      <c r="G274" s="2">
        <f t="shared" si="74"/>
        <v>23253709766321</v>
      </c>
      <c r="H274" s="42">
        <f t="shared" si="75"/>
        <v>2380.5190000000002</v>
      </c>
      <c r="I274" s="2">
        <f t="shared" si="76"/>
        <v>5666870.7093610009</v>
      </c>
      <c r="J274" s="4">
        <f t="shared" si="77"/>
        <v>3533108.1531900009</v>
      </c>
      <c r="K274" s="2">
        <f t="shared" si="78"/>
        <v>12482853222137.658</v>
      </c>
      <c r="L274" s="2">
        <f t="shared" si="79"/>
        <v>8410631087.7237082</v>
      </c>
      <c r="N274" s="42">
        <f t="shared" si="80"/>
        <v>1891933.4506708484</v>
      </c>
      <c r="O274" s="42">
        <f t="shared" si="81"/>
        <v>363405882330.28595</v>
      </c>
      <c r="P274" s="4">
        <f t="shared" si="82"/>
        <v>2930276.5993291512</v>
      </c>
      <c r="Q274" s="4">
        <f t="shared" si="83"/>
        <v>8586520948576.0146</v>
      </c>
      <c r="R274" s="43">
        <f t="shared" si="84"/>
        <v>1.7138909222369375E-3</v>
      </c>
      <c r="S274" s="4">
        <f t="shared" si="85"/>
        <v>2.4101781293880715</v>
      </c>
      <c r="T274" s="30">
        <f t="shared" si="86"/>
        <v>1792979.4429904569</v>
      </c>
      <c r="U274" s="31">
        <f t="shared" si="87"/>
        <v>1990887.4583512398</v>
      </c>
      <c r="V274" s="31">
        <f t="shared" si="88"/>
        <v>4282516.950818643</v>
      </c>
      <c r="W274" s="42">
        <f t="shared" si="89"/>
        <v>4284222.470153382</v>
      </c>
    </row>
    <row r="275" spans="2:23" x14ac:dyDescent="0.3">
      <c r="B275" s="2">
        <v>267</v>
      </c>
      <c r="C275" s="2">
        <v>8594</v>
      </c>
      <c r="D275" s="4">
        <v>5743112.3799999999</v>
      </c>
      <c r="E275" s="4">
        <f t="shared" si="72"/>
        <v>49356307793.720001</v>
      </c>
      <c r="F275" s="2">
        <f t="shared" si="73"/>
        <v>73856836</v>
      </c>
      <c r="G275" s="2">
        <f t="shared" si="74"/>
        <v>32983339809309.262</v>
      </c>
      <c r="H275" s="42">
        <f t="shared" si="75"/>
        <v>3569.5190000000002</v>
      </c>
      <c r="I275" s="2">
        <f t="shared" si="76"/>
        <v>12741465.891361002</v>
      </c>
      <c r="J275" s="4">
        <f t="shared" si="77"/>
        <v>4454010.483190001</v>
      </c>
      <c r="K275" s="2">
        <f t="shared" si="78"/>
        <v>19838209384366.426</v>
      </c>
      <c r="L275" s="2">
        <f t="shared" si="79"/>
        <v>15898675045.94589</v>
      </c>
      <c r="N275" s="42">
        <f t="shared" si="80"/>
        <v>2193030.2776823319</v>
      </c>
      <c r="O275" s="42">
        <f t="shared" si="81"/>
        <v>817086517746.47705</v>
      </c>
      <c r="P275" s="4">
        <f t="shared" si="82"/>
        <v>3550082.102317668</v>
      </c>
      <c r="Q275" s="4">
        <f t="shared" si="83"/>
        <v>12603082933196.234</v>
      </c>
      <c r="R275" s="43">
        <f t="shared" si="84"/>
        <v>2.6051216451451137E-3</v>
      </c>
      <c r="S275" s="4">
        <f t="shared" si="85"/>
        <v>2.9212778684222971</v>
      </c>
      <c r="T275" s="30">
        <f t="shared" si="86"/>
        <v>2071031.4092758442</v>
      </c>
      <c r="U275" s="31">
        <f t="shared" si="87"/>
        <v>2315029.1460888195</v>
      </c>
      <c r="V275" s="31">
        <f t="shared" si="88"/>
        <v>4582548.5644762274</v>
      </c>
      <c r="W275" s="42">
        <f t="shared" si="89"/>
        <v>4586383.2773447633</v>
      </c>
    </row>
    <row r="276" spans="2:23" x14ac:dyDescent="0.3">
      <c r="B276" s="2">
        <v>268</v>
      </c>
      <c r="C276" s="2">
        <v>5057</v>
      </c>
      <c r="D276" s="4">
        <v>552628.96</v>
      </c>
      <c r="E276" s="4">
        <f t="shared" si="72"/>
        <v>2794644650.7199998</v>
      </c>
      <c r="F276" s="2">
        <f t="shared" si="73"/>
        <v>25573249</v>
      </c>
      <c r="G276" s="2">
        <f t="shared" si="74"/>
        <v>305398767430.68158</v>
      </c>
      <c r="H276" s="42">
        <f t="shared" si="75"/>
        <v>32.519000000000233</v>
      </c>
      <c r="I276" s="2">
        <f t="shared" si="76"/>
        <v>1057.4853610000152</v>
      </c>
      <c r="J276" s="4">
        <f t="shared" si="77"/>
        <v>-736472.93680999917</v>
      </c>
      <c r="K276" s="2">
        <f t="shared" si="78"/>
        <v>542392386653.54504</v>
      </c>
      <c r="L276" s="2">
        <f t="shared" si="79"/>
        <v>-23949363.432124533</v>
      </c>
      <c r="N276" s="42">
        <f t="shared" si="80"/>
        <v>1297336.8570434614</v>
      </c>
      <c r="O276" s="42">
        <f t="shared" si="81"/>
        <v>67814570.046705067</v>
      </c>
      <c r="P276" s="4">
        <f t="shared" si="82"/>
        <v>-744707.89704346145</v>
      </c>
      <c r="Q276" s="4">
        <f t="shared" si="83"/>
        <v>554589851918.89478</v>
      </c>
      <c r="R276" s="43">
        <f t="shared" si="84"/>
        <v>1.0001332180030805E-3</v>
      </c>
      <c r="S276" s="4">
        <f t="shared" si="85"/>
        <v>-0.61230990158106069</v>
      </c>
      <c r="T276" s="30">
        <f t="shared" si="86"/>
        <v>1221745.7466831561</v>
      </c>
      <c r="U276" s="31">
        <f t="shared" si="87"/>
        <v>1372927.9674037667</v>
      </c>
      <c r="V276" s="31">
        <f t="shared" si="88"/>
        <v>3688773.1097688796</v>
      </c>
      <c r="W276" s="42">
        <f t="shared" si="89"/>
        <v>3688773.4280329989</v>
      </c>
    </row>
    <row r="277" spans="2:23" x14ac:dyDescent="0.3">
      <c r="B277" s="2">
        <v>269</v>
      </c>
      <c r="C277" s="2">
        <v>6799</v>
      </c>
      <c r="D277" s="4">
        <v>1398554.2999999998</v>
      </c>
      <c r="E277" s="4">
        <f t="shared" si="72"/>
        <v>9508770685.6999989</v>
      </c>
      <c r="F277" s="2">
        <f t="shared" si="73"/>
        <v>46226401</v>
      </c>
      <c r="G277" s="2">
        <f t="shared" si="74"/>
        <v>1955954130048.4895</v>
      </c>
      <c r="H277" s="42">
        <f t="shared" si="75"/>
        <v>1774.5190000000002</v>
      </c>
      <c r="I277" s="2">
        <f t="shared" si="76"/>
        <v>3148917.681361001</v>
      </c>
      <c r="J277" s="4">
        <f t="shared" si="77"/>
        <v>109452.40319000068</v>
      </c>
      <c r="K277" s="2">
        <f t="shared" si="78"/>
        <v>11979828564.066471</v>
      </c>
      <c r="L277" s="2">
        <f t="shared" si="79"/>
        <v>194225369.05631685</v>
      </c>
      <c r="N277" s="42">
        <f t="shared" si="80"/>
        <v>1738472.8306801342</v>
      </c>
      <c r="O277" s="42">
        <f t="shared" si="81"/>
        <v>201934236207.31735</v>
      </c>
      <c r="P277" s="4">
        <f t="shared" si="82"/>
        <v>-339918.53068013443</v>
      </c>
      <c r="Q277" s="4">
        <f t="shared" si="83"/>
        <v>115544607499.74149</v>
      </c>
      <c r="R277" s="43">
        <f t="shared" si="84"/>
        <v>1.3966887304984036E-3</v>
      </c>
      <c r="S277" s="4">
        <f t="shared" si="85"/>
        <v>-0.27954155602119796</v>
      </c>
      <c r="T277" s="30">
        <f t="shared" si="86"/>
        <v>1649144.0073733325</v>
      </c>
      <c r="U277" s="31">
        <f t="shared" si="87"/>
        <v>1827801.653986936</v>
      </c>
      <c r="V277" s="31">
        <f t="shared" si="88"/>
        <v>4129435.3414990548</v>
      </c>
      <c r="W277" s="42">
        <f t="shared" si="89"/>
        <v>4130383.0496837809</v>
      </c>
    </row>
    <row r="278" spans="2:23" x14ac:dyDescent="0.3">
      <c r="B278" s="2">
        <v>270</v>
      </c>
      <c r="C278" s="2">
        <v>5857</v>
      </c>
      <c r="D278" s="4">
        <v>3914057.3899999997</v>
      </c>
      <c r="E278" s="4">
        <f t="shared" si="72"/>
        <v>22924634133.23</v>
      </c>
      <c r="F278" s="2">
        <f t="shared" si="73"/>
        <v>34304449</v>
      </c>
      <c r="G278" s="2">
        <f t="shared" si="74"/>
        <v>15319845252213.609</v>
      </c>
      <c r="H278" s="42">
        <f t="shared" si="75"/>
        <v>832.51900000000023</v>
      </c>
      <c r="I278" s="2">
        <f t="shared" si="76"/>
        <v>693087.88536100043</v>
      </c>
      <c r="J278" s="4">
        <f t="shared" si="77"/>
        <v>2624955.4931900008</v>
      </c>
      <c r="K278" s="2">
        <f t="shared" si="78"/>
        <v>6890391341228.3604</v>
      </c>
      <c r="L278" s="2">
        <f t="shared" si="79"/>
        <v>2185325322.2350469</v>
      </c>
      <c r="N278" s="42">
        <f t="shared" si="80"/>
        <v>1499925.1342589254</v>
      </c>
      <c r="O278" s="42">
        <f t="shared" si="81"/>
        <v>44446437448.446365</v>
      </c>
      <c r="P278" s="4">
        <f t="shared" si="82"/>
        <v>2414132.2557410742</v>
      </c>
      <c r="Q278" s="4">
        <f t="shared" si="83"/>
        <v>5828034548209.4873</v>
      </c>
      <c r="R278" s="43">
        <f t="shared" si="84"/>
        <v>1.08731258838397E-3</v>
      </c>
      <c r="S278" s="4">
        <f t="shared" si="85"/>
        <v>1.985022037042713</v>
      </c>
      <c r="T278" s="30">
        <f t="shared" si="86"/>
        <v>1421108.2964209898</v>
      </c>
      <c r="U278" s="31">
        <f t="shared" si="87"/>
        <v>1578741.9720968611</v>
      </c>
      <c r="V278" s="31">
        <f t="shared" si="88"/>
        <v>3891257.2468873919</v>
      </c>
      <c r="W278" s="42">
        <f t="shared" si="89"/>
        <v>3891465.8407967561</v>
      </c>
    </row>
    <row r="279" spans="2:23" x14ac:dyDescent="0.3">
      <c r="B279" s="2">
        <v>271</v>
      </c>
      <c r="C279" s="2">
        <v>1297</v>
      </c>
      <c r="D279" s="4">
        <v>106003.81000000001</v>
      </c>
      <c r="E279" s="4">
        <f t="shared" si="72"/>
        <v>137486941.57000002</v>
      </c>
      <c r="F279" s="2">
        <f t="shared" si="73"/>
        <v>1682209</v>
      </c>
      <c r="G279" s="2">
        <f t="shared" si="74"/>
        <v>11236807734.516102</v>
      </c>
      <c r="H279" s="42">
        <f t="shared" si="75"/>
        <v>-3727.4809999999998</v>
      </c>
      <c r="I279" s="2">
        <f t="shared" si="76"/>
        <v>13894114.605360998</v>
      </c>
      <c r="J279" s="4">
        <f t="shared" si="77"/>
        <v>-1183098.0868099991</v>
      </c>
      <c r="K279" s="2">
        <f t="shared" si="78"/>
        <v>1399721083013.4802</v>
      </c>
      <c r="L279" s="2">
        <f t="shared" si="79"/>
        <v>4409975639.7206221</v>
      </c>
      <c r="N279" s="42">
        <f t="shared" si="80"/>
        <v>345171.95413078036</v>
      </c>
      <c r="O279" s="42">
        <f t="shared" si="81"/>
        <v>891003736686.39319</v>
      </c>
      <c r="P279" s="4">
        <f t="shared" si="82"/>
        <v>-239168.14413078036</v>
      </c>
      <c r="Q279" s="4">
        <f t="shared" si="83"/>
        <v>57201401166.961731</v>
      </c>
      <c r="R279" s="43">
        <f t="shared" si="84"/>
        <v>2.7503279672327877E-3</v>
      </c>
      <c r="S279" s="4">
        <f t="shared" si="85"/>
        <v>-0.19682008762604902</v>
      </c>
      <c r="T279" s="30">
        <f t="shared" si="86"/>
        <v>219819.15353417382</v>
      </c>
      <c r="U279" s="31">
        <f t="shared" si="87"/>
        <v>470524.75472738687</v>
      </c>
      <c r="V279" s="31">
        <f t="shared" si="88"/>
        <v>2734516.6429937086</v>
      </c>
      <c r="W279" s="42">
        <f t="shared" si="89"/>
        <v>2738698.2610090035</v>
      </c>
    </row>
    <row r="280" spans="2:23" x14ac:dyDescent="0.3">
      <c r="B280" s="2">
        <v>272</v>
      </c>
      <c r="C280" s="2">
        <v>4219</v>
      </c>
      <c r="D280" s="4">
        <v>461052.32</v>
      </c>
      <c r="E280" s="4">
        <f t="shared" si="72"/>
        <v>1945179738.0799999</v>
      </c>
      <c r="F280" s="2">
        <f t="shared" si="73"/>
        <v>17799961</v>
      </c>
      <c r="G280" s="2">
        <f t="shared" si="74"/>
        <v>212569241777.38242</v>
      </c>
      <c r="H280" s="42">
        <f t="shared" si="75"/>
        <v>-805.48099999999977</v>
      </c>
      <c r="I280" s="2">
        <f t="shared" si="76"/>
        <v>648799.64136099967</v>
      </c>
      <c r="J280" s="4">
        <f t="shared" si="77"/>
        <v>-828049.57680999907</v>
      </c>
      <c r="K280" s="2">
        <f t="shared" si="78"/>
        <v>685666101655.21851</v>
      </c>
      <c r="L280" s="2">
        <f t="shared" si="79"/>
        <v>666978201.17849469</v>
      </c>
      <c r="N280" s="42">
        <f t="shared" si="80"/>
        <v>1085125.6366602627</v>
      </c>
      <c r="O280" s="42">
        <f t="shared" si="81"/>
        <v>41606314704.672951</v>
      </c>
      <c r="P280" s="4">
        <f t="shared" si="82"/>
        <v>-624073.31666026264</v>
      </c>
      <c r="Q280" s="4">
        <f t="shared" si="83"/>
        <v>389467504567.34045</v>
      </c>
      <c r="R280" s="43">
        <f t="shared" si="84"/>
        <v>1.0817333230407203E-3</v>
      </c>
      <c r="S280" s="4">
        <f t="shared" si="85"/>
        <v>-0.51314331425416848</v>
      </c>
      <c r="T280" s="30">
        <f t="shared" si="86"/>
        <v>1006511.2730747826</v>
      </c>
      <c r="U280" s="31">
        <f t="shared" si="87"/>
        <v>1163740.000245743</v>
      </c>
      <c r="V280" s="31">
        <f t="shared" si="88"/>
        <v>3476464.4141347017</v>
      </c>
      <c r="W280" s="42">
        <f t="shared" si="89"/>
        <v>3476659.6789148664</v>
      </c>
    </row>
    <row r="281" spans="2:23" x14ac:dyDescent="0.3">
      <c r="B281" s="2">
        <v>273</v>
      </c>
      <c r="C281" s="2">
        <v>2751</v>
      </c>
      <c r="D281" s="4">
        <v>1202737.2</v>
      </c>
      <c r="E281" s="4">
        <f t="shared" si="72"/>
        <v>3308730037.1999998</v>
      </c>
      <c r="F281" s="2">
        <f t="shared" si="73"/>
        <v>7568001</v>
      </c>
      <c r="G281" s="2">
        <f t="shared" si="74"/>
        <v>1446576772263.8398</v>
      </c>
      <c r="H281" s="42">
        <f t="shared" si="75"/>
        <v>-2273.4809999999998</v>
      </c>
      <c r="I281" s="2">
        <f t="shared" si="76"/>
        <v>5168715.8573609991</v>
      </c>
      <c r="J281" s="4">
        <f t="shared" si="77"/>
        <v>-86364.696809999179</v>
      </c>
      <c r="K281" s="2">
        <f t="shared" si="78"/>
        <v>7458860855.0830822</v>
      </c>
      <c r="L281" s="2">
        <f t="shared" si="79"/>
        <v>196348497.26829374</v>
      </c>
      <c r="N281" s="42">
        <f t="shared" si="80"/>
        <v>713376.14796988619</v>
      </c>
      <c r="O281" s="42">
        <f t="shared" si="81"/>
        <v>331460137877.50879</v>
      </c>
      <c r="P281" s="4">
        <f t="shared" si="82"/>
        <v>489361.05203011376</v>
      </c>
      <c r="Q281" s="4">
        <f t="shared" si="83"/>
        <v>239474239244.01971</v>
      </c>
      <c r="R281" s="43">
        <f t="shared" si="84"/>
        <v>1.6511352595528338E-3</v>
      </c>
      <c r="S281" s="4">
        <f t="shared" si="85"/>
        <v>0.40249109417146989</v>
      </c>
      <c r="T281" s="30">
        <f t="shared" si="86"/>
        <v>616250.67993307079</v>
      </c>
      <c r="U281" s="31">
        <f t="shared" si="87"/>
        <v>810501.6160067016</v>
      </c>
      <c r="V281" s="31">
        <f t="shared" si="88"/>
        <v>3104034.6368121388</v>
      </c>
      <c r="W281" s="42">
        <f t="shared" si="89"/>
        <v>3105590.2298701797</v>
      </c>
    </row>
    <row r="282" spans="2:23" x14ac:dyDescent="0.3">
      <c r="B282" s="2">
        <v>274</v>
      </c>
      <c r="C282" s="2">
        <v>7056</v>
      </c>
      <c r="D282" s="4">
        <v>4594937.7600000007</v>
      </c>
      <c r="E282" s="4">
        <f t="shared" si="72"/>
        <v>32421880834.560005</v>
      </c>
      <c r="F282" s="2">
        <f t="shared" si="73"/>
        <v>49787136</v>
      </c>
      <c r="G282" s="2">
        <f t="shared" si="74"/>
        <v>21113453018273.824</v>
      </c>
      <c r="H282" s="42">
        <f t="shared" si="75"/>
        <v>2031.5190000000002</v>
      </c>
      <c r="I282" s="2">
        <f t="shared" si="76"/>
        <v>4127069.4473610008</v>
      </c>
      <c r="J282" s="4">
        <f t="shared" si="77"/>
        <v>3305835.8631900018</v>
      </c>
      <c r="K282" s="2">
        <f t="shared" si="78"/>
        <v>10928550754353.184</v>
      </c>
      <c r="L282" s="2">
        <f t="shared" si="79"/>
        <v>6715868366.95189</v>
      </c>
      <c r="N282" s="42">
        <f t="shared" si="80"/>
        <v>1803554.3147356021</v>
      </c>
      <c r="O282" s="42">
        <f t="shared" si="81"/>
        <v>264661290309.49927</v>
      </c>
      <c r="P282" s="4">
        <f t="shared" si="82"/>
        <v>2791383.4452643986</v>
      </c>
      <c r="Q282" s="4">
        <f t="shared" si="83"/>
        <v>7791821538496.1436</v>
      </c>
      <c r="R282" s="43">
        <f t="shared" si="84"/>
        <v>1.5199125875671612E-3</v>
      </c>
      <c r="S282" s="4">
        <f t="shared" si="85"/>
        <v>2.295714264643423</v>
      </c>
      <c r="T282" s="30">
        <f t="shared" si="86"/>
        <v>1710368.2214958565</v>
      </c>
      <c r="U282" s="31">
        <f t="shared" si="87"/>
        <v>1896740.4079753477</v>
      </c>
      <c r="V282" s="31">
        <f t="shared" si="88"/>
        <v>4194369.5980315767</v>
      </c>
      <c r="W282" s="42">
        <f t="shared" si="89"/>
        <v>4195611.6938705556</v>
      </c>
    </row>
    <row r="283" spans="2:23" x14ac:dyDescent="0.3">
      <c r="B283" s="2">
        <v>275</v>
      </c>
      <c r="C283" s="2">
        <v>4325</v>
      </c>
      <c r="D283" s="4">
        <v>1824674.25</v>
      </c>
      <c r="E283" s="4">
        <f t="shared" si="72"/>
        <v>7891716131.25</v>
      </c>
      <c r="F283" s="2">
        <f t="shared" si="73"/>
        <v>18705625</v>
      </c>
      <c r="G283" s="2">
        <f t="shared" si="74"/>
        <v>3329436118613.0625</v>
      </c>
      <c r="H283" s="42">
        <f t="shared" si="75"/>
        <v>-699.48099999999977</v>
      </c>
      <c r="I283" s="2">
        <f t="shared" si="76"/>
        <v>489273.66936099966</v>
      </c>
      <c r="J283" s="4">
        <f t="shared" si="77"/>
        <v>535572.35319000087</v>
      </c>
      <c r="K283" s="2">
        <f t="shared" si="78"/>
        <v>286837745501.47504</v>
      </c>
      <c r="L283" s="2">
        <f t="shared" si="79"/>
        <v>-374622685.18169487</v>
      </c>
      <c r="N283" s="42">
        <f t="shared" si="80"/>
        <v>1111968.5833913118</v>
      </c>
      <c r="O283" s="42">
        <f t="shared" si="81"/>
        <v>31376210722.682915</v>
      </c>
      <c r="P283" s="4">
        <f t="shared" si="82"/>
        <v>712705.66660868819</v>
      </c>
      <c r="Q283" s="4">
        <f t="shared" si="83"/>
        <v>507949367216.13458</v>
      </c>
      <c r="R283" s="43">
        <f t="shared" si="84"/>
        <v>1.0616368449114944E-3</v>
      </c>
      <c r="S283" s="4">
        <f t="shared" si="85"/>
        <v>0.58601523141699363</v>
      </c>
      <c r="T283" s="30">
        <f t="shared" si="86"/>
        <v>1034087.8934825312</v>
      </c>
      <c r="U283" s="31">
        <f t="shared" si="87"/>
        <v>1189849.2733000924</v>
      </c>
      <c r="V283" s="31">
        <f t="shared" si="88"/>
        <v>3503331.3674444184</v>
      </c>
      <c r="W283" s="42">
        <f t="shared" si="89"/>
        <v>3503478.62078638</v>
      </c>
    </row>
    <row r="284" spans="2:23" x14ac:dyDescent="0.3">
      <c r="B284" s="2">
        <v>276</v>
      </c>
      <c r="C284" s="2">
        <v>3783</v>
      </c>
      <c r="D284" s="4">
        <v>179503.35</v>
      </c>
      <c r="E284" s="4">
        <f t="shared" si="72"/>
        <v>679061173.05000007</v>
      </c>
      <c r="F284" s="2">
        <f t="shared" si="73"/>
        <v>14311089</v>
      </c>
      <c r="G284" s="2">
        <f t="shared" si="74"/>
        <v>32221452661.222504</v>
      </c>
      <c r="H284" s="42">
        <f t="shared" si="75"/>
        <v>-1241.4809999999998</v>
      </c>
      <c r="I284" s="2">
        <f t="shared" si="76"/>
        <v>1541275.0733609993</v>
      </c>
      <c r="J284" s="4">
        <f t="shared" si="77"/>
        <v>-1109598.546809999</v>
      </c>
      <c r="K284" s="2">
        <f t="shared" si="78"/>
        <v>1231208935082.8616</v>
      </c>
      <c r="L284" s="2">
        <f t="shared" si="79"/>
        <v>1377545513.4922242</v>
      </c>
      <c r="N284" s="42">
        <f t="shared" si="80"/>
        <v>974715.02557783481</v>
      </c>
      <c r="O284" s="42">
        <f t="shared" si="81"/>
        <v>98839104803.149475</v>
      </c>
      <c r="P284" s="4">
        <f t="shared" si="82"/>
        <v>-795211.67557783483</v>
      </c>
      <c r="Q284" s="4">
        <f t="shared" si="83"/>
        <v>632361608975.30762</v>
      </c>
      <c r="R284" s="43">
        <f t="shared" si="84"/>
        <v>1.1941639998464969E-3</v>
      </c>
      <c r="S284" s="4">
        <f t="shared" si="85"/>
        <v>-0.65389836373155152</v>
      </c>
      <c r="T284" s="30">
        <f t="shared" si="86"/>
        <v>892116.2164320742</v>
      </c>
      <c r="U284" s="31">
        <f t="shared" si="87"/>
        <v>1057313.8347235955</v>
      </c>
      <c r="V284" s="31">
        <f t="shared" si="88"/>
        <v>3365919.4926911341</v>
      </c>
      <c r="W284" s="42">
        <f t="shared" si="89"/>
        <v>3366383.359685428</v>
      </c>
    </row>
    <row r="285" spans="2:23" x14ac:dyDescent="0.3">
      <c r="B285" s="2">
        <v>277</v>
      </c>
      <c r="C285" s="2">
        <v>1684</v>
      </c>
      <c r="D285" s="4">
        <v>259437.04</v>
      </c>
      <c r="E285" s="4">
        <f t="shared" si="72"/>
        <v>436891975.36000001</v>
      </c>
      <c r="F285" s="2">
        <f t="shared" si="73"/>
        <v>2835856</v>
      </c>
      <c r="G285" s="2">
        <f t="shared" si="74"/>
        <v>67307577723.961601</v>
      </c>
      <c r="H285" s="42">
        <f t="shared" si="75"/>
        <v>-3340.4809999999998</v>
      </c>
      <c r="I285" s="2">
        <f t="shared" si="76"/>
        <v>11158813.311360998</v>
      </c>
      <c r="J285" s="4">
        <f t="shared" si="77"/>
        <v>-1029664.8568099991</v>
      </c>
      <c r="K285" s="2">
        <f t="shared" si="78"/>
        <v>1060209717349.5559</v>
      </c>
      <c r="L285" s="2">
        <f t="shared" si="79"/>
        <v>3439575890.5415225</v>
      </c>
      <c r="N285" s="42">
        <f t="shared" si="80"/>
        <v>443174.03323376109</v>
      </c>
      <c r="O285" s="42">
        <f t="shared" si="81"/>
        <v>715593950374.65845</v>
      </c>
      <c r="P285" s="4">
        <f t="shared" si="82"/>
        <v>-183736.99323376108</v>
      </c>
      <c r="Q285" s="4">
        <f t="shared" si="83"/>
        <v>33759282682.583164</v>
      </c>
      <c r="R285" s="43">
        <f t="shared" si="84"/>
        <v>2.405745063630645E-3</v>
      </c>
      <c r="S285" s="4">
        <f t="shared" si="85"/>
        <v>-0.15117767910379107</v>
      </c>
      <c r="T285" s="30">
        <f t="shared" si="86"/>
        <v>325936.51931550284</v>
      </c>
      <c r="U285" s="31">
        <f t="shared" si="87"/>
        <v>560411.54715201934</v>
      </c>
      <c r="V285" s="31">
        <f t="shared" si="88"/>
        <v>2832930.6593664642</v>
      </c>
      <c r="W285" s="42">
        <f t="shared" si="89"/>
        <v>2836289.0517337974</v>
      </c>
    </row>
    <row r="286" spans="2:23" x14ac:dyDescent="0.3">
      <c r="B286" s="2">
        <v>278</v>
      </c>
      <c r="C286" s="2">
        <v>6314</v>
      </c>
      <c r="D286" s="4">
        <v>1298789.7999999998</v>
      </c>
      <c r="E286" s="4">
        <f t="shared" si="72"/>
        <v>8200558797.1999989</v>
      </c>
      <c r="F286" s="2">
        <f t="shared" si="73"/>
        <v>39866596</v>
      </c>
      <c r="G286" s="2">
        <f t="shared" si="74"/>
        <v>1686854944584.0396</v>
      </c>
      <c r="H286" s="42">
        <f t="shared" si="75"/>
        <v>1289.5190000000002</v>
      </c>
      <c r="I286" s="2">
        <f t="shared" si="76"/>
        <v>1662859.2513610006</v>
      </c>
      <c r="J286" s="4">
        <f t="shared" si="77"/>
        <v>9687.9031900006812</v>
      </c>
      <c r="K286" s="2">
        <f t="shared" si="78"/>
        <v>93855468.21882537</v>
      </c>
      <c r="L286" s="2">
        <f t="shared" si="79"/>
        <v>12492735.233666491</v>
      </c>
      <c r="N286" s="42">
        <f t="shared" si="80"/>
        <v>1615653.6876182593</v>
      </c>
      <c r="O286" s="42">
        <f t="shared" si="81"/>
        <v>106636072080.08174</v>
      </c>
      <c r="P286" s="4">
        <f t="shared" si="82"/>
        <v>-316863.88761825953</v>
      </c>
      <c r="Q286" s="4">
        <f t="shared" si="83"/>
        <v>100402723276.55701</v>
      </c>
      <c r="R286" s="43">
        <f t="shared" si="84"/>
        <v>1.2094807143814626E-3</v>
      </c>
      <c r="S286" s="4">
        <f t="shared" si="85"/>
        <v>-0.26055750022911595</v>
      </c>
      <c r="T286" s="30">
        <f t="shared" si="86"/>
        <v>1532526.8473919551</v>
      </c>
      <c r="U286" s="31">
        <f t="shared" si="87"/>
        <v>1698780.5278445636</v>
      </c>
      <c r="V286" s="31">
        <f t="shared" si="88"/>
        <v>4006839.8567085885</v>
      </c>
      <c r="W286" s="42">
        <f t="shared" si="89"/>
        <v>4007340.3160599335</v>
      </c>
    </row>
    <row r="287" spans="2:23" x14ac:dyDescent="0.3">
      <c r="B287" s="2">
        <v>279</v>
      </c>
      <c r="C287" s="2">
        <v>2991</v>
      </c>
      <c r="D287" s="4">
        <v>326856.48</v>
      </c>
      <c r="E287" s="4">
        <f t="shared" si="72"/>
        <v>977627731.67999995</v>
      </c>
      <c r="F287" s="2">
        <f t="shared" si="73"/>
        <v>8946081</v>
      </c>
      <c r="G287" s="2">
        <f t="shared" si="74"/>
        <v>106835158517.99039</v>
      </c>
      <c r="H287" s="42">
        <f t="shared" si="75"/>
        <v>-2033.4809999999998</v>
      </c>
      <c r="I287" s="2">
        <f t="shared" si="76"/>
        <v>4135044.9773609992</v>
      </c>
      <c r="J287" s="4">
        <f t="shared" si="77"/>
        <v>-962245.41680999915</v>
      </c>
      <c r="K287" s="2">
        <f t="shared" si="78"/>
        <v>925916242171.849</v>
      </c>
      <c r="L287" s="2">
        <f t="shared" si="79"/>
        <v>1956707772.4202137</v>
      </c>
      <c r="N287" s="42">
        <f t="shared" si="80"/>
        <v>774152.63113452541</v>
      </c>
      <c r="O287" s="42">
        <f t="shared" si="81"/>
        <v>265172746219.70963</v>
      </c>
      <c r="P287" s="4">
        <f t="shared" si="82"/>
        <v>-447296.15113452543</v>
      </c>
      <c r="Q287" s="4">
        <f t="shared" si="83"/>
        <v>200073846819.76022</v>
      </c>
      <c r="R287" s="43">
        <f t="shared" si="84"/>
        <v>1.5209173146483036E-3</v>
      </c>
      <c r="S287" s="4">
        <f t="shared" si="85"/>
        <v>-0.36786944232490526</v>
      </c>
      <c r="T287" s="30">
        <f t="shared" si="86"/>
        <v>680935.74299099762</v>
      </c>
      <c r="U287" s="31">
        <f t="shared" si="87"/>
        <v>867369.51927805319</v>
      </c>
      <c r="V287" s="31">
        <f t="shared" si="88"/>
        <v>3164966.7139481036</v>
      </c>
      <c r="W287" s="42">
        <f t="shared" si="89"/>
        <v>3166211.2101279111</v>
      </c>
    </row>
    <row r="288" spans="2:23" x14ac:dyDescent="0.3">
      <c r="B288" s="2">
        <v>280</v>
      </c>
      <c r="C288" s="2">
        <v>9063</v>
      </c>
      <c r="D288" s="4">
        <v>740718.99</v>
      </c>
      <c r="E288" s="4">
        <f t="shared" si="72"/>
        <v>6713136206.3699999</v>
      </c>
      <c r="F288" s="2">
        <f t="shared" si="73"/>
        <v>82137969</v>
      </c>
      <c r="G288" s="2">
        <f t="shared" si="74"/>
        <v>548664622146.62006</v>
      </c>
      <c r="H288" s="42">
        <f t="shared" si="75"/>
        <v>4038.5190000000002</v>
      </c>
      <c r="I288" s="2">
        <f t="shared" si="76"/>
        <v>16309635.713361003</v>
      </c>
      <c r="J288" s="4">
        <f t="shared" si="77"/>
        <v>-548382.90680999914</v>
      </c>
      <c r="K288" s="2">
        <f t="shared" si="78"/>
        <v>300723812481.38422</v>
      </c>
      <c r="L288" s="2">
        <f t="shared" si="79"/>
        <v>-2214654788.4274111</v>
      </c>
      <c r="N288" s="42">
        <f t="shared" si="80"/>
        <v>2311797.6551998975</v>
      </c>
      <c r="O288" s="42">
        <f t="shared" si="81"/>
        <v>1045906614228.6893</v>
      </c>
      <c r="P288" s="4">
        <f t="shared" si="82"/>
        <v>-1571078.6651998975</v>
      </c>
      <c r="Q288" s="4">
        <f t="shared" si="83"/>
        <v>2468288172246.2915</v>
      </c>
      <c r="R288" s="43">
        <f t="shared" si="84"/>
        <v>3.0546261734057953E-3</v>
      </c>
      <c r="S288" s="4">
        <f t="shared" si="85"/>
        <v>-1.2930945705575769</v>
      </c>
      <c r="T288" s="30">
        <f t="shared" si="86"/>
        <v>2179692.1752914637</v>
      </c>
      <c r="U288" s="31">
        <f t="shared" si="87"/>
        <v>2443903.1351083312</v>
      </c>
      <c r="V288" s="31">
        <f t="shared" si="88"/>
        <v>4700778.5067332573</v>
      </c>
      <c r="W288" s="42">
        <f t="shared" si="89"/>
        <v>4705687.108562883</v>
      </c>
    </row>
    <row r="289" spans="2:23" x14ac:dyDescent="0.3">
      <c r="B289" s="2">
        <v>281</v>
      </c>
      <c r="C289" s="2">
        <v>8910</v>
      </c>
      <c r="D289" s="4">
        <v>1359487.8</v>
      </c>
      <c r="E289" s="4">
        <f t="shared" si="72"/>
        <v>12113036298</v>
      </c>
      <c r="F289" s="2">
        <f t="shared" si="73"/>
        <v>79388100</v>
      </c>
      <c r="G289" s="2">
        <f t="shared" si="74"/>
        <v>1848207078348.8401</v>
      </c>
      <c r="H289" s="42">
        <f t="shared" si="75"/>
        <v>3885.5190000000002</v>
      </c>
      <c r="I289" s="2">
        <f t="shared" si="76"/>
        <v>15097257.899361001</v>
      </c>
      <c r="J289" s="4">
        <f t="shared" si="77"/>
        <v>70385.903190000914</v>
      </c>
      <c r="K289" s="2">
        <f t="shared" si="78"/>
        <v>4954175367.8721809</v>
      </c>
      <c r="L289" s="2">
        <f t="shared" si="79"/>
        <v>273485764.17690915</v>
      </c>
      <c r="N289" s="42">
        <f t="shared" si="80"/>
        <v>2273052.6471824399</v>
      </c>
      <c r="O289" s="42">
        <f t="shared" si="81"/>
        <v>968159079158.48926</v>
      </c>
      <c r="P289" s="4">
        <f t="shared" si="82"/>
        <v>-913564.84718243987</v>
      </c>
      <c r="Q289" s="4">
        <f t="shared" si="83"/>
        <v>834600730007.47473</v>
      </c>
      <c r="R289" s="43">
        <f t="shared" si="84"/>
        <v>2.9018954053813282E-3</v>
      </c>
      <c r="S289" s="4">
        <f t="shared" si="85"/>
        <v>-0.75186258428746344</v>
      </c>
      <c r="T289" s="30">
        <f t="shared" si="86"/>
        <v>2144292.1407389147</v>
      </c>
      <c r="U289" s="31">
        <f t="shared" si="87"/>
        <v>2401813.1536259651</v>
      </c>
      <c r="V289" s="31">
        <f t="shared" si="88"/>
        <v>4662216.1197801819</v>
      </c>
      <c r="W289" s="42">
        <f t="shared" si="89"/>
        <v>4666759.8400362954</v>
      </c>
    </row>
    <row r="290" spans="2:23" x14ac:dyDescent="0.3">
      <c r="B290" s="2">
        <v>282</v>
      </c>
      <c r="C290" s="2">
        <v>8943</v>
      </c>
      <c r="D290" s="4">
        <v>977291.04</v>
      </c>
      <c r="E290" s="4">
        <f t="shared" si="72"/>
        <v>8739913770.7200012</v>
      </c>
      <c r="F290" s="2">
        <f t="shared" si="73"/>
        <v>79977249</v>
      </c>
      <c r="G290" s="2">
        <f t="shared" si="74"/>
        <v>955097776864.28162</v>
      </c>
      <c r="H290" s="42">
        <f t="shared" si="75"/>
        <v>3918.5190000000002</v>
      </c>
      <c r="I290" s="2">
        <f t="shared" si="76"/>
        <v>15354791.153361002</v>
      </c>
      <c r="J290" s="4">
        <f t="shared" si="77"/>
        <v>-311810.8568099991</v>
      </c>
      <c r="K290" s="2">
        <f t="shared" si="78"/>
        <v>97226010424.585754</v>
      </c>
      <c r="L290" s="2">
        <f t="shared" si="79"/>
        <v>-1221836766.8162608</v>
      </c>
      <c r="N290" s="42">
        <f t="shared" si="80"/>
        <v>2281409.4136175779</v>
      </c>
      <c r="O290" s="42">
        <f t="shared" si="81"/>
        <v>984674207912.82312</v>
      </c>
      <c r="P290" s="4">
        <f t="shared" si="82"/>
        <v>-1304118.3736175778</v>
      </c>
      <c r="Q290" s="4">
        <f t="shared" si="83"/>
        <v>1700724732406.9563</v>
      </c>
      <c r="R290" s="43">
        <f t="shared" si="84"/>
        <v>2.934338469928582E-3</v>
      </c>
      <c r="S290" s="4">
        <f t="shared" si="85"/>
        <v>-1.0733050486892115</v>
      </c>
      <c r="T290" s="30">
        <f t="shared" si="86"/>
        <v>2151931.1393176131</v>
      </c>
      <c r="U290" s="31">
        <f t="shared" si="87"/>
        <v>2410887.6879175426</v>
      </c>
      <c r="V290" s="31">
        <f t="shared" si="88"/>
        <v>4670534.0950227147</v>
      </c>
      <c r="W290" s="42">
        <f t="shared" si="89"/>
        <v>4675155.3234034078</v>
      </c>
    </row>
    <row r="291" spans="2:23" x14ac:dyDescent="0.3">
      <c r="B291" s="2">
        <v>283</v>
      </c>
      <c r="C291" s="2">
        <v>2606</v>
      </c>
      <c r="D291" s="4">
        <v>1697053.26</v>
      </c>
      <c r="E291" s="4">
        <f t="shared" si="72"/>
        <v>4422520795.5600004</v>
      </c>
      <c r="F291" s="2">
        <f t="shared" si="73"/>
        <v>6791236</v>
      </c>
      <c r="G291" s="2">
        <f t="shared" si="74"/>
        <v>2879989767276.6274</v>
      </c>
      <c r="H291" s="42">
        <f t="shared" si="75"/>
        <v>-2418.4809999999998</v>
      </c>
      <c r="I291" s="2">
        <f t="shared" si="76"/>
        <v>5849050.3473609993</v>
      </c>
      <c r="J291" s="4">
        <f t="shared" si="77"/>
        <v>407951.36319000088</v>
      </c>
      <c r="K291" s="2">
        <f t="shared" si="78"/>
        <v>166424314728.58002</v>
      </c>
      <c r="L291" s="2">
        <f t="shared" si="79"/>
        <v>-986622620.79911637</v>
      </c>
      <c r="N291" s="42">
        <f t="shared" si="80"/>
        <v>676657.0227245834</v>
      </c>
      <c r="O291" s="42">
        <f t="shared" si="81"/>
        <v>375088723793.50073</v>
      </c>
      <c r="P291" s="4">
        <f t="shared" si="82"/>
        <v>1020396.2372754166</v>
      </c>
      <c r="Q291" s="4">
        <f t="shared" si="83"/>
        <v>1041208481045.8284</v>
      </c>
      <c r="R291" s="43">
        <f t="shared" si="84"/>
        <v>1.7368412234622279E-3</v>
      </c>
      <c r="S291" s="4">
        <f t="shared" si="85"/>
        <v>0.83929447655274192</v>
      </c>
      <c r="T291" s="30">
        <f t="shared" si="86"/>
        <v>577042.68361640943</v>
      </c>
      <c r="U291" s="31">
        <f t="shared" si="87"/>
        <v>776271.36183275736</v>
      </c>
      <c r="V291" s="31">
        <f t="shared" si="88"/>
        <v>3067213.0982557423</v>
      </c>
      <c r="W291" s="42">
        <f t="shared" si="89"/>
        <v>3068973.4469579356</v>
      </c>
    </row>
    <row r="292" spans="2:23" x14ac:dyDescent="0.3">
      <c r="B292" s="2">
        <v>284</v>
      </c>
      <c r="C292" s="2">
        <v>5370</v>
      </c>
      <c r="D292" s="4">
        <v>819354.60000000009</v>
      </c>
      <c r="E292" s="4">
        <f t="shared" si="72"/>
        <v>4399934202.000001</v>
      </c>
      <c r="F292" s="2">
        <f t="shared" si="73"/>
        <v>28836900</v>
      </c>
      <c r="G292" s="2">
        <f t="shared" si="74"/>
        <v>671341960541.16016</v>
      </c>
      <c r="H292" s="42">
        <f t="shared" si="75"/>
        <v>345.51900000000023</v>
      </c>
      <c r="I292" s="2">
        <f t="shared" si="76"/>
        <v>119383.37936100016</v>
      </c>
      <c r="J292" s="4">
        <f t="shared" si="77"/>
        <v>-469747.29680999904</v>
      </c>
      <c r="K292" s="2">
        <f t="shared" si="78"/>
        <v>220662522860.30133</v>
      </c>
      <c r="L292" s="2">
        <f t="shared" si="79"/>
        <v>-162306616.24649417</v>
      </c>
      <c r="N292" s="42">
        <f t="shared" si="80"/>
        <v>1376599.5205040118</v>
      </c>
      <c r="O292" s="42">
        <f t="shared" si="81"/>
        <v>7655834152.0990419</v>
      </c>
      <c r="P292" s="4">
        <f t="shared" si="82"/>
        <v>-557244.92050401168</v>
      </c>
      <c r="Q292" s="4">
        <f t="shared" si="83"/>
        <v>310521901427.52228</v>
      </c>
      <c r="R292" s="43">
        <f t="shared" si="84"/>
        <v>1.0150394662526889E-3</v>
      </c>
      <c r="S292" s="4">
        <f t="shared" si="85"/>
        <v>-0.45817847429095182</v>
      </c>
      <c r="T292" s="30">
        <f t="shared" si="86"/>
        <v>1300447.1787099666</v>
      </c>
      <c r="U292" s="31">
        <f t="shared" si="87"/>
        <v>1452751.8622980569</v>
      </c>
      <c r="V292" s="31">
        <f t="shared" si="88"/>
        <v>3768017.9672954087</v>
      </c>
      <c r="W292" s="42">
        <f t="shared" si="89"/>
        <v>3768053.8972926238</v>
      </c>
    </row>
    <row r="293" spans="2:23" x14ac:dyDescent="0.3">
      <c r="B293" s="2">
        <v>285</v>
      </c>
      <c r="C293" s="2">
        <v>9742</v>
      </c>
      <c r="D293" s="4">
        <v>2486937.7600000002</v>
      </c>
      <c r="E293" s="4">
        <f t="shared" si="72"/>
        <v>24227747657.920002</v>
      </c>
      <c r="F293" s="2">
        <f t="shared" si="73"/>
        <v>94906564</v>
      </c>
      <c r="G293" s="2">
        <f t="shared" si="74"/>
        <v>6184859422113.8184</v>
      </c>
      <c r="H293" s="42">
        <f t="shared" si="75"/>
        <v>4717.5190000000002</v>
      </c>
      <c r="I293" s="2">
        <f t="shared" si="76"/>
        <v>22254985.515361004</v>
      </c>
      <c r="J293" s="4">
        <f t="shared" si="77"/>
        <v>1197835.8631900011</v>
      </c>
      <c r="K293" s="2">
        <f t="shared" si="78"/>
        <v>1434810755144.135</v>
      </c>
      <c r="L293" s="2">
        <f t="shared" si="79"/>
        <v>5650813443.4802313</v>
      </c>
      <c r="N293" s="42">
        <f t="shared" si="80"/>
        <v>2483744.4554865225</v>
      </c>
      <c r="O293" s="42">
        <f t="shared" si="81"/>
        <v>1427170843001.1907</v>
      </c>
      <c r="P293" s="4">
        <f t="shared" si="82"/>
        <v>3193.3045134777203</v>
      </c>
      <c r="Q293" s="4">
        <f t="shared" si="83"/>
        <v>10197193.71579718</v>
      </c>
      <c r="R293" s="43">
        <f t="shared" si="84"/>
        <v>3.8035988376594267E-3</v>
      </c>
      <c r="S293" s="4">
        <f t="shared" si="85"/>
        <v>2.6292742548252564E-3</v>
      </c>
      <c r="T293" s="30">
        <f t="shared" si="86"/>
        <v>2336330.3125635306</v>
      </c>
      <c r="U293" s="31">
        <f t="shared" si="87"/>
        <v>2631158.5984095144</v>
      </c>
      <c r="V293" s="31">
        <f t="shared" si="88"/>
        <v>4871829.5539034894</v>
      </c>
      <c r="W293" s="42">
        <f t="shared" si="89"/>
        <v>4878527.4908854319</v>
      </c>
    </row>
    <row r="294" spans="2:23" x14ac:dyDescent="0.3">
      <c r="B294" s="2">
        <v>286</v>
      </c>
      <c r="C294" s="2">
        <v>257</v>
      </c>
      <c r="D294" s="4">
        <v>171745.38999999998</v>
      </c>
      <c r="E294" s="4">
        <f t="shared" si="72"/>
        <v>44138565.229999997</v>
      </c>
      <c r="F294" s="2">
        <f t="shared" si="73"/>
        <v>66049</v>
      </c>
      <c r="G294" s="2">
        <f t="shared" si="74"/>
        <v>29496478986.252094</v>
      </c>
      <c r="H294" s="42">
        <f t="shared" si="75"/>
        <v>-4767.4809999999998</v>
      </c>
      <c r="I294" s="2">
        <f t="shared" si="76"/>
        <v>22728875.085360996</v>
      </c>
      <c r="J294" s="4">
        <f t="shared" si="77"/>
        <v>-1117356.5068099992</v>
      </c>
      <c r="K294" s="2">
        <f t="shared" si="78"/>
        <v>1248485563310.6438</v>
      </c>
      <c r="L294" s="2">
        <f t="shared" si="79"/>
        <v>5326975916.4430418</v>
      </c>
      <c r="N294" s="42">
        <f t="shared" si="80"/>
        <v>81807.193750677106</v>
      </c>
      <c r="O294" s="42">
        <f t="shared" si="81"/>
        <v>1457560500035.0964</v>
      </c>
      <c r="P294" s="4">
        <f t="shared" si="82"/>
        <v>89938.196249322878</v>
      </c>
      <c r="Q294" s="4">
        <f t="shared" si="83"/>
        <v>8088879144.5817156</v>
      </c>
      <c r="R294" s="43">
        <f t="shared" si="84"/>
        <v>3.8632976519639281E-3</v>
      </c>
      <c r="S294" s="4">
        <f t="shared" si="85"/>
        <v>7.4054719413406411E-2</v>
      </c>
      <c r="T294" s="30">
        <f t="shared" si="86"/>
        <v>-66759.30339625242</v>
      </c>
      <c r="U294" s="31">
        <f t="shared" si="87"/>
        <v>230373.69089760663</v>
      </c>
      <c r="V294" s="31">
        <f t="shared" si="88"/>
        <v>2469820.8793773707</v>
      </c>
      <c r="W294" s="42">
        <f t="shared" si="89"/>
        <v>2476661.4400828425</v>
      </c>
    </row>
    <row r="295" spans="2:23" x14ac:dyDescent="0.3">
      <c r="B295" s="2">
        <v>287</v>
      </c>
      <c r="C295" s="2">
        <v>8483</v>
      </c>
      <c r="D295" s="4">
        <v>927022.24</v>
      </c>
      <c r="E295" s="4">
        <f t="shared" si="72"/>
        <v>7863929661.9200001</v>
      </c>
      <c r="F295" s="2">
        <f t="shared" si="73"/>
        <v>71961289</v>
      </c>
      <c r="G295" s="2">
        <f t="shared" si="74"/>
        <v>859370233454.61755</v>
      </c>
      <c r="H295" s="42">
        <f t="shared" si="75"/>
        <v>3458.5190000000002</v>
      </c>
      <c r="I295" s="2">
        <f t="shared" si="76"/>
        <v>11961353.673361002</v>
      </c>
      <c r="J295" s="4">
        <f t="shared" si="77"/>
        <v>-362079.65680999914</v>
      </c>
      <c r="K295" s="2">
        <f t="shared" si="78"/>
        <v>131101677875.64676</v>
      </c>
      <c r="L295" s="2">
        <f t="shared" si="79"/>
        <v>-1252259372.5908616</v>
      </c>
      <c r="N295" s="42">
        <f t="shared" si="80"/>
        <v>2164921.1542186863</v>
      </c>
      <c r="O295" s="42">
        <f t="shared" si="81"/>
        <v>767059371647.90417</v>
      </c>
      <c r="P295" s="4">
        <f t="shared" si="82"/>
        <v>-1237898.9142186863</v>
      </c>
      <c r="Q295" s="4">
        <f t="shared" si="83"/>
        <v>1532393721823.8025</v>
      </c>
      <c r="R295" s="43">
        <f t="shared" si="84"/>
        <v>2.5068460607319447E-3</v>
      </c>
      <c r="S295" s="4">
        <f t="shared" si="85"/>
        <v>-1.0185873035869863</v>
      </c>
      <c r="T295" s="30">
        <f t="shared" si="86"/>
        <v>2045245.5492171634</v>
      </c>
      <c r="U295" s="31">
        <f t="shared" si="87"/>
        <v>2284596.759220209</v>
      </c>
      <c r="V295" s="31">
        <f t="shared" si="88"/>
        <v>4554556.9248712799</v>
      </c>
      <c r="W295" s="42">
        <f t="shared" si="89"/>
        <v>4558156.8525010711</v>
      </c>
    </row>
    <row r="296" spans="2:23" x14ac:dyDescent="0.3">
      <c r="B296" s="2">
        <v>288</v>
      </c>
      <c r="C296" s="2">
        <v>8018</v>
      </c>
      <c r="D296" s="4">
        <v>380454.10000000003</v>
      </c>
      <c r="E296" s="4">
        <f t="shared" si="72"/>
        <v>3050480973.8000002</v>
      </c>
      <c r="F296" s="2">
        <f t="shared" si="73"/>
        <v>64288324</v>
      </c>
      <c r="G296" s="2">
        <f t="shared" si="74"/>
        <v>144745322206.81003</v>
      </c>
      <c r="H296" s="42">
        <f t="shared" si="75"/>
        <v>2993.5190000000002</v>
      </c>
      <c r="I296" s="2">
        <f t="shared" si="76"/>
        <v>8961156.0033610016</v>
      </c>
      <c r="J296" s="4">
        <f t="shared" si="77"/>
        <v>-908647.79680999904</v>
      </c>
      <c r="K296" s="2">
        <f t="shared" si="78"/>
        <v>825640818647.66528</v>
      </c>
      <c r="L296" s="2">
        <f t="shared" si="79"/>
        <v>-2720054444.0588717</v>
      </c>
      <c r="N296" s="42">
        <f t="shared" si="80"/>
        <v>2047166.7180871977</v>
      </c>
      <c r="O296" s="42">
        <f t="shared" si="81"/>
        <v>574662273258.03113</v>
      </c>
      <c r="P296" s="4">
        <f t="shared" si="82"/>
        <v>-1666712.6180871977</v>
      </c>
      <c r="Q296" s="4">
        <f t="shared" si="83"/>
        <v>2777930951291.0806</v>
      </c>
      <c r="R296" s="43">
        <f t="shared" si="84"/>
        <v>2.1288925143432141E-3</v>
      </c>
      <c r="S296" s="4">
        <f t="shared" si="85"/>
        <v>-1.3711707415633272</v>
      </c>
      <c r="T296" s="30">
        <f t="shared" si="86"/>
        <v>1936881.1546719589</v>
      </c>
      <c r="U296" s="31">
        <f t="shared" si="87"/>
        <v>2157452.2815024368</v>
      </c>
      <c r="V296" s="31">
        <f t="shared" si="88"/>
        <v>4437254.2606925052</v>
      </c>
      <c r="W296" s="42">
        <f t="shared" si="89"/>
        <v>4439951.2388074631</v>
      </c>
    </row>
    <row r="297" spans="2:23" x14ac:dyDescent="0.3">
      <c r="B297" s="2">
        <v>289</v>
      </c>
      <c r="C297" s="2">
        <v>9493</v>
      </c>
      <c r="D297" s="4">
        <v>450442.85000000003</v>
      </c>
      <c r="E297" s="4">
        <f t="shared" si="72"/>
        <v>4276053975.0500002</v>
      </c>
      <c r="F297" s="2">
        <f t="shared" si="73"/>
        <v>90117049</v>
      </c>
      <c r="G297" s="2">
        <f t="shared" si="74"/>
        <v>202898761116.12253</v>
      </c>
      <c r="H297" s="42">
        <f t="shared" si="75"/>
        <v>4468.5190000000002</v>
      </c>
      <c r="I297" s="2">
        <f t="shared" si="76"/>
        <v>19967662.053361002</v>
      </c>
      <c r="J297" s="4">
        <f t="shared" si="77"/>
        <v>-838659.04680999904</v>
      </c>
      <c r="K297" s="2">
        <f t="shared" si="78"/>
        <v>703348996796.2561</v>
      </c>
      <c r="L297" s="2">
        <f t="shared" si="79"/>
        <v>-3747563885.1923704</v>
      </c>
      <c r="N297" s="42">
        <f t="shared" si="80"/>
        <v>2420688.8542032093</v>
      </c>
      <c r="O297" s="42">
        <f t="shared" si="81"/>
        <v>1280489042142.4229</v>
      </c>
      <c r="P297" s="4">
        <f t="shared" si="82"/>
        <v>-1970246.0042032092</v>
      </c>
      <c r="Q297" s="4">
        <f t="shared" si="83"/>
        <v>3881869317078.7124</v>
      </c>
      <c r="R297" s="43">
        <f t="shared" si="84"/>
        <v>3.5154504856873218E-3</v>
      </c>
      <c r="S297" s="4">
        <f t="shared" si="85"/>
        <v>-1.6220088111174449</v>
      </c>
      <c r="T297" s="30">
        <f t="shared" si="86"/>
        <v>2278968.4796544164</v>
      </c>
      <c r="U297" s="31">
        <f t="shared" si="87"/>
        <v>2562409.2287520021</v>
      </c>
      <c r="V297" s="31">
        <f t="shared" si="88"/>
        <v>4809118.610811647</v>
      </c>
      <c r="W297" s="42">
        <f t="shared" si="89"/>
        <v>4815128.1459086686</v>
      </c>
    </row>
    <row r="298" spans="2:23" x14ac:dyDescent="0.3">
      <c r="B298" s="2">
        <v>290</v>
      </c>
      <c r="C298" s="2">
        <v>5567</v>
      </c>
      <c r="D298" s="4">
        <v>1145131.8999999999</v>
      </c>
      <c r="E298" s="4">
        <f t="shared" si="72"/>
        <v>6374949287.2999992</v>
      </c>
      <c r="F298" s="2">
        <f t="shared" si="73"/>
        <v>30991489</v>
      </c>
      <c r="G298" s="2">
        <f t="shared" si="74"/>
        <v>1311327068397.6099</v>
      </c>
      <c r="H298" s="42">
        <f t="shared" si="75"/>
        <v>542.51900000000023</v>
      </c>
      <c r="I298" s="2">
        <f t="shared" si="76"/>
        <v>294326.86536100024</v>
      </c>
      <c r="J298" s="4">
        <f t="shared" si="77"/>
        <v>-143969.99680999923</v>
      </c>
      <c r="K298" s="2">
        <f t="shared" si="78"/>
        <v>20727359981.471188</v>
      </c>
      <c r="L298" s="2">
        <f t="shared" si="79"/>
        <v>-78106458.699364007</v>
      </c>
      <c r="N298" s="42">
        <f t="shared" si="80"/>
        <v>1426486.8837683196</v>
      </c>
      <c r="O298" s="42">
        <f t="shared" si="81"/>
        <v>18874634641.537891</v>
      </c>
      <c r="P298" s="4">
        <f t="shared" si="82"/>
        <v>-281354.98376831971</v>
      </c>
      <c r="Q298" s="4">
        <f t="shared" si="83"/>
        <v>79160626891.271454</v>
      </c>
      <c r="R298" s="43">
        <f t="shared" si="84"/>
        <v>1.0370781844386502E-3</v>
      </c>
      <c r="S298" s="4">
        <f t="shared" si="85"/>
        <v>-0.23133852716281972</v>
      </c>
      <c r="T298" s="30">
        <f t="shared" si="86"/>
        <v>1349512.2647407642</v>
      </c>
      <c r="U298" s="31">
        <f t="shared" si="87"/>
        <v>1503461.5027958751</v>
      </c>
      <c r="V298" s="31">
        <f t="shared" si="88"/>
        <v>3817879.0044462434</v>
      </c>
      <c r="W298" s="42">
        <f t="shared" si="89"/>
        <v>3817967.585985072</v>
      </c>
    </row>
    <row r="299" spans="2:23" x14ac:dyDescent="0.3">
      <c r="B299" s="2">
        <v>291</v>
      </c>
      <c r="C299" s="2">
        <v>5935</v>
      </c>
      <c r="D299" s="4">
        <v>1220829.5</v>
      </c>
      <c r="E299" s="4">
        <f t="shared" si="72"/>
        <v>7245623082.5</v>
      </c>
      <c r="F299" s="2">
        <f t="shared" si="73"/>
        <v>35224225</v>
      </c>
      <c r="G299" s="2">
        <f t="shared" si="74"/>
        <v>1490424668070.25</v>
      </c>
      <c r="H299" s="42">
        <f t="shared" si="75"/>
        <v>910.51900000000023</v>
      </c>
      <c r="I299" s="2">
        <f t="shared" si="76"/>
        <v>829044.84936100047</v>
      </c>
      <c r="J299" s="4">
        <f t="shared" si="77"/>
        <v>-68272.396809999133</v>
      </c>
      <c r="K299" s="2">
        <f t="shared" si="78"/>
        <v>4661120166.1819801</v>
      </c>
      <c r="L299" s="2">
        <f t="shared" si="79"/>
        <v>-62163314.471043617</v>
      </c>
      <c r="N299" s="42">
        <f t="shared" si="80"/>
        <v>1519677.4912874331</v>
      </c>
      <c r="O299" s="42">
        <f t="shared" si="81"/>
        <v>53165104768.62207</v>
      </c>
      <c r="P299" s="4">
        <f t="shared" si="82"/>
        <v>-298847.99128743308</v>
      </c>
      <c r="Q299" s="4">
        <f t="shared" si="83"/>
        <v>89310121896.533676</v>
      </c>
      <c r="R299" s="43">
        <f t="shared" si="84"/>
        <v>1.1044399320966412E-3</v>
      </c>
      <c r="S299" s="4">
        <f t="shared" si="85"/>
        <v>-0.24573008904378876</v>
      </c>
      <c r="T299" s="30">
        <f t="shared" si="86"/>
        <v>1440242.3176775826</v>
      </c>
      <c r="U299" s="31">
        <f t="shared" si="87"/>
        <v>1599112.6648972835</v>
      </c>
      <c r="V299" s="31">
        <f t="shared" si="88"/>
        <v>3910989.1439183629</v>
      </c>
      <c r="W299" s="42">
        <f t="shared" si="89"/>
        <v>3911238.6558632255</v>
      </c>
    </row>
    <row r="300" spans="2:23" x14ac:dyDescent="0.3">
      <c r="B300" s="2">
        <v>292</v>
      </c>
      <c r="C300" s="2">
        <v>2319</v>
      </c>
      <c r="D300" s="4">
        <v>1013866.7999999999</v>
      </c>
      <c r="E300" s="4">
        <f t="shared" si="72"/>
        <v>2351157109.1999998</v>
      </c>
      <c r="F300" s="2">
        <f t="shared" si="73"/>
        <v>5377761</v>
      </c>
      <c r="G300" s="2">
        <f t="shared" si="74"/>
        <v>1027925888142.2399</v>
      </c>
      <c r="H300" s="42">
        <f t="shared" si="75"/>
        <v>-2705.4809999999998</v>
      </c>
      <c r="I300" s="2">
        <f t="shared" si="76"/>
        <v>7319627.4413609989</v>
      </c>
      <c r="J300" s="4">
        <f t="shared" si="77"/>
        <v>-275235.0968099992</v>
      </c>
      <c r="K300" s="2">
        <f t="shared" si="78"/>
        <v>75754358516.009628</v>
      </c>
      <c r="L300" s="2">
        <f t="shared" si="79"/>
        <v>744643324.95261335</v>
      </c>
      <c r="N300" s="42">
        <f t="shared" si="80"/>
        <v>603978.47827353561</v>
      </c>
      <c r="O300" s="42">
        <f t="shared" si="81"/>
        <v>469394098627.09015</v>
      </c>
      <c r="P300" s="4">
        <f t="shared" si="82"/>
        <v>409888.32172646432</v>
      </c>
      <c r="Q300" s="4">
        <f t="shared" si="83"/>
        <v>168008436287.73752</v>
      </c>
      <c r="R300" s="43">
        <f t="shared" si="84"/>
        <v>1.9220989594684471E-3</v>
      </c>
      <c r="S300" s="4">
        <f t="shared" si="85"/>
        <v>0.33717189230216715</v>
      </c>
      <c r="T300" s="30">
        <f t="shared" si="86"/>
        <v>499186.10633735271</v>
      </c>
      <c r="U300" s="31">
        <f t="shared" si="87"/>
        <v>708770.85020971857</v>
      </c>
      <c r="V300" s="31">
        <f t="shared" si="88"/>
        <v>2994313.1673074546</v>
      </c>
      <c r="W300" s="42">
        <f t="shared" si="89"/>
        <v>2996516.105630043</v>
      </c>
    </row>
    <row r="301" spans="2:23" x14ac:dyDescent="0.3">
      <c r="B301" s="2">
        <v>293</v>
      </c>
      <c r="C301" s="2">
        <v>3474</v>
      </c>
      <c r="D301" s="4">
        <v>530062.92000000004</v>
      </c>
      <c r="E301" s="4">
        <f t="shared" si="72"/>
        <v>1841438584.0800002</v>
      </c>
      <c r="F301" s="2">
        <f t="shared" si="73"/>
        <v>12068676</v>
      </c>
      <c r="G301" s="2">
        <f t="shared" si="74"/>
        <v>280966699158.92645</v>
      </c>
      <c r="H301" s="42">
        <f t="shared" si="75"/>
        <v>-1550.4809999999998</v>
      </c>
      <c r="I301" s="2">
        <f t="shared" si="76"/>
        <v>2403991.3313609995</v>
      </c>
      <c r="J301" s="4">
        <f t="shared" si="77"/>
        <v>-759038.97680999909</v>
      </c>
      <c r="K301" s="2">
        <f t="shared" si="78"/>
        <v>576140168316.77039</v>
      </c>
      <c r="L301" s="2">
        <f t="shared" si="79"/>
        <v>1176875511.803344</v>
      </c>
      <c r="N301" s="42">
        <f t="shared" si="80"/>
        <v>896465.30350336188</v>
      </c>
      <c r="O301" s="42">
        <f t="shared" si="81"/>
        <v>154163494403.44165</v>
      </c>
      <c r="P301" s="4">
        <f t="shared" si="82"/>
        <v>-366402.38350336184</v>
      </c>
      <c r="Q301" s="4">
        <f t="shared" si="83"/>
        <v>134250706636.94464</v>
      </c>
      <c r="R301" s="43">
        <f t="shared" si="84"/>
        <v>1.3028457285534974E-3</v>
      </c>
      <c r="S301" s="4">
        <f t="shared" si="85"/>
        <v>-0.30130713940949394</v>
      </c>
      <c r="T301" s="30">
        <f t="shared" si="86"/>
        <v>810189.64247018774</v>
      </c>
      <c r="U301" s="31">
        <f t="shared" si="87"/>
        <v>982740.96453653602</v>
      </c>
      <c r="V301" s="31">
        <f t="shared" si="88"/>
        <v>3287539.9316001479</v>
      </c>
      <c r="W301" s="42">
        <f t="shared" si="89"/>
        <v>3288263.4443980744</v>
      </c>
    </row>
    <row r="302" spans="2:23" x14ac:dyDescent="0.3">
      <c r="B302" s="2">
        <v>294</v>
      </c>
      <c r="C302" s="2">
        <v>187</v>
      </c>
      <c r="D302" s="4">
        <v>81756.399999999994</v>
      </c>
      <c r="E302" s="4">
        <f t="shared" si="72"/>
        <v>15288446.799999999</v>
      </c>
      <c r="F302" s="2">
        <f t="shared" si="73"/>
        <v>34969</v>
      </c>
      <c r="G302" s="2">
        <f t="shared" si="74"/>
        <v>6684108940.9599991</v>
      </c>
      <c r="H302" s="42">
        <f t="shared" si="75"/>
        <v>-4837.4809999999998</v>
      </c>
      <c r="I302" s="2">
        <f t="shared" si="76"/>
        <v>23401222.425360996</v>
      </c>
      <c r="J302" s="4">
        <f t="shared" si="77"/>
        <v>-1207345.4968099992</v>
      </c>
      <c r="K302" s="2">
        <f t="shared" si="78"/>
        <v>1457683148667.3838</v>
      </c>
      <c r="L302" s="2">
        <f t="shared" si="79"/>
        <v>5840510901.253932</v>
      </c>
      <c r="N302" s="42">
        <f t="shared" si="80"/>
        <v>64080.719494324003</v>
      </c>
      <c r="O302" s="42">
        <f t="shared" si="81"/>
        <v>1500676884871.8828</v>
      </c>
      <c r="P302" s="4">
        <f t="shared" si="82"/>
        <v>17675.680505675991</v>
      </c>
      <c r="Q302" s="4">
        <f t="shared" si="83"/>
        <v>312429681.33873427</v>
      </c>
      <c r="R302" s="43">
        <f t="shared" si="84"/>
        <v>3.9479974249485624E-3</v>
      </c>
      <c r="S302" s="4">
        <f t="shared" si="85"/>
        <v>1.4554697203708306E-2</v>
      </c>
      <c r="T302" s="30">
        <f t="shared" si="86"/>
        <v>-86105.549731289328</v>
      </c>
      <c r="U302" s="31">
        <f t="shared" si="87"/>
        <v>214266.98871993733</v>
      </c>
      <c r="V302" s="31">
        <f t="shared" si="88"/>
        <v>2451993.0820719348</v>
      </c>
      <c r="W302" s="42">
        <f t="shared" si="89"/>
        <v>2459035.995186253</v>
      </c>
    </row>
    <row r="303" spans="2:23" x14ac:dyDescent="0.3">
      <c r="B303" s="2">
        <v>295</v>
      </c>
      <c r="C303" s="2">
        <v>274</v>
      </c>
      <c r="D303" s="4">
        <v>178431.54</v>
      </c>
      <c r="E303" s="4">
        <f t="shared" si="72"/>
        <v>48890241.960000001</v>
      </c>
      <c r="F303" s="2">
        <f t="shared" si="73"/>
        <v>75076</v>
      </c>
      <c r="G303" s="2">
        <f t="shared" si="74"/>
        <v>31837814466.771603</v>
      </c>
      <c r="H303" s="42">
        <f t="shared" si="75"/>
        <v>-4750.4809999999998</v>
      </c>
      <c r="I303" s="2">
        <f t="shared" si="76"/>
        <v>22567069.731360998</v>
      </c>
      <c r="J303" s="4">
        <f t="shared" si="77"/>
        <v>-1110670.3568099991</v>
      </c>
      <c r="K303" s="2">
        <f t="shared" si="78"/>
        <v>1233588641496.4507</v>
      </c>
      <c r="L303" s="2">
        <f t="shared" si="79"/>
        <v>5276218427.2891207</v>
      </c>
      <c r="N303" s="42">
        <f t="shared" si="80"/>
        <v>86112.194641505717</v>
      </c>
      <c r="O303" s="42">
        <f t="shared" si="81"/>
        <v>1447184223523.4407</v>
      </c>
      <c r="P303" s="4">
        <f t="shared" si="82"/>
        <v>92319.345358494291</v>
      </c>
      <c r="Q303" s="4">
        <f t="shared" si="83"/>
        <v>8522861527.4209414</v>
      </c>
      <c r="R303" s="43">
        <f t="shared" si="84"/>
        <v>3.842914025918054E-3</v>
      </c>
      <c r="S303" s="4">
        <f t="shared" si="85"/>
        <v>7.6014569501097431E-2</v>
      </c>
      <c r="T303" s="30">
        <f t="shared" si="86"/>
        <v>-62061.849050352466</v>
      </c>
      <c r="U303" s="31">
        <f t="shared" si="87"/>
        <v>234286.2383333639</v>
      </c>
      <c r="V303" s="31">
        <f t="shared" si="88"/>
        <v>2474150.2637666394</v>
      </c>
      <c r="W303" s="42">
        <f t="shared" si="89"/>
        <v>2480942.1268756702</v>
      </c>
    </row>
    <row r="304" spans="2:23" x14ac:dyDescent="0.3">
      <c r="B304" s="2">
        <v>296</v>
      </c>
      <c r="C304" s="2">
        <v>3585</v>
      </c>
      <c r="D304" s="4">
        <v>2395747.9499999997</v>
      </c>
      <c r="E304" s="4">
        <f t="shared" si="72"/>
        <v>8588756400.749999</v>
      </c>
      <c r="F304" s="2">
        <f t="shared" si="73"/>
        <v>12852225</v>
      </c>
      <c r="G304" s="2">
        <f t="shared" si="74"/>
        <v>5739608239929.2012</v>
      </c>
      <c r="H304" s="42">
        <f t="shared" si="75"/>
        <v>-1439.4809999999998</v>
      </c>
      <c r="I304" s="2">
        <f t="shared" si="76"/>
        <v>2072105.5493609994</v>
      </c>
      <c r="J304" s="4">
        <f t="shared" si="77"/>
        <v>1106646.0531900006</v>
      </c>
      <c r="K304" s="2">
        <f t="shared" si="78"/>
        <v>1224665487041.0056</v>
      </c>
      <c r="L304" s="2">
        <f t="shared" si="79"/>
        <v>-1592995967.291995</v>
      </c>
      <c r="N304" s="42">
        <f t="shared" si="80"/>
        <v>924574.42696700757</v>
      </c>
      <c r="O304" s="42">
        <f t="shared" si="81"/>
        <v>132880276270.13312</v>
      </c>
      <c r="P304" s="4">
        <f t="shared" si="82"/>
        <v>1471173.5230329921</v>
      </c>
      <c r="Q304" s="4">
        <f t="shared" si="83"/>
        <v>2164351534873.3059</v>
      </c>
      <c r="R304" s="43">
        <f t="shared" si="84"/>
        <v>1.2610360139612929E-3</v>
      </c>
      <c r="S304" s="4">
        <f t="shared" si="85"/>
        <v>1.2097787224034267</v>
      </c>
      <c r="T304" s="30">
        <f t="shared" si="86"/>
        <v>839694.3932032109</v>
      </c>
      <c r="U304" s="31">
        <f t="shared" si="87"/>
        <v>1009454.4607308042</v>
      </c>
      <c r="V304" s="31">
        <f t="shared" si="88"/>
        <v>3315699.0047929212</v>
      </c>
      <c r="W304" s="42">
        <f t="shared" si="89"/>
        <v>3316322.6321994136</v>
      </c>
    </row>
    <row r="305" spans="2:23" x14ac:dyDescent="0.3">
      <c r="B305" s="2">
        <v>297</v>
      </c>
      <c r="C305" s="2">
        <v>6999</v>
      </c>
      <c r="D305" s="4">
        <v>1786704.72</v>
      </c>
      <c r="E305" s="4">
        <f t="shared" si="72"/>
        <v>12505146335.280001</v>
      </c>
      <c r="F305" s="2">
        <f t="shared" si="73"/>
        <v>48986001</v>
      </c>
      <c r="G305" s="2">
        <f t="shared" si="74"/>
        <v>3192313756470.2783</v>
      </c>
      <c r="H305" s="42">
        <f t="shared" si="75"/>
        <v>1974.5190000000002</v>
      </c>
      <c r="I305" s="2">
        <f t="shared" si="76"/>
        <v>3898725.2813610011</v>
      </c>
      <c r="J305" s="4">
        <f t="shared" si="77"/>
        <v>497602.82319000084</v>
      </c>
      <c r="K305" s="2">
        <f t="shared" si="78"/>
        <v>247608569646.65924</v>
      </c>
      <c r="L305" s="2">
        <f t="shared" si="79"/>
        <v>982526228.84229743</v>
      </c>
      <c r="N305" s="42">
        <f t="shared" si="80"/>
        <v>1789119.8999840003</v>
      </c>
      <c r="O305" s="42">
        <f t="shared" si="81"/>
        <v>250018003498.11539</v>
      </c>
      <c r="P305" s="4">
        <f t="shared" si="82"/>
        <v>-2415.1799840002786</v>
      </c>
      <c r="Q305" s="4">
        <f t="shared" si="83"/>
        <v>5833094.355115586</v>
      </c>
      <c r="R305" s="43">
        <f t="shared" si="84"/>
        <v>1.4911466538422421E-3</v>
      </c>
      <c r="S305" s="4">
        <f t="shared" si="85"/>
        <v>-1.9862850743137296E-3</v>
      </c>
      <c r="T305" s="30">
        <f t="shared" si="86"/>
        <v>1696819.8411394164</v>
      </c>
      <c r="U305" s="31">
        <f t="shared" si="87"/>
        <v>1881419.9588285841</v>
      </c>
      <c r="V305" s="31">
        <f t="shared" si="88"/>
        <v>4179969.5535490629</v>
      </c>
      <c r="W305" s="42">
        <f t="shared" si="89"/>
        <v>4181142.9262033147</v>
      </c>
    </row>
    <row r="306" spans="2:23" x14ac:dyDescent="0.3">
      <c r="B306" s="2">
        <v>298</v>
      </c>
      <c r="C306" s="2">
        <v>9428</v>
      </c>
      <c r="D306" s="4">
        <v>4121921.6</v>
      </c>
      <c r="E306" s="4">
        <f t="shared" si="72"/>
        <v>38861476844.800003</v>
      </c>
      <c r="F306" s="2">
        <f t="shared" si="73"/>
        <v>88887184</v>
      </c>
      <c r="G306" s="2">
        <f t="shared" si="74"/>
        <v>16990237676546.561</v>
      </c>
      <c r="H306" s="42">
        <f t="shared" si="75"/>
        <v>4403.5190000000002</v>
      </c>
      <c r="I306" s="2">
        <f t="shared" si="76"/>
        <v>19390979.583361004</v>
      </c>
      <c r="J306" s="4">
        <f t="shared" si="77"/>
        <v>2832819.7031900007</v>
      </c>
      <c r="K306" s="2">
        <f t="shared" si="78"/>
        <v>8024867470781.4834</v>
      </c>
      <c r="L306" s="2">
        <f t="shared" si="79"/>
        <v>12474375386.571529</v>
      </c>
      <c r="N306" s="42">
        <f t="shared" si="80"/>
        <v>2404228.5566794532</v>
      </c>
      <c r="O306" s="42">
        <f t="shared" si="81"/>
        <v>1243507467551.6052</v>
      </c>
      <c r="P306" s="4">
        <f t="shared" si="82"/>
        <v>1717693.0433205469</v>
      </c>
      <c r="Q306" s="4">
        <f t="shared" si="83"/>
        <v>2950469391071.8022</v>
      </c>
      <c r="R306" s="43">
        <f t="shared" si="84"/>
        <v>3.442802210923242E-3</v>
      </c>
      <c r="S306" s="4">
        <f t="shared" si="85"/>
        <v>1.4140425563508561</v>
      </c>
      <c r="T306" s="30">
        <f t="shared" si="86"/>
        <v>2263980.1825227658</v>
      </c>
      <c r="U306" s="31">
        <f t="shared" si="87"/>
        <v>2544476.9308361406</v>
      </c>
      <c r="V306" s="31">
        <f t="shared" si="88"/>
        <v>4792745.201034544</v>
      </c>
      <c r="W306" s="42">
        <f t="shared" si="89"/>
        <v>4798581.1755629554</v>
      </c>
    </row>
    <row r="307" spans="2:23" x14ac:dyDescent="0.3">
      <c r="B307" s="2">
        <v>299</v>
      </c>
      <c r="C307" s="2">
        <v>6813</v>
      </c>
      <c r="D307" s="4">
        <v>2978643.6</v>
      </c>
      <c r="E307" s="4">
        <f t="shared" si="72"/>
        <v>20293498846.799999</v>
      </c>
      <c r="F307" s="2">
        <f t="shared" si="73"/>
        <v>46416969</v>
      </c>
      <c r="G307" s="2">
        <f t="shared" si="74"/>
        <v>8872317695820.9609</v>
      </c>
      <c r="H307" s="42">
        <f t="shared" si="75"/>
        <v>1788.5190000000002</v>
      </c>
      <c r="I307" s="2">
        <f t="shared" si="76"/>
        <v>3198800.2133610006</v>
      </c>
      <c r="J307" s="4">
        <f t="shared" si="77"/>
        <v>1689541.703190001</v>
      </c>
      <c r="K307" s="2">
        <f t="shared" si="78"/>
        <v>2854551166818.1694</v>
      </c>
      <c r="L307" s="2">
        <f t="shared" si="79"/>
        <v>3021777437.4476776</v>
      </c>
      <c r="N307" s="42">
        <f t="shared" si="80"/>
        <v>1742018.125531405</v>
      </c>
      <c r="O307" s="42">
        <f t="shared" si="81"/>
        <v>205133110239.22083</v>
      </c>
      <c r="P307" s="4">
        <f t="shared" si="82"/>
        <v>1236625.4744685951</v>
      </c>
      <c r="Q307" s="4">
        <f t="shared" si="83"/>
        <v>1529242564104.678</v>
      </c>
      <c r="R307" s="43">
        <f t="shared" si="84"/>
        <v>1.4029727430688985E-3</v>
      </c>
      <c r="S307" s="4">
        <f t="shared" si="85"/>
        <v>1.0169769101305652</v>
      </c>
      <c r="T307" s="30">
        <f t="shared" si="86"/>
        <v>1652488.5726523793</v>
      </c>
      <c r="U307" s="31">
        <f t="shared" si="87"/>
        <v>1831547.6784104307</v>
      </c>
      <c r="V307" s="31">
        <f t="shared" si="88"/>
        <v>4132973.1284488952</v>
      </c>
      <c r="W307" s="42">
        <f t="shared" si="89"/>
        <v>4133935.8494381895</v>
      </c>
    </row>
    <row r="308" spans="2:23" x14ac:dyDescent="0.3">
      <c r="B308" s="2">
        <v>300</v>
      </c>
      <c r="C308" s="2">
        <v>7129</v>
      </c>
      <c r="D308" s="4">
        <v>4764096.83</v>
      </c>
      <c r="E308" s="4">
        <f t="shared" si="72"/>
        <v>33963246301.07</v>
      </c>
      <c r="F308" s="2">
        <f t="shared" si="73"/>
        <v>50822641</v>
      </c>
      <c r="G308" s="2">
        <f t="shared" si="74"/>
        <v>22696618605616.051</v>
      </c>
      <c r="H308" s="42">
        <f t="shared" si="75"/>
        <v>2104.5190000000002</v>
      </c>
      <c r="I308" s="2">
        <f t="shared" si="76"/>
        <v>4429000.221361001</v>
      </c>
      <c r="J308" s="4">
        <f t="shared" si="77"/>
        <v>3474994.9331900012</v>
      </c>
      <c r="K308" s="2">
        <f t="shared" si="78"/>
        <v>12075589785696.182</v>
      </c>
      <c r="L308" s="2">
        <f t="shared" si="79"/>
        <v>7313192861.8020887</v>
      </c>
      <c r="N308" s="42">
        <f t="shared" si="80"/>
        <v>1822040.4950315133</v>
      </c>
      <c r="O308" s="42">
        <f t="shared" si="81"/>
        <v>284023549474.3125</v>
      </c>
      <c r="P308" s="4">
        <f t="shared" si="82"/>
        <v>2942056.3349684868</v>
      </c>
      <c r="Q308" s="4">
        <f t="shared" si="83"/>
        <v>8655695478128.2051</v>
      </c>
      <c r="R308" s="43">
        <f t="shared" si="84"/>
        <v>1.5579486836345229E-3</v>
      </c>
      <c r="S308" s="4">
        <f t="shared" si="85"/>
        <v>2.4196780834349325</v>
      </c>
      <c r="T308" s="30">
        <f t="shared" si="86"/>
        <v>1727695.607073084</v>
      </c>
      <c r="U308" s="31">
        <f t="shared" si="87"/>
        <v>1916385.3829899426</v>
      </c>
      <c r="V308" s="31">
        <f t="shared" si="88"/>
        <v>4212810.3310740814</v>
      </c>
      <c r="W308" s="42">
        <f t="shared" si="89"/>
        <v>4214143.2969580069</v>
      </c>
    </row>
    <row r="309" spans="2:23" x14ac:dyDescent="0.3">
      <c r="B309" s="2">
        <v>301</v>
      </c>
      <c r="C309" s="2">
        <v>5380</v>
      </c>
      <c r="D309" s="4">
        <v>439707.4</v>
      </c>
      <c r="E309" s="4">
        <f t="shared" si="72"/>
        <v>2365625812</v>
      </c>
      <c r="F309" s="2">
        <f t="shared" si="73"/>
        <v>28944400</v>
      </c>
      <c r="G309" s="2">
        <f t="shared" si="74"/>
        <v>193342597614.76001</v>
      </c>
      <c r="H309" s="42">
        <f t="shared" si="75"/>
        <v>355.51900000000023</v>
      </c>
      <c r="I309" s="2">
        <f t="shared" si="76"/>
        <v>126393.75936100016</v>
      </c>
      <c r="J309" s="4">
        <f t="shared" si="77"/>
        <v>-849394.49680999911</v>
      </c>
      <c r="K309" s="2">
        <f t="shared" si="78"/>
        <v>721471011211.11157</v>
      </c>
      <c r="L309" s="2">
        <f t="shared" si="79"/>
        <v>-301975882.11139429</v>
      </c>
      <c r="N309" s="42">
        <f t="shared" si="80"/>
        <v>1379131.873969205</v>
      </c>
      <c r="O309" s="42">
        <f t="shared" si="81"/>
        <v>8105396787.2871227</v>
      </c>
      <c r="P309" s="4">
        <f t="shared" si="82"/>
        <v>-939424.47396920493</v>
      </c>
      <c r="Q309" s="4">
        <f t="shared" si="83"/>
        <v>882518342292.31738</v>
      </c>
      <c r="R309" s="43">
        <f t="shared" si="84"/>
        <v>1.0159226073900305E-3</v>
      </c>
      <c r="S309" s="4">
        <f t="shared" si="85"/>
        <v>-0.77241486932053083</v>
      </c>
      <c r="T309" s="30">
        <f t="shared" si="86"/>
        <v>1302946.4109784907</v>
      </c>
      <c r="U309" s="31">
        <f t="shared" si="87"/>
        <v>1455317.3369599192</v>
      </c>
      <c r="V309" s="31">
        <f t="shared" si="88"/>
        <v>3770549.2658194406</v>
      </c>
      <c r="W309" s="42">
        <f t="shared" si="89"/>
        <v>3770587.3056826629</v>
      </c>
    </row>
    <row r="310" spans="2:23" x14ac:dyDescent="0.3">
      <c r="B310" s="2">
        <v>302</v>
      </c>
      <c r="C310" s="2">
        <v>8602</v>
      </c>
      <c r="D310" s="4">
        <v>80256.66</v>
      </c>
      <c r="E310" s="4">
        <f t="shared" si="72"/>
        <v>690367789.32000005</v>
      </c>
      <c r="F310" s="2">
        <f t="shared" si="73"/>
        <v>73994404</v>
      </c>
      <c r="G310" s="2">
        <f t="shared" si="74"/>
        <v>6441131474.3556004</v>
      </c>
      <c r="H310" s="42">
        <f t="shared" si="75"/>
        <v>3577.5190000000002</v>
      </c>
      <c r="I310" s="2">
        <f t="shared" si="76"/>
        <v>12798642.195361001</v>
      </c>
      <c r="J310" s="4">
        <f t="shared" si="77"/>
        <v>-1208845.2368099992</v>
      </c>
      <c r="K310" s="2">
        <f t="shared" si="78"/>
        <v>1461306806558.2231</v>
      </c>
      <c r="L310" s="2">
        <f t="shared" si="79"/>
        <v>-4324666802.7472715</v>
      </c>
      <c r="N310" s="42">
        <f t="shared" si="80"/>
        <v>2195056.1604544865</v>
      </c>
      <c r="O310" s="42">
        <f t="shared" si="81"/>
        <v>820753127815.62537</v>
      </c>
      <c r="P310" s="4">
        <f t="shared" si="82"/>
        <v>-2114799.5004544863</v>
      </c>
      <c r="Q310" s="4">
        <f t="shared" si="83"/>
        <v>4472376927122.5449</v>
      </c>
      <c r="R310" s="43">
        <f t="shared" si="84"/>
        <v>2.6123244995044405E-3</v>
      </c>
      <c r="S310" s="4">
        <f t="shared" si="85"/>
        <v>-1.7402243402617279</v>
      </c>
      <c r="T310" s="30">
        <f t="shared" si="86"/>
        <v>2072888.7522184234</v>
      </c>
      <c r="U310" s="31">
        <f t="shared" si="87"/>
        <v>2317223.5686905496</v>
      </c>
      <c r="V310" s="31">
        <f t="shared" si="88"/>
        <v>4584565.836346128</v>
      </c>
      <c r="W310" s="42">
        <f t="shared" si="89"/>
        <v>4588417.7571915546</v>
      </c>
    </row>
    <row r="311" spans="2:23" x14ac:dyDescent="0.3">
      <c r="B311" s="2">
        <v>303</v>
      </c>
      <c r="C311" s="2">
        <v>864</v>
      </c>
      <c r="D311" s="4">
        <v>562645.44000000006</v>
      </c>
      <c r="E311" s="4">
        <f t="shared" si="72"/>
        <v>486125660.16000003</v>
      </c>
      <c r="F311" s="2">
        <f t="shared" si="73"/>
        <v>746496</v>
      </c>
      <c r="G311" s="2">
        <f t="shared" si="74"/>
        <v>316569891152.79364</v>
      </c>
      <c r="H311" s="42">
        <f t="shared" si="75"/>
        <v>-4160.4809999999998</v>
      </c>
      <c r="I311" s="2">
        <f t="shared" si="76"/>
        <v>17309602.151361</v>
      </c>
      <c r="J311" s="4">
        <f t="shared" si="77"/>
        <v>-726456.45680999907</v>
      </c>
      <c r="K311" s="2">
        <f t="shared" si="78"/>
        <v>527738983640.93805</v>
      </c>
      <c r="L311" s="2">
        <f t="shared" si="79"/>
        <v>3022408285.8853216</v>
      </c>
      <c r="N311" s="42">
        <f t="shared" si="80"/>
        <v>235521.04908791045</v>
      </c>
      <c r="O311" s="42">
        <f t="shared" si="81"/>
        <v>1110032602686.7949</v>
      </c>
      <c r="P311" s="4">
        <f t="shared" si="82"/>
        <v>327124.39091208961</v>
      </c>
      <c r="Q311" s="4">
        <f t="shared" si="83"/>
        <v>107010367129.60562</v>
      </c>
      <c r="R311" s="43">
        <f t="shared" si="84"/>
        <v>3.1805981602821818E-3</v>
      </c>
      <c r="S311" s="4">
        <f t="shared" si="85"/>
        <v>0.26926054727435417</v>
      </c>
      <c r="T311" s="30">
        <f t="shared" si="86"/>
        <v>100719.09106163509</v>
      </c>
      <c r="U311" s="31">
        <f t="shared" si="87"/>
        <v>370323.00711418584</v>
      </c>
      <c r="V311" s="31">
        <f t="shared" si="88"/>
        <v>2624351.264680299</v>
      </c>
      <c r="W311" s="42">
        <f t="shared" si="89"/>
        <v>2629560.8200583952</v>
      </c>
    </row>
    <row r="312" spans="2:23" x14ac:dyDescent="0.3">
      <c r="B312" s="2">
        <v>304</v>
      </c>
      <c r="C312" s="2">
        <v>8263</v>
      </c>
      <c r="D312" s="4">
        <v>3486077.07</v>
      </c>
      <c r="E312" s="4">
        <f t="shared" si="72"/>
        <v>28805454829.41</v>
      </c>
      <c r="F312" s="2">
        <f t="shared" si="73"/>
        <v>68277169</v>
      </c>
      <c r="G312" s="2">
        <f t="shared" si="74"/>
        <v>12152733337979.783</v>
      </c>
      <c r="H312" s="42">
        <f t="shared" si="75"/>
        <v>3238.5190000000002</v>
      </c>
      <c r="I312" s="2">
        <f t="shared" si="76"/>
        <v>10488005.313361002</v>
      </c>
      <c r="J312" s="4">
        <f t="shared" si="77"/>
        <v>2196975.1731900005</v>
      </c>
      <c r="K312" s="2">
        <f t="shared" si="78"/>
        <v>4826699911613.2324</v>
      </c>
      <c r="L312" s="2">
        <f t="shared" si="79"/>
        <v>7114945840.904108</v>
      </c>
      <c r="N312" s="42">
        <f t="shared" si="80"/>
        <v>2109209.3779844334</v>
      </c>
      <c r="O312" s="42">
        <f t="shared" si="81"/>
        <v>672576280678.27515</v>
      </c>
      <c r="P312" s="4">
        <f t="shared" si="82"/>
        <v>1376867.6920155664</v>
      </c>
      <c r="Q312" s="4">
        <f t="shared" si="83"/>
        <v>1895764641316.2727</v>
      </c>
      <c r="R312" s="43">
        <f t="shared" si="84"/>
        <v>2.3212392111245919E-3</v>
      </c>
      <c r="S312" s="4">
        <f t="shared" si="85"/>
        <v>1.1328303722742878</v>
      </c>
      <c r="T312" s="30">
        <f t="shared" si="86"/>
        <v>1994049.3536815089</v>
      </c>
      <c r="U312" s="31">
        <f t="shared" si="87"/>
        <v>2224369.402287358</v>
      </c>
      <c r="V312" s="31">
        <f t="shared" si="88"/>
        <v>4499067.0171791706</v>
      </c>
      <c r="W312" s="42">
        <f t="shared" si="89"/>
        <v>4502223.5209217761</v>
      </c>
    </row>
    <row r="313" spans="2:23" x14ac:dyDescent="0.3">
      <c r="B313" s="2">
        <v>305</v>
      </c>
      <c r="C313" s="2">
        <v>3929</v>
      </c>
      <c r="D313" s="4">
        <v>599486.82000000007</v>
      </c>
      <c r="E313" s="4">
        <f t="shared" si="72"/>
        <v>2355383715.7800002</v>
      </c>
      <c r="F313" s="2">
        <f t="shared" si="73"/>
        <v>15437041</v>
      </c>
      <c r="G313" s="2">
        <f t="shared" si="74"/>
        <v>359384447353.71246</v>
      </c>
      <c r="H313" s="42">
        <f t="shared" si="75"/>
        <v>-1095.4809999999998</v>
      </c>
      <c r="I313" s="2">
        <f t="shared" si="76"/>
        <v>1200078.6213609995</v>
      </c>
      <c r="J313" s="4">
        <f t="shared" si="77"/>
        <v>-689615.07680999907</v>
      </c>
      <c r="K313" s="2">
        <f t="shared" si="78"/>
        <v>475568954163.66089</v>
      </c>
      <c r="L313" s="2">
        <f t="shared" si="79"/>
        <v>755460213.95889437</v>
      </c>
      <c r="N313" s="42">
        <f t="shared" si="80"/>
        <v>1011687.3861696571</v>
      </c>
      <c r="O313" s="42">
        <f t="shared" si="81"/>
        <v>76958810713.820435</v>
      </c>
      <c r="P313" s="4">
        <f t="shared" si="82"/>
        <v>-412200.56616965705</v>
      </c>
      <c r="Q313" s="4">
        <f t="shared" si="83"/>
        <v>169909306750.58582</v>
      </c>
      <c r="R313" s="43">
        <f t="shared" si="84"/>
        <v>1.1511813622896016E-3</v>
      </c>
      <c r="S313" s="4">
        <f t="shared" si="85"/>
        <v>-0.33894305701893851</v>
      </c>
      <c r="T313" s="30">
        <f t="shared" si="86"/>
        <v>930588.7270592571</v>
      </c>
      <c r="U313" s="31">
        <f t="shared" si="87"/>
        <v>1092786.045280057</v>
      </c>
      <c r="V313" s="31">
        <f t="shared" si="88"/>
        <v>3402943.2014904246</v>
      </c>
      <c r="W313" s="42">
        <f t="shared" si="89"/>
        <v>3403304.3809265932</v>
      </c>
    </row>
    <row r="314" spans="2:23" x14ac:dyDescent="0.3">
      <c r="B314" s="2">
        <v>306</v>
      </c>
      <c r="C314" s="2">
        <v>3024</v>
      </c>
      <c r="D314" s="4">
        <v>330462.72000000003</v>
      </c>
      <c r="E314" s="4">
        <f t="shared" si="72"/>
        <v>999319265.28000009</v>
      </c>
      <c r="F314" s="2">
        <f t="shared" si="73"/>
        <v>9144576</v>
      </c>
      <c r="G314" s="2">
        <f t="shared" si="74"/>
        <v>109205609309.79842</v>
      </c>
      <c r="H314" s="42">
        <f t="shared" si="75"/>
        <v>-2000.4809999999998</v>
      </c>
      <c r="I314" s="2">
        <f t="shared" si="76"/>
        <v>4001924.2313609989</v>
      </c>
      <c r="J314" s="4">
        <f t="shared" si="77"/>
        <v>-958639.17680999916</v>
      </c>
      <c r="K314" s="2">
        <f t="shared" si="78"/>
        <v>918989071314.95288</v>
      </c>
      <c r="L314" s="2">
        <f t="shared" si="79"/>
        <v>1917739459.0640438</v>
      </c>
      <c r="N314" s="42">
        <f t="shared" si="80"/>
        <v>782509.39756966336</v>
      </c>
      <c r="O314" s="42">
        <f t="shared" si="81"/>
        <v>256635960286.56961</v>
      </c>
      <c r="P314" s="4">
        <f t="shared" si="82"/>
        <v>-452046.67756966333</v>
      </c>
      <c r="Q314" s="4">
        <f t="shared" si="83"/>
        <v>204346198701.77115</v>
      </c>
      <c r="R314" s="43">
        <f t="shared" si="84"/>
        <v>1.5041472669438758E-3</v>
      </c>
      <c r="S314" s="4">
        <f t="shared" si="85"/>
        <v>-0.37177329219964023</v>
      </c>
      <c r="T314" s="30">
        <f t="shared" si="86"/>
        <v>689807.8513114599</v>
      </c>
      <c r="U314" s="31">
        <f t="shared" si="87"/>
        <v>875210.94382786681</v>
      </c>
      <c r="V314" s="31">
        <f t="shared" si="88"/>
        <v>3173343.5177327986</v>
      </c>
      <c r="W314" s="42">
        <f t="shared" si="89"/>
        <v>3174547.9494703962</v>
      </c>
    </row>
    <row r="315" spans="2:23" x14ac:dyDescent="0.3">
      <c r="B315" s="2">
        <v>307</v>
      </c>
      <c r="C315" s="2">
        <v>7740</v>
      </c>
      <c r="D315" s="4">
        <v>3265428.6</v>
      </c>
      <c r="E315" s="4">
        <f t="shared" si="72"/>
        <v>25274417364</v>
      </c>
      <c r="F315" s="2">
        <f t="shared" si="73"/>
        <v>59907600</v>
      </c>
      <c r="G315" s="2">
        <f t="shared" si="74"/>
        <v>10663023941697.961</v>
      </c>
      <c r="H315" s="42">
        <f t="shared" si="75"/>
        <v>2715.5190000000002</v>
      </c>
      <c r="I315" s="2">
        <f t="shared" si="76"/>
        <v>7374043.4393610014</v>
      </c>
      <c r="J315" s="4">
        <f t="shared" si="77"/>
        <v>1976326.703190001</v>
      </c>
      <c r="K315" s="2">
        <f t="shared" si="78"/>
        <v>3905867237741.8579</v>
      </c>
      <c r="L315" s="2">
        <f t="shared" si="79"/>
        <v>5366752712.7198086</v>
      </c>
      <c r="N315" s="42">
        <f t="shared" si="80"/>
        <v>1976767.2917548239</v>
      </c>
      <c r="O315" s="42">
        <f t="shared" si="81"/>
        <v>472883695404.62183</v>
      </c>
      <c r="P315" s="4">
        <f t="shared" si="82"/>
        <v>1288661.3082451762</v>
      </c>
      <c r="Q315" s="4">
        <f t="shared" si="83"/>
        <v>1660647967368.1692</v>
      </c>
      <c r="R315" s="43">
        <f t="shared" si="84"/>
        <v>1.9289540809259553E-3</v>
      </c>
      <c r="S315" s="4">
        <f t="shared" si="85"/>
        <v>1.0600493865246561</v>
      </c>
      <c r="T315" s="30">
        <f t="shared" si="86"/>
        <v>1871788.2163541783</v>
      </c>
      <c r="U315" s="31">
        <f t="shared" si="87"/>
        <v>2081746.3671554695</v>
      </c>
      <c r="V315" s="31">
        <f t="shared" si="88"/>
        <v>4367093.7883955901</v>
      </c>
      <c r="W315" s="42">
        <f t="shared" si="89"/>
        <v>4369313.1039332803</v>
      </c>
    </row>
    <row r="316" spans="2:23" x14ac:dyDescent="0.3">
      <c r="B316" s="2">
        <v>308</v>
      </c>
      <c r="C316" s="2">
        <v>2300</v>
      </c>
      <c r="D316" s="4">
        <v>1005560</v>
      </c>
      <c r="E316" s="4">
        <f t="shared" si="72"/>
        <v>2312788000</v>
      </c>
      <c r="F316" s="2">
        <f t="shared" si="73"/>
        <v>5290000</v>
      </c>
      <c r="G316" s="2">
        <f t="shared" si="74"/>
        <v>1011150913600</v>
      </c>
      <c r="H316" s="42">
        <f t="shared" si="75"/>
        <v>-2724.4809999999998</v>
      </c>
      <c r="I316" s="2">
        <f t="shared" si="76"/>
        <v>7422796.7193609988</v>
      </c>
      <c r="J316" s="4">
        <f t="shared" si="77"/>
        <v>-283541.89680999913</v>
      </c>
      <c r="K316" s="2">
        <f t="shared" si="78"/>
        <v>80396007246.612198</v>
      </c>
      <c r="L316" s="2">
        <f t="shared" si="79"/>
        <v>772504510.56280315</v>
      </c>
      <c r="N316" s="42">
        <f t="shared" si="80"/>
        <v>599167.0066896684</v>
      </c>
      <c r="O316" s="42">
        <f t="shared" si="81"/>
        <v>476010152605.35284</v>
      </c>
      <c r="P316" s="4">
        <f t="shared" si="82"/>
        <v>406392.9933103316</v>
      </c>
      <c r="Q316" s="4">
        <f t="shared" si="83"/>
        <v>165155265011.73123</v>
      </c>
      <c r="R316" s="43">
        <f t="shared" si="84"/>
        <v>1.9350958346038326E-3</v>
      </c>
      <c r="S316" s="4">
        <f t="shared" si="85"/>
        <v>0.33429883086930973</v>
      </c>
      <c r="T316" s="30">
        <f t="shared" si="86"/>
        <v>494020.9384036613</v>
      </c>
      <c r="U316" s="31">
        <f t="shared" si="87"/>
        <v>704313.07497567544</v>
      </c>
      <c r="V316" s="31">
        <f t="shared" si="88"/>
        <v>2989486.1634423584</v>
      </c>
      <c r="W316" s="42">
        <f t="shared" si="89"/>
        <v>2991720.1519252555</v>
      </c>
    </row>
    <row r="317" spans="2:23" x14ac:dyDescent="0.3">
      <c r="B317" s="2">
        <v>309</v>
      </c>
      <c r="C317" s="2">
        <v>7960</v>
      </c>
      <c r="D317" s="4">
        <v>2032028.8</v>
      </c>
      <c r="E317" s="4">
        <f t="shared" si="72"/>
        <v>16174949248</v>
      </c>
      <c r="F317" s="2">
        <f t="shared" si="73"/>
        <v>63361600</v>
      </c>
      <c r="G317" s="2">
        <f t="shared" si="74"/>
        <v>4129141044029.4404</v>
      </c>
      <c r="H317" s="42">
        <f t="shared" si="75"/>
        <v>2935.5190000000002</v>
      </c>
      <c r="I317" s="2">
        <f t="shared" si="76"/>
        <v>8617271.7993610017</v>
      </c>
      <c r="J317" s="4">
        <f t="shared" si="77"/>
        <v>742926.90319000091</v>
      </c>
      <c r="K317" s="2">
        <f t="shared" si="78"/>
        <v>551940383483.48499</v>
      </c>
      <c r="L317" s="2">
        <f t="shared" si="79"/>
        <v>2180876039.9254084</v>
      </c>
      <c r="N317" s="42">
        <f t="shared" si="80"/>
        <v>2032479.0679890765</v>
      </c>
      <c r="O317" s="42">
        <f t="shared" si="81"/>
        <v>552609618630.20728</v>
      </c>
      <c r="P317" s="4">
        <f t="shared" si="82"/>
        <v>-450.26798907644115</v>
      </c>
      <c r="Q317" s="4">
        <f t="shared" si="83"/>
        <v>202741.26198694212</v>
      </c>
      <c r="R317" s="43">
        <f t="shared" si="84"/>
        <v>2.0855712839627956E-3</v>
      </c>
      <c r="S317" s="4">
        <f t="shared" si="85"/>
        <v>-3.7041832200091445E-4</v>
      </c>
      <c r="T317" s="30">
        <f t="shared" si="86"/>
        <v>1923321.3826529987</v>
      </c>
      <c r="U317" s="31">
        <f t="shared" si="87"/>
        <v>2141636.7533251541</v>
      </c>
      <c r="V317" s="31">
        <f t="shared" si="88"/>
        <v>4422618.3874738142</v>
      </c>
      <c r="W317" s="42">
        <f t="shared" si="89"/>
        <v>4425211.8690700121</v>
      </c>
    </row>
    <row r="318" spans="2:23" x14ac:dyDescent="0.3">
      <c r="B318" s="2">
        <v>310</v>
      </c>
      <c r="C318" s="2">
        <v>8005</v>
      </c>
      <c r="D318" s="4">
        <v>874786.4</v>
      </c>
      <c r="E318" s="4">
        <f t="shared" si="72"/>
        <v>7002665132</v>
      </c>
      <c r="F318" s="2">
        <f t="shared" si="73"/>
        <v>64080025</v>
      </c>
      <c r="G318" s="2">
        <f t="shared" si="74"/>
        <v>765251245624.96008</v>
      </c>
      <c r="H318" s="42">
        <f t="shared" si="75"/>
        <v>2980.5190000000002</v>
      </c>
      <c r="I318" s="2">
        <f t="shared" si="76"/>
        <v>8883493.5093610007</v>
      </c>
      <c r="J318" s="4">
        <f t="shared" si="77"/>
        <v>-414315.49680999911</v>
      </c>
      <c r="K318" s="2">
        <f t="shared" si="78"/>
        <v>171657330896.91638</v>
      </c>
      <c r="L318" s="2">
        <f t="shared" si="79"/>
        <v>-1234875210.2366419</v>
      </c>
      <c r="N318" s="42">
        <f t="shared" si="80"/>
        <v>2043874.6585824464</v>
      </c>
      <c r="O318" s="42">
        <f t="shared" si="81"/>
        <v>569681921913.60742</v>
      </c>
      <c r="P318" s="4">
        <f t="shared" si="82"/>
        <v>-1169088.2585824463</v>
      </c>
      <c r="Q318" s="4">
        <f t="shared" si="83"/>
        <v>1366767356355.3367</v>
      </c>
      <c r="R318" s="43">
        <f t="shared" si="84"/>
        <v>2.1191088873101682E-3</v>
      </c>
      <c r="S318" s="4">
        <f t="shared" si="85"/>
        <v>-0.96178053656799034</v>
      </c>
      <c r="T318" s="30">
        <f t="shared" si="86"/>
        <v>1933842.8034533518</v>
      </c>
      <c r="U318" s="31">
        <f t="shared" si="87"/>
        <v>2153906.513711541</v>
      </c>
      <c r="V318" s="31">
        <f t="shared" si="88"/>
        <v>4433973.8945288835</v>
      </c>
      <c r="W318" s="42">
        <f t="shared" si="89"/>
        <v>4436647.4990844112</v>
      </c>
    </row>
    <row r="319" spans="2:23" x14ac:dyDescent="0.3">
      <c r="B319" s="2">
        <v>311</v>
      </c>
      <c r="C319" s="2">
        <v>2753</v>
      </c>
      <c r="D319" s="4">
        <v>225002.69</v>
      </c>
      <c r="E319" s="4">
        <f t="shared" si="72"/>
        <v>619432405.57000005</v>
      </c>
      <c r="F319" s="2">
        <f t="shared" si="73"/>
        <v>7579009</v>
      </c>
      <c r="G319" s="2">
        <f t="shared" si="74"/>
        <v>50626210507.236099</v>
      </c>
      <c r="H319" s="42">
        <f t="shared" si="75"/>
        <v>-2271.4809999999998</v>
      </c>
      <c r="I319" s="2">
        <f t="shared" si="76"/>
        <v>5159625.9333609985</v>
      </c>
      <c r="J319" s="4">
        <f t="shared" si="77"/>
        <v>-1064099.2068099992</v>
      </c>
      <c r="K319" s="2">
        <f t="shared" si="78"/>
        <v>1132307121933.6694</v>
      </c>
      <c r="L319" s="2">
        <f t="shared" si="79"/>
        <v>2417081130.3839836</v>
      </c>
      <c r="N319" s="42">
        <f t="shared" si="80"/>
        <v>713882.61866292497</v>
      </c>
      <c r="O319" s="42">
        <f t="shared" si="81"/>
        <v>330877217952.04108</v>
      </c>
      <c r="P319" s="4">
        <f t="shared" si="82"/>
        <v>-488879.92866292497</v>
      </c>
      <c r="Q319" s="4">
        <f t="shared" si="83"/>
        <v>239003584649.46661</v>
      </c>
      <c r="R319" s="43">
        <f t="shared" si="84"/>
        <v>1.6499901453336748E-3</v>
      </c>
      <c r="S319" s="4">
        <f t="shared" si="85"/>
        <v>-0.40209514782903816</v>
      </c>
      <c r="T319" s="30">
        <f t="shared" si="86"/>
        <v>616790.83625063277</v>
      </c>
      <c r="U319" s="31">
        <f t="shared" si="87"/>
        <v>810974.40107521717</v>
      </c>
      <c r="V319" s="31">
        <f t="shared" si="88"/>
        <v>3104542.4758159453</v>
      </c>
      <c r="W319" s="42">
        <f t="shared" si="89"/>
        <v>3106095.3331414447</v>
      </c>
    </row>
    <row r="320" spans="2:23" x14ac:dyDescent="0.3">
      <c r="B320" s="2">
        <v>312</v>
      </c>
      <c r="C320" s="2">
        <v>4552</v>
      </c>
      <c r="D320" s="4">
        <v>936346.39999999991</v>
      </c>
      <c r="E320" s="4">
        <f t="shared" si="72"/>
        <v>4262248812.7999997</v>
      </c>
      <c r="F320" s="2">
        <f t="shared" si="73"/>
        <v>20720704</v>
      </c>
      <c r="G320" s="2">
        <f t="shared" si="74"/>
        <v>876744580792.95984</v>
      </c>
      <c r="H320" s="42">
        <f t="shared" si="75"/>
        <v>-472.48099999999977</v>
      </c>
      <c r="I320" s="2">
        <f t="shared" si="76"/>
        <v>223238.29536099979</v>
      </c>
      <c r="J320" s="4">
        <f t="shared" si="77"/>
        <v>-352755.49680999923</v>
      </c>
      <c r="K320" s="2">
        <f t="shared" si="78"/>
        <v>124436440529.66937</v>
      </c>
      <c r="L320" s="2">
        <f t="shared" si="79"/>
        <v>166670269.88828516</v>
      </c>
      <c r="N320" s="42">
        <f t="shared" si="80"/>
        <v>1169453.0070511997</v>
      </c>
      <c r="O320" s="42">
        <f t="shared" si="81"/>
        <v>14315856820.513346</v>
      </c>
      <c r="P320" s="4">
        <f t="shared" si="82"/>
        <v>-233106.60705119977</v>
      </c>
      <c r="Q320" s="4">
        <f t="shared" si="83"/>
        <v>54338690250.922455</v>
      </c>
      <c r="R320" s="43">
        <f t="shared" si="84"/>
        <v>1.0281227154680995E-3</v>
      </c>
      <c r="S320" s="4">
        <f t="shared" si="85"/>
        <v>-0.19166640202034352</v>
      </c>
      <c r="T320" s="30">
        <f t="shared" si="86"/>
        <v>1092811.4576289465</v>
      </c>
      <c r="U320" s="31">
        <f t="shared" si="87"/>
        <v>1246094.5564734528</v>
      </c>
      <c r="V320" s="31">
        <f t="shared" si="88"/>
        <v>3560855.8254230963</v>
      </c>
      <c r="W320" s="42">
        <f t="shared" si="89"/>
        <v>3560923.0119223744</v>
      </c>
    </row>
    <row r="321" spans="2:23" x14ac:dyDescent="0.3">
      <c r="B321" s="2">
        <v>313</v>
      </c>
      <c r="C321" s="2">
        <v>2783</v>
      </c>
      <c r="D321" s="4">
        <v>25965.39</v>
      </c>
      <c r="E321" s="4">
        <f t="shared" si="72"/>
        <v>72261680.370000005</v>
      </c>
      <c r="F321" s="2">
        <f t="shared" si="73"/>
        <v>7745089</v>
      </c>
      <c r="G321" s="2">
        <f t="shared" si="74"/>
        <v>674201477.85210001</v>
      </c>
      <c r="H321" s="42">
        <f t="shared" si="75"/>
        <v>-2241.4809999999998</v>
      </c>
      <c r="I321" s="2">
        <f t="shared" si="76"/>
        <v>5024237.0733609991</v>
      </c>
      <c r="J321" s="4">
        <f t="shared" si="77"/>
        <v>-1263136.5068099992</v>
      </c>
      <c r="K321" s="2">
        <f t="shared" si="78"/>
        <v>1595513834836.1672</v>
      </c>
      <c r="L321" s="2">
        <f t="shared" si="79"/>
        <v>2831296480.4209838</v>
      </c>
      <c r="N321" s="42">
        <f t="shared" si="80"/>
        <v>721479.67905850476</v>
      </c>
      <c r="O321" s="42">
        <f t="shared" si="81"/>
        <v>322194982085.12488</v>
      </c>
      <c r="P321" s="4">
        <f t="shared" si="82"/>
        <v>-695514.28905850474</v>
      </c>
      <c r="Q321" s="4">
        <f t="shared" si="83"/>
        <v>483740126284.55731</v>
      </c>
      <c r="R321" s="43">
        <f t="shared" si="84"/>
        <v>1.632934369212588E-3</v>
      </c>
      <c r="S321" s="4">
        <f t="shared" si="85"/>
        <v>-0.57204339068686183</v>
      </c>
      <c r="T321" s="30">
        <f t="shared" si="86"/>
        <v>624891.01400804205</v>
      </c>
      <c r="U321" s="31">
        <f t="shared" si="87"/>
        <v>818068.34410896746</v>
      </c>
      <c r="V321" s="31">
        <f t="shared" si="88"/>
        <v>3112159.916271057</v>
      </c>
      <c r="W321" s="42">
        <f t="shared" si="89"/>
        <v>3113672.0265332903</v>
      </c>
    </row>
    <row r="322" spans="2:23" x14ac:dyDescent="0.3">
      <c r="B322" s="2">
        <v>314</v>
      </c>
      <c r="C322" s="2">
        <v>8857</v>
      </c>
      <c r="D322" s="4">
        <v>723882.61</v>
      </c>
      <c r="E322" s="4">
        <f t="shared" si="72"/>
        <v>6411428276.7699995</v>
      </c>
      <c r="F322" s="2">
        <f t="shared" si="73"/>
        <v>78446449</v>
      </c>
      <c r="G322" s="2">
        <f t="shared" si="74"/>
        <v>524006033060.41211</v>
      </c>
      <c r="H322" s="42">
        <f t="shared" si="75"/>
        <v>3832.5190000000002</v>
      </c>
      <c r="I322" s="2">
        <f t="shared" si="76"/>
        <v>14688201.885361001</v>
      </c>
      <c r="J322" s="4">
        <f t="shared" si="77"/>
        <v>-565219.28680999915</v>
      </c>
      <c r="K322" s="2">
        <f t="shared" si="78"/>
        <v>319472842182.00409</v>
      </c>
      <c r="L322" s="2">
        <f t="shared" si="79"/>
        <v>-2166213655.8657713</v>
      </c>
      <c r="N322" s="42">
        <f t="shared" si="80"/>
        <v>2259631.1738169156</v>
      </c>
      <c r="O322" s="42">
        <f t="shared" si="81"/>
        <v>941927077527.56799</v>
      </c>
      <c r="P322" s="4">
        <f t="shared" si="82"/>
        <v>-1535748.5638169157</v>
      </c>
      <c r="Q322" s="4">
        <f t="shared" si="83"/>
        <v>2358523651265.7192</v>
      </c>
      <c r="R322" s="43">
        <f t="shared" si="84"/>
        <v>2.8503640770595716E-3</v>
      </c>
      <c r="S322" s="4">
        <f t="shared" si="85"/>
        <v>-1.2638862487446803</v>
      </c>
      <c r="T322" s="30">
        <f t="shared" si="86"/>
        <v>2132019.0411344548</v>
      </c>
      <c r="U322" s="31">
        <f t="shared" si="87"/>
        <v>2387243.3064993764</v>
      </c>
      <c r="V322" s="31">
        <f t="shared" si="88"/>
        <v>4648856.2595732007</v>
      </c>
      <c r="W322" s="42">
        <f t="shared" si="89"/>
        <v>4653276.8688830119</v>
      </c>
    </row>
    <row r="323" spans="2:23" x14ac:dyDescent="0.3">
      <c r="B323" s="2">
        <v>315</v>
      </c>
      <c r="C323" s="2">
        <v>1215</v>
      </c>
      <c r="D323" s="4">
        <v>185384.7</v>
      </c>
      <c r="E323" s="4">
        <f t="shared" si="72"/>
        <v>225242410.5</v>
      </c>
      <c r="F323" s="2">
        <f t="shared" si="73"/>
        <v>1476225</v>
      </c>
      <c r="G323" s="2">
        <f t="shared" si="74"/>
        <v>34367486994.090004</v>
      </c>
      <c r="H323" s="42">
        <f t="shared" si="75"/>
        <v>-3809.4809999999998</v>
      </c>
      <c r="I323" s="2">
        <f t="shared" si="76"/>
        <v>14512145.489360997</v>
      </c>
      <c r="J323" s="4">
        <f t="shared" si="77"/>
        <v>-1103717.1968099992</v>
      </c>
      <c r="K323" s="2">
        <f t="shared" si="78"/>
        <v>1218191650534.1226</v>
      </c>
      <c r="L323" s="2">
        <f t="shared" si="79"/>
        <v>4204589690.6209521</v>
      </c>
      <c r="N323" s="42">
        <f t="shared" si="80"/>
        <v>324406.6557161953</v>
      </c>
      <c r="O323" s="42">
        <f t="shared" si="81"/>
        <v>930636908189.03247</v>
      </c>
      <c r="P323" s="4">
        <f t="shared" si="82"/>
        <v>-139021.95571619528</v>
      </c>
      <c r="Q323" s="4">
        <f t="shared" si="83"/>
        <v>19327104171.155762</v>
      </c>
      <c r="R323" s="43">
        <f t="shared" si="84"/>
        <v>2.828185158684297E-3</v>
      </c>
      <c r="S323" s="4">
        <f t="shared" si="85"/>
        <v>-0.11441064520572039</v>
      </c>
      <c r="T323" s="30">
        <f t="shared" si="86"/>
        <v>197291.97287179233</v>
      </c>
      <c r="U323" s="31">
        <f t="shared" si="87"/>
        <v>451521.33856059826</v>
      </c>
      <c r="V323" s="31">
        <f t="shared" si="88"/>
        <v>2713658.2590891556</v>
      </c>
      <c r="W323" s="42">
        <f t="shared" si="89"/>
        <v>2718025.8818453904</v>
      </c>
    </row>
    <row r="324" spans="2:23" x14ac:dyDescent="0.3">
      <c r="B324" s="2">
        <v>316</v>
      </c>
      <c r="C324" s="2">
        <v>333</v>
      </c>
      <c r="D324" s="4">
        <v>216852.93000000002</v>
      </c>
      <c r="E324" s="4">
        <f t="shared" si="72"/>
        <v>72212025.690000013</v>
      </c>
      <c r="F324" s="2">
        <f t="shared" si="73"/>
        <v>110889</v>
      </c>
      <c r="G324" s="2">
        <f t="shared" si="74"/>
        <v>47025193249.584908</v>
      </c>
      <c r="H324" s="42">
        <f t="shared" si="75"/>
        <v>-4691.4809999999998</v>
      </c>
      <c r="I324" s="2">
        <f t="shared" si="76"/>
        <v>22009993.973360997</v>
      </c>
      <c r="J324" s="4">
        <f t="shared" si="77"/>
        <v>-1072248.9668099992</v>
      </c>
      <c r="K324" s="2">
        <f t="shared" si="78"/>
        <v>1149717846825.1108</v>
      </c>
      <c r="L324" s="2">
        <f t="shared" si="79"/>
        <v>5030435655.0587416</v>
      </c>
      <c r="N324" s="42">
        <f t="shared" si="80"/>
        <v>101053.08008614619</v>
      </c>
      <c r="O324" s="42">
        <f t="shared" si="81"/>
        <v>1411459990918.947</v>
      </c>
      <c r="P324" s="4">
        <f t="shared" si="82"/>
        <v>115799.84991385383</v>
      </c>
      <c r="Q324" s="4">
        <f t="shared" si="83"/>
        <v>13409605240.071074</v>
      </c>
      <c r="R324" s="43">
        <f t="shared" si="84"/>
        <v>3.7727357305181743E-3</v>
      </c>
      <c r="S324" s="4">
        <f t="shared" si="85"/>
        <v>9.5344758552804124E-2</v>
      </c>
      <c r="T324" s="30">
        <f t="shared" si="86"/>
        <v>-45761.77180881807</v>
      </c>
      <c r="U324" s="31">
        <f t="shared" si="87"/>
        <v>247867.93198111045</v>
      </c>
      <c r="V324" s="31">
        <f t="shared" si="88"/>
        <v>2489175.0966669475</v>
      </c>
      <c r="W324" s="42">
        <f t="shared" si="89"/>
        <v>2495799.300009592</v>
      </c>
    </row>
    <row r="325" spans="2:23" x14ac:dyDescent="0.3">
      <c r="B325" s="2">
        <v>317</v>
      </c>
      <c r="C325" s="2">
        <v>3713</v>
      </c>
      <c r="D325" s="4">
        <v>566529.54</v>
      </c>
      <c r="E325" s="4">
        <f t="shared" si="72"/>
        <v>2103524182.0200002</v>
      </c>
      <c r="F325" s="2">
        <f t="shared" si="73"/>
        <v>13786369</v>
      </c>
      <c r="G325" s="2">
        <f t="shared" si="74"/>
        <v>320955719692.61163</v>
      </c>
      <c r="H325" s="42">
        <f t="shared" si="75"/>
        <v>-1311.4809999999998</v>
      </c>
      <c r="I325" s="2">
        <f t="shared" si="76"/>
        <v>1719982.4133609994</v>
      </c>
      <c r="J325" s="4">
        <f t="shared" si="77"/>
        <v>-722572.3568099991</v>
      </c>
      <c r="K325" s="2">
        <f t="shared" si="78"/>
        <v>522110810825.95667</v>
      </c>
      <c r="L325" s="2">
        <f t="shared" si="79"/>
        <v>947639917.08153427</v>
      </c>
      <c r="N325" s="42">
        <f t="shared" si="80"/>
        <v>956988.55132148182</v>
      </c>
      <c r="O325" s="42">
        <f t="shared" si="81"/>
        <v>110299274251.57526</v>
      </c>
      <c r="P325" s="4">
        <f t="shared" si="82"/>
        <v>-390459.01132148178</v>
      </c>
      <c r="Q325" s="4">
        <f t="shared" si="83"/>
        <v>152458239522.14905</v>
      </c>
      <c r="R325" s="43">
        <f t="shared" si="84"/>
        <v>1.216676874112777E-3</v>
      </c>
      <c r="S325" s="4">
        <f t="shared" si="85"/>
        <v>-0.32107600269557729</v>
      </c>
      <c r="T325" s="30">
        <f t="shared" si="86"/>
        <v>873614.78410092904</v>
      </c>
      <c r="U325" s="31">
        <f t="shared" si="87"/>
        <v>1040362.3185420346</v>
      </c>
      <c r="V325" s="31">
        <f t="shared" si="88"/>
        <v>3348166.1235135491</v>
      </c>
      <c r="W325" s="42">
        <f t="shared" si="89"/>
        <v>3348683.7748316266</v>
      </c>
    </row>
    <row r="326" spans="2:23" x14ac:dyDescent="0.3">
      <c r="B326" s="2">
        <v>318</v>
      </c>
      <c r="C326" s="2">
        <v>893</v>
      </c>
      <c r="D326" s="4">
        <v>581530.53</v>
      </c>
      <c r="E326" s="4">
        <f t="shared" si="72"/>
        <v>519306763.29000002</v>
      </c>
      <c r="F326" s="2">
        <f t="shared" si="73"/>
        <v>797449</v>
      </c>
      <c r="G326" s="2">
        <f t="shared" si="74"/>
        <v>338177757322.08093</v>
      </c>
      <c r="H326" s="42">
        <f t="shared" si="75"/>
        <v>-4131.4809999999998</v>
      </c>
      <c r="I326" s="2">
        <f t="shared" si="76"/>
        <v>17069135.253360998</v>
      </c>
      <c r="J326" s="4">
        <f t="shared" si="77"/>
        <v>-707571.3668099991</v>
      </c>
      <c r="K326" s="2">
        <f t="shared" si="78"/>
        <v>500657239129.3703</v>
      </c>
      <c r="L326" s="2">
        <f t="shared" si="79"/>
        <v>2923317658.1195416</v>
      </c>
      <c r="N326" s="42">
        <f t="shared" si="80"/>
        <v>242864.87413697102</v>
      </c>
      <c r="O326" s="42">
        <f t="shared" si="81"/>
        <v>1094611907611.7222</v>
      </c>
      <c r="P326" s="4">
        <f t="shared" si="82"/>
        <v>338665.65586302901</v>
      </c>
      <c r="Q326" s="4">
        <f t="shared" si="83"/>
        <v>114694426461.13559</v>
      </c>
      <c r="R326" s="43">
        <f t="shared" si="84"/>
        <v>3.1503050506657753E-3</v>
      </c>
      <c r="S326" s="4">
        <f t="shared" si="85"/>
        <v>0.27875608421383102</v>
      </c>
      <c r="T326" s="30">
        <f t="shared" si="86"/>
        <v>108706.40205240573</v>
      </c>
      <c r="U326" s="31">
        <f t="shared" si="87"/>
        <v>377023.34622153628</v>
      </c>
      <c r="V326" s="31">
        <f t="shared" si="88"/>
        <v>2631731.3147700229</v>
      </c>
      <c r="W326" s="42">
        <f t="shared" si="89"/>
        <v>2636868.4983474184</v>
      </c>
    </row>
    <row r="327" spans="2:23" x14ac:dyDescent="0.3">
      <c r="B327" s="2">
        <v>319</v>
      </c>
      <c r="C327" s="2">
        <v>8440</v>
      </c>
      <c r="D327" s="4">
        <v>689801.20000000007</v>
      </c>
      <c r="E327" s="4">
        <f t="shared" si="72"/>
        <v>5821922128.000001</v>
      </c>
      <c r="F327" s="2">
        <f t="shared" si="73"/>
        <v>71233600</v>
      </c>
      <c r="G327" s="2">
        <f t="shared" si="74"/>
        <v>475825695521.44012</v>
      </c>
      <c r="H327" s="42">
        <f t="shared" si="75"/>
        <v>3415.5190000000002</v>
      </c>
      <c r="I327" s="2">
        <f t="shared" si="76"/>
        <v>11665770.039361002</v>
      </c>
      <c r="J327" s="4">
        <f t="shared" si="77"/>
        <v>-599300.69680999906</v>
      </c>
      <c r="K327" s="2">
        <f t="shared" si="78"/>
        <v>359161325196.95044</v>
      </c>
      <c r="L327" s="2">
        <f t="shared" si="79"/>
        <v>-2046922916.6677914</v>
      </c>
      <c r="N327" s="42">
        <f t="shared" si="80"/>
        <v>2154032.0343183549</v>
      </c>
      <c r="O327" s="42">
        <f t="shared" si="81"/>
        <v>748104142770.22327</v>
      </c>
      <c r="P327" s="4">
        <f t="shared" si="82"/>
        <v>-1464230.8343183547</v>
      </c>
      <c r="Q327" s="4">
        <f t="shared" si="83"/>
        <v>2143971936168.6252</v>
      </c>
      <c r="R327" s="43">
        <f t="shared" si="84"/>
        <v>2.469609553337161E-3</v>
      </c>
      <c r="S327" s="4">
        <f t="shared" si="85"/>
        <v>-1.2047987788688779</v>
      </c>
      <c r="T327" s="30">
        <f t="shared" si="86"/>
        <v>2035248.5810273101</v>
      </c>
      <c r="U327" s="31">
        <f t="shared" si="87"/>
        <v>2272815.4876093995</v>
      </c>
      <c r="V327" s="31">
        <f t="shared" si="88"/>
        <v>4543712.3179628318</v>
      </c>
      <c r="W327" s="42">
        <f t="shared" si="89"/>
        <v>4547223.285739026</v>
      </c>
    </row>
    <row r="328" spans="2:23" x14ac:dyDescent="0.3">
      <c r="B328" s="2">
        <v>320</v>
      </c>
      <c r="C328" s="2">
        <v>4953</v>
      </c>
      <c r="D328" s="4">
        <v>763059.18</v>
      </c>
      <c r="E328" s="4">
        <f t="shared" si="72"/>
        <v>3779432118.5400004</v>
      </c>
      <c r="F328" s="2">
        <f t="shared" si="73"/>
        <v>24532209</v>
      </c>
      <c r="G328" s="2">
        <f t="shared" si="74"/>
        <v>582259312182.27246</v>
      </c>
      <c r="H328" s="42">
        <f t="shared" si="75"/>
        <v>-71.480999999999767</v>
      </c>
      <c r="I328" s="2">
        <f t="shared" si="76"/>
        <v>5109.533360999967</v>
      </c>
      <c r="J328" s="4">
        <f t="shared" si="77"/>
        <v>-526042.71680999908</v>
      </c>
      <c r="K328" s="2">
        <f t="shared" si="78"/>
        <v>276720939908.84491</v>
      </c>
      <c r="L328" s="2">
        <f t="shared" si="79"/>
        <v>37602059.440295421</v>
      </c>
      <c r="N328" s="42">
        <f t="shared" si="80"/>
        <v>1271000.3810054511</v>
      </c>
      <c r="O328" s="42">
        <f t="shared" si="81"/>
        <v>327664874.42230284</v>
      </c>
      <c r="P328" s="4">
        <f t="shared" si="82"/>
        <v>-507941.20100545103</v>
      </c>
      <c r="Q328" s="4">
        <f t="shared" si="83"/>
        <v>258004263678.86002</v>
      </c>
      <c r="R328" s="43">
        <f t="shared" si="84"/>
        <v>1.0006436796726735E-3</v>
      </c>
      <c r="S328" s="4">
        <f t="shared" si="85"/>
        <v>-0.41763691172352585</v>
      </c>
      <c r="T328" s="30">
        <f t="shared" si="86"/>
        <v>1195389.982493626</v>
      </c>
      <c r="U328" s="31">
        <f t="shared" si="87"/>
        <v>1346610.7795172762</v>
      </c>
      <c r="V328" s="31">
        <f t="shared" si="88"/>
        <v>3662436.0239721979</v>
      </c>
      <c r="W328" s="42">
        <f t="shared" si="89"/>
        <v>3662437.5617534234</v>
      </c>
    </row>
    <row r="329" spans="2:23" x14ac:dyDescent="0.3">
      <c r="B329" s="2">
        <v>321</v>
      </c>
      <c r="C329" s="2">
        <v>6061</v>
      </c>
      <c r="D329" s="4">
        <v>1547252.08</v>
      </c>
      <c r="E329" s="4">
        <f t="shared" si="72"/>
        <v>9377894856.8800011</v>
      </c>
      <c r="F329" s="2">
        <f t="shared" si="73"/>
        <v>36735721</v>
      </c>
      <c r="G329" s="2">
        <f t="shared" si="74"/>
        <v>2393988999064.3267</v>
      </c>
      <c r="H329" s="42">
        <f t="shared" si="75"/>
        <v>1036.5190000000002</v>
      </c>
      <c r="I329" s="2">
        <f t="shared" si="76"/>
        <v>1074371.6373610005</v>
      </c>
      <c r="J329" s="4">
        <f t="shared" si="77"/>
        <v>258150.18319000094</v>
      </c>
      <c r="K329" s="2">
        <f t="shared" si="78"/>
        <v>66641517081.031044</v>
      </c>
      <c r="L329" s="2">
        <f t="shared" si="79"/>
        <v>267577569.72991663</v>
      </c>
      <c r="N329" s="42">
        <f t="shared" si="80"/>
        <v>1551585.1449488688</v>
      </c>
      <c r="O329" s="42">
        <f t="shared" si="81"/>
        <v>68897455553.531418</v>
      </c>
      <c r="P329" s="4">
        <f t="shared" si="82"/>
        <v>-4333.064948868705</v>
      </c>
      <c r="Q329" s="4">
        <f t="shared" si="83"/>
        <v>18775451.851114552</v>
      </c>
      <c r="R329" s="43">
        <f t="shared" si="84"/>
        <v>1.1353452722600299E-3</v>
      </c>
      <c r="S329" s="4">
        <f t="shared" si="85"/>
        <v>-3.5629515298352065E-3</v>
      </c>
      <c r="T329" s="30">
        <f t="shared" si="86"/>
        <v>1471046.229564901</v>
      </c>
      <c r="U329" s="31">
        <f t="shared" si="87"/>
        <v>1632124.0603328366</v>
      </c>
      <c r="V329" s="31">
        <f t="shared" si="88"/>
        <v>3942859.8782080291</v>
      </c>
      <c r="W329" s="42">
        <f t="shared" si="89"/>
        <v>3943183.2244747579</v>
      </c>
    </row>
    <row r="330" spans="2:23" x14ac:dyDescent="0.3">
      <c r="B330" s="2">
        <v>322</v>
      </c>
      <c r="C330" s="2">
        <v>9426</v>
      </c>
      <c r="D330" s="4">
        <v>3976735.1399999997</v>
      </c>
      <c r="E330" s="4">
        <f t="shared" ref="E330:E393" si="90">C330*D330</f>
        <v>37484705429.639999</v>
      </c>
      <c r="F330" s="2">
        <f t="shared" ref="F330:F393" si="91">POWER(C330,2)</f>
        <v>88849476</v>
      </c>
      <c r="G330" s="2">
        <f t="shared" ref="G330:G393" si="92">POWER(D330,2)</f>
        <v>15814422373710.816</v>
      </c>
      <c r="H330" s="42">
        <f t="shared" ref="H330:H393" si="93">C330-$AG$9</f>
        <v>4401.5190000000002</v>
      </c>
      <c r="I330" s="2">
        <f t="shared" ref="I330:I393" si="94">POWER(H330,2)</f>
        <v>19373369.507361002</v>
      </c>
      <c r="J330" s="4">
        <f t="shared" ref="J330:J393" si="95">D330-$AG$10</f>
        <v>2687633.2431900008</v>
      </c>
      <c r="K330" s="2">
        <f t="shared" ref="K330:K393" si="96">POWER(J330,2)</f>
        <v>7223372449900.002</v>
      </c>
      <c r="L330" s="2">
        <f t="shared" ref="L330:L393" si="97">H330*J330</f>
        <v>11829668784.932409</v>
      </c>
      <c r="N330" s="42">
        <f t="shared" ref="N330:N393" si="98">$AG$18+$AG$17*C330</f>
        <v>2403722.0859864145</v>
      </c>
      <c r="O330" s="42">
        <f t="shared" ref="O330:O393" si="99">(N330-$AG$10)^2</f>
        <v>1242378166119.668</v>
      </c>
      <c r="P330" s="4">
        <f t="shared" ref="P330:P393" si="100">D330-N330</f>
        <v>1573013.0540135852</v>
      </c>
      <c r="Q330" s="4">
        <f t="shared" ref="Q330:Q393" si="101">P330^2</f>
        <v>2474370068097.1465</v>
      </c>
      <c r="R330" s="43">
        <f t="shared" ref="R330:R393" si="102">(1/$AG$8)+((I330)/($I$1009))</f>
        <v>3.4405837602048345E-3</v>
      </c>
      <c r="S330" s="4">
        <f t="shared" ref="S330:S393" si="103">P330 / ($AG$19*SQRT(1-R330))</f>
        <v>1.2949373771655202</v>
      </c>
      <c r="T330" s="30">
        <f t="shared" ref="T330:T393" si="104">N330-$AK$16*SQRT($AG$25*((1/$AG$8)+((C330-$AG$9)^2)/$I$1009))</f>
        <v>2263518.9052833645</v>
      </c>
      <c r="U330" s="31">
        <f t="shared" ref="U330:U393" si="105">N330+$AK$16*SQRT($AG$25*((1/$AG$8)+((C330-$AG$9)^2)/$I$1009))</f>
        <v>2543925.2666894644</v>
      </c>
      <c r="V330" s="31">
        <f t="shared" ref="V330:V393" si="106">N330+$AK$16*SQRT($AG$25*(1+(1/$AG$8)-((C330-$AG$9)^2)/$I$1009))</f>
        <v>4792241.3835713519</v>
      </c>
      <c r="W330" s="42">
        <f t="shared" ref="W330:W393" si="107">N330+$AK$16*SQRT($AG$25*(1+(1/$AG$8)+((C330-$AG$9)^2)/$I$1009))</f>
        <v>4798072.0581040969</v>
      </c>
    </row>
    <row r="331" spans="2:23" x14ac:dyDescent="0.3">
      <c r="B331" s="2">
        <v>323</v>
      </c>
      <c r="C331" s="2">
        <v>9740</v>
      </c>
      <c r="D331" s="4">
        <v>462163</v>
      </c>
      <c r="E331" s="4">
        <f t="shared" si="90"/>
        <v>4501467620</v>
      </c>
      <c r="F331" s="2">
        <f t="shared" si="91"/>
        <v>94867600</v>
      </c>
      <c r="G331" s="2">
        <f t="shared" si="92"/>
        <v>213594638569</v>
      </c>
      <c r="H331" s="42">
        <f t="shared" si="93"/>
        <v>4715.5190000000002</v>
      </c>
      <c r="I331" s="2">
        <f t="shared" si="94"/>
        <v>22236119.439361002</v>
      </c>
      <c r="J331" s="4">
        <f t="shared" si="95"/>
        <v>-826938.89680999913</v>
      </c>
      <c r="K331" s="2">
        <f t="shared" si="96"/>
        <v>683827939057.33838</v>
      </c>
      <c r="L331" s="2">
        <f t="shared" si="97"/>
        <v>-3899446079.7465906</v>
      </c>
      <c r="N331" s="42">
        <f t="shared" si="98"/>
        <v>2483237.9847934837</v>
      </c>
      <c r="O331" s="42">
        <f t="shared" si="99"/>
        <v>1425960996624.5005</v>
      </c>
      <c r="P331" s="4">
        <f t="shared" si="100"/>
        <v>-2021074.9847934837</v>
      </c>
      <c r="Q331" s="4">
        <f t="shared" si="101"/>
        <v>4084744094157.9805</v>
      </c>
      <c r="R331" s="43">
        <f t="shared" si="102"/>
        <v>3.8012221608151172E-3</v>
      </c>
      <c r="S331" s="4">
        <f t="shared" si="103"/>
        <v>-1.6640924983126621</v>
      </c>
      <c r="T331" s="30">
        <f t="shared" si="104"/>
        <v>2335869.9048942202</v>
      </c>
      <c r="U331" s="31">
        <f t="shared" si="105"/>
        <v>2630606.0646927473</v>
      </c>
      <c r="V331" s="31">
        <f t="shared" si="106"/>
        <v>4871325.9261896331</v>
      </c>
      <c r="W331" s="42">
        <f t="shared" si="107"/>
        <v>4878018.1851613354</v>
      </c>
    </row>
    <row r="332" spans="2:23" x14ac:dyDescent="0.3">
      <c r="B332" s="2">
        <v>324</v>
      </c>
      <c r="C332" s="2">
        <v>3726</v>
      </c>
      <c r="D332" s="4">
        <v>766438.2</v>
      </c>
      <c r="E332" s="4">
        <f t="shared" si="90"/>
        <v>2855748733.1999998</v>
      </c>
      <c r="F332" s="2">
        <f t="shared" si="91"/>
        <v>13883076</v>
      </c>
      <c r="G332" s="2">
        <f t="shared" si="92"/>
        <v>587427514419.23987</v>
      </c>
      <c r="H332" s="42">
        <f t="shared" si="93"/>
        <v>-1298.4809999999998</v>
      </c>
      <c r="I332" s="2">
        <f t="shared" si="94"/>
        <v>1686052.9073609994</v>
      </c>
      <c r="J332" s="4">
        <f t="shared" si="95"/>
        <v>-522663.69680999918</v>
      </c>
      <c r="K332" s="2">
        <f t="shared" si="96"/>
        <v>273177339963.09476</v>
      </c>
      <c r="L332" s="2">
        <f t="shared" si="97"/>
        <v>678668879.69754446</v>
      </c>
      <c r="N332" s="42">
        <f t="shared" si="98"/>
        <v>960280.61082623305</v>
      </c>
      <c r="O332" s="42">
        <f t="shared" si="99"/>
        <v>108123438116.01768</v>
      </c>
      <c r="P332" s="4">
        <f t="shared" si="100"/>
        <v>-193842.4108262331</v>
      </c>
      <c r="Q332" s="4">
        <f t="shared" si="101"/>
        <v>37574880234.926132</v>
      </c>
      <c r="R332" s="43">
        <f t="shared" si="102"/>
        <v>1.2124025633738057E-3</v>
      </c>
      <c r="S332" s="4">
        <f t="shared" si="103"/>
        <v>-0.15939704666087404</v>
      </c>
      <c r="T332" s="30">
        <f t="shared" si="104"/>
        <v>877053.42275672825</v>
      </c>
      <c r="U332" s="31">
        <f t="shared" si="105"/>
        <v>1043507.7988957379</v>
      </c>
      <c r="V332" s="31">
        <f t="shared" si="106"/>
        <v>3351463.2893309384</v>
      </c>
      <c r="W332" s="42">
        <f t="shared" si="107"/>
        <v>3351970.7291180338</v>
      </c>
    </row>
    <row r="333" spans="2:23" x14ac:dyDescent="0.3">
      <c r="B333" s="2">
        <v>325</v>
      </c>
      <c r="C333" s="2">
        <v>5140</v>
      </c>
      <c r="D333" s="4">
        <v>243893.00000000003</v>
      </c>
      <c r="E333" s="4">
        <f t="shared" si="90"/>
        <v>1253610020.0000002</v>
      </c>
      <c r="F333" s="2">
        <f t="shared" si="91"/>
        <v>26419600</v>
      </c>
      <c r="G333" s="2">
        <f t="shared" si="92"/>
        <v>59483795449.000015</v>
      </c>
      <c r="H333" s="42">
        <f t="shared" si="93"/>
        <v>115.51900000000023</v>
      </c>
      <c r="I333" s="2">
        <f t="shared" si="94"/>
        <v>13344.639361000054</v>
      </c>
      <c r="J333" s="4">
        <f t="shared" si="95"/>
        <v>-1045208.8968099991</v>
      </c>
      <c r="K333" s="2">
        <f t="shared" si="96"/>
        <v>1092461637970.7754</v>
      </c>
      <c r="L333" s="2">
        <f t="shared" si="97"/>
        <v>-120741486.55059454</v>
      </c>
      <c r="N333" s="42">
        <f t="shared" si="98"/>
        <v>1318355.3908045657</v>
      </c>
      <c r="O333" s="42">
        <f t="shared" si="99"/>
        <v>855766910.89014482</v>
      </c>
      <c r="P333" s="4">
        <f t="shared" si="100"/>
        <v>-1074462.3908045657</v>
      </c>
      <c r="Q333" s="4">
        <f t="shared" si="101"/>
        <v>1154469429253.4634</v>
      </c>
      <c r="R333" s="43">
        <f t="shared" si="102"/>
        <v>1.0016811071557725E-3</v>
      </c>
      <c r="S333" s="4">
        <f t="shared" si="103"/>
        <v>-0.88343963192759412</v>
      </c>
      <c r="T333" s="30">
        <f t="shared" si="104"/>
        <v>1242705.807522675</v>
      </c>
      <c r="U333" s="31">
        <f t="shared" si="105"/>
        <v>1394004.9740864565</v>
      </c>
      <c r="V333" s="31">
        <f t="shared" si="106"/>
        <v>3709789.7945388965</v>
      </c>
      <c r="W333" s="42">
        <f t="shared" si="107"/>
        <v>3709793.8107835157</v>
      </c>
    </row>
    <row r="334" spans="2:23" x14ac:dyDescent="0.3">
      <c r="B334" s="2">
        <v>326</v>
      </c>
      <c r="C334" s="2">
        <v>9768</v>
      </c>
      <c r="D334" s="4">
        <v>2493575.04</v>
      </c>
      <c r="E334" s="4">
        <f t="shared" si="90"/>
        <v>24357240990.720001</v>
      </c>
      <c r="F334" s="2">
        <f t="shared" si="91"/>
        <v>95413824</v>
      </c>
      <c r="G334" s="2">
        <f t="shared" si="92"/>
        <v>6217916480111.002</v>
      </c>
      <c r="H334" s="42">
        <f t="shared" si="93"/>
        <v>4743.5190000000002</v>
      </c>
      <c r="I334" s="2">
        <f t="shared" si="94"/>
        <v>22500972.503361002</v>
      </c>
      <c r="J334" s="4">
        <f t="shared" si="95"/>
        <v>1204473.1431900009</v>
      </c>
      <c r="K334" s="2">
        <f t="shared" si="96"/>
        <v>1450755552666.0005</v>
      </c>
      <c r="L334" s="2">
        <f t="shared" si="97"/>
        <v>5713441239.7114906</v>
      </c>
      <c r="N334" s="42">
        <f t="shared" si="98"/>
        <v>2490328.5744960252</v>
      </c>
      <c r="O334" s="42">
        <f t="shared" si="99"/>
        <v>1442945531184.6079</v>
      </c>
      <c r="P334" s="4">
        <f t="shared" si="100"/>
        <v>3246.4655039748177</v>
      </c>
      <c r="Q334" s="4">
        <f t="shared" si="101"/>
        <v>10539538.268498467</v>
      </c>
      <c r="R334" s="43">
        <f t="shared" si="102"/>
        <v>3.8345873473198855E-3</v>
      </c>
      <c r="S334" s="4">
        <f t="shared" si="103"/>
        <v>2.6730870474231624E-3</v>
      </c>
      <c r="T334" s="30">
        <f t="shared" si="104"/>
        <v>2342315.1467705239</v>
      </c>
      <c r="U334" s="31">
        <f t="shared" si="105"/>
        <v>2638342.0022215266</v>
      </c>
      <c r="V334" s="31">
        <f t="shared" si="106"/>
        <v>4878376.6041695997</v>
      </c>
      <c r="W334" s="42">
        <f t="shared" si="107"/>
        <v>4885148.5743890749</v>
      </c>
    </row>
    <row r="335" spans="2:23" x14ac:dyDescent="0.3">
      <c r="B335" s="2">
        <v>327</v>
      </c>
      <c r="C335" s="2">
        <v>427</v>
      </c>
      <c r="D335" s="4">
        <v>186684.4</v>
      </c>
      <c r="E335" s="4">
        <f t="shared" si="90"/>
        <v>79714238.799999997</v>
      </c>
      <c r="F335" s="2">
        <f t="shared" si="91"/>
        <v>182329</v>
      </c>
      <c r="G335" s="2">
        <f t="shared" si="92"/>
        <v>34851065203.360001</v>
      </c>
      <c r="H335" s="42">
        <f t="shared" si="93"/>
        <v>-4597.4809999999998</v>
      </c>
      <c r="I335" s="2">
        <f t="shared" si="94"/>
        <v>21136831.545360997</v>
      </c>
      <c r="J335" s="4">
        <f t="shared" si="95"/>
        <v>-1102417.4968099992</v>
      </c>
      <c r="K335" s="2">
        <f t="shared" si="96"/>
        <v>1215324337272.8247</v>
      </c>
      <c r="L335" s="2">
        <f t="shared" si="97"/>
        <v>5068343495.6515322</v>
      </c>
      <c r="N335" s="42">
        <f t="shared" si="98"/>
        <v>124857.20265896322</v>
      </c>
      <c r="O335" s="42">
        <f t="shared" si="99"/>
        <v>1355465707858.8394</v>
      </c>
      <c r="P335" s="4">
        <f t="shared" si="100"/>
        <v>61827.197341036779</v>
      </c>
      <c r="Q335" s="4">
        <f t="shared" si="101"/>
        <v>3822602331.0475054</v>
      </c>
      <c r="R335" s="43">
        <f t="shared" si="102"/>
        <v>3.6627380328544752E-3</v>
      </c>
      <c r="S335" s="4">
        <f t="shared" si="103"/>
        <v>5.0903121146869332E-2</v>
      </c>
      <c r="T335" s="30">
        <f t="shared" si="104"/>
        <v>-19801.553925259068</v>
      </c>
      <c r="U335" s="31">
        <f t="shared" si="105"/>
        <v>269515.95924318547</v>
      </c>
      <c r="V335" s="31">
        <f t="shared" si="106"/>
        <v>2513110.7928286511</v>
      </c>
      <c r="W335" s="42">
        <f t="shared" si="107"/>
        <v>2519472.2057350711</v>
      </c>
    </row>
    <row r="336" spans="2:23" x14ac:dyDescent="0.3">
      <c r="B336" s="2">
        <v>328</v>
      </c>
      <c r="C336" s="2">
        <v>1965</v>
      </c>
      <c r="D336" s="4">
        <v>299819.7</v>
      </c>
      <c r="E336" s="4">
        <f t="shared" si="90"/>
        <v>589145710.5</v>
      </c>
      <c r="F336" s="2">
        <f t="shared" si="91"/>
        <v>3861225</v>
      </c>
      <c r="G336" s="2">
        <f t="shared" si="92"/>
        <v>89891852508.090012</v>
      </c>
      <c r="H336" s="42">
        <f t="shared" si="93"/>
        <v>-3059.4809999999998</v>
      </c>
      <c r="I336" s="2">
        <f t="shared" si="94"/>
        <v>9360423.9893609993</v>
      </c>
      <c r="J336" s="4">
        <f t="shared" si="95"/>
        <v>-989282.19680999918</v>
      </c>
      <c r="K336" s="2">
        <f t="shared" si="96"/>
        <v>978679264925.2179</v>
      </c>
      <c r="L336" s="2">
        <f t="shared" si="97"/>
        <v>3026690084.7784529</v>
      </c>
      <c r="N336" s="42">
        <f t="shared" si="98"/>
        <v>514333.16560569283</v>
      </c>
      <c r="O336" s="42">
        <f t="shared" si="99"/>
        <v>600266586851.93054</v>
      </c>
      <c r="P336" s="4">
        <f t="shared" si="100"/>
        <v>-214513.46560569282</v>
      </c>
      <c r="Q336" s="4">
        <f t="shared" si="101"/>
        <v>46016026926.164757</v>
      </c>
      <c r="R336" s="43">
        <f t="shared" si="102"/>
        <v>2.1791907839462917E-3</v>
      </c>
      <c r="S336" s="4">
        <f t="shared" si="103"/>
        <v>-0.17648033488796969</v>
      </c>
      <c r="T336" s="30">
        <f t="shared" si="104"/>
        <v>402752.37724618078</v>
      </c>
      <c r="U336" s="31">
        <f t="shared" si="105"/>
        <v>625913.95396520488</v>
      </c>
      <c r="V336" s="31">
        <f t="shared" si="106"/>
        <v>2904360.591072598</v>
      </c>
      <c r="W336" s="42">
        <f t="shared" si="107"/>
        <v>2907177.7341958932</v>
      </c>
    </row>
    <row r="337" spans="2:23" x14ac:dyDescent="0.3">
      <c r="B337" s="2">
        <v>329</v>
      </c>
      <c r="C337" s="2">
        <v>6263</v>
      </c>
      <c r="D337" s="4">
        <v>684420.64</v>
      </c>
      <c r="E337" s="4">
        <f t="shared" si="90"/>
        <v>4286526468.3200002</v>
      </c>
      <c r="F337" s="2">
        <f t="shared" si="91"/>
        <v>39225169</v>
      </c>
      <c r="G337" s="2">
        <f t="shared" si="92"/>
        <v>468431612458.00964</v>
      </c>
      <c r="H337" s="42">
        <f t="shared" si="93"/>
        <v>1238.5190000000002</v>
      </c>
      <c r="I337" s="2">
        <f t="shared" si="94"/>
        <v>1533929.3133610005</v>
      </c>
      <c r="J337" s="4">
        <f t="shared" si="95"/>
        <v>-604681.25680999912</v>
      </c>
      <c r="K337" s="2">
        <f t="shared" si="96"/>
        <v>365639422337.32013</v>
      </c>
      <c r="L337" s="2">
        <f t="shared" si="97"/>
        <v>-748909225.50306344</v>
      </c>
      <c r="N337" s="42">
        <f t="shared" si="98"/>
        <v>1602738.6849457733</v>
      </c>
      <c r="O337" s="42">
        <f t="shared" si="99"/>
        <v>98368034872.124512</v>
      </c>
      <c r="P337" s="4">
        <f t="shared" si="100"/>
        <v>-918318.04494577332</v>
      </c>
      <c r="Q337" s="4">
        <f t="shared" si="101"/>
        <v>843308031673.02734</v>
      </c>
      <c r="R337" s="43">
        <f t="shared" si="102"/>
        <v>1.1932386088062059E-3</v>
      </c>
      <c r="S337" s="4">
        <f t="shared" si="103"/>
        <v>-0.7551277317003372</v>
      </c>
      <c r="T337" s="30">
        <f t="shared" si="104"/>
        <v>1520171.8860648542</v>
      </c>
      <c r="U337" s="31">
        <f t="shared" si="105"/>
        <v>1685305.4838266924</v>
      </c>
      <c r="V337" s="31">
        <f t="shared" si="106"/>
        <v>3993944.2575675528</v>
      </c>
      <c r="W337" s="42">
        <f t="shared" si="107"/>
        <v>3994405.9137587901</v>
      </c>
    </row>
    <row r="338" spans="2:23" x14ac:dyDescent="0.3">
      <c r="B338" s="2">
        <v>330</v>
      </c>
      <c r="C338" s="2">
        <v>7232</v>
      </c>
      <c r="D338" s="4">
        <v>3161830.4</v>
      </c>
      <c r="E338" s="4">
        <f t="shared" si="90"/>
        <v>22866357452.799999</v>
      </c>
      <c r="F338" s="2">
        <f t="shared" si="91"/>
        <v>52301824</v>
      </c>
      <c r="G338" s="2">
        <f t="shared" si="92"/>
        <v>9997171478364.1602</v>
      </c>
      <c r="H338" s="42">
        <f t="shared" si="93"/>
        <v>2207.5190000000002</v>
      </c>
      <c r="I338" s="2">
        <f t="shared" si="94"/>
        <v>4873140.1353610009</v>
      </c>
      <c r="J338" s="4">
        <f t="shared" si="95"/>
        <v>1872728.5031900008</v>
      </c>
      <c r="K338" s="2">
        <f t="shared" si="96"/>
        <v>3507112046660.2607</v>
      </c>
      <c r="L338" s="2">
        <f t="shared" si="97"/>
        <v>4134083752.6334877</v>
      </c>
      <c r="N338" s="42">
        <f t="shared" si="98"/>
        <v>1848123.7357230042</v>
      </c>
      <c r="O338" s="42">
        <f t="shared" si="99"/>
        <v>312505416381.6778</v>
      </c>
      <c r="P338" s="4">
        <f t="shared" si="100"/>
        <v>1313706.6642769957</v>
      </c>
      <c r="Q338" s="4">
        <f t="shared" si="101"/>
        <v>1725825199765.791</v>
      </c>
      <c r="R338" s="43">
        <f t="shared" si="102"/>
        <v>1.6138997488818624E-3</v>
      </c>
      <c r="S338" s="4">
        <f t="shared" si="103"/>
        <v>1.0804811095834381</v>
      </c>
      <c r="T338" s="30">
        <f t="shared" si="104"/>
        <v>1752099.6732221243</v>
      </c>
      <c r="U338" s="31">
        <f t="shared" si="105"/>
        <v>1944147.7982238841</v>
      </c>
      <c r="V338" s="31">
        <f t="shared" si="106"/>
        <v>4238826.7173239645</v>
      </c>
      <c r="W338" s="42">
        <f t="shared" si="107"/>
        <v>4240293.3529700469</v>
      </c>
    </row>
    <row r="339" spans="2:23" x14ac:dyDescent="0.3">
      <c r="B339" s="2">
        <v>331</v>
      </c>
      <c r="C339" s="2">
        <v>5813</v>
      </c>
      <c r="D339" s="4">
        <v>2452446.5699999998</v>
      </c>
      <c r="E339" s="4">
        <f t="shared" si="90"/>
        <v>14256071911.41</v>
      </c>
      <c r="F339" s="2">
        <f t="shared" si="91"/>
        <v>33790969</v>
      </c>
      <c r="G339" s="2">
        <f t="shared" si="92"/>
        <v>6014494178704.7637</v>
      </c>
      <c r="H339" s="42">
        <f t="shared" si="93"/>
        <v>788.51900000000023</v>
      </c>
      <c r="I339" s="2">
        <f t="shared" si="94"/>
        <v>621762.21336100041</v>
      </c>
      <c r="J339" s="4">
        <f t="shared" si="95"/>
        <v>1163344.6731900007</v>
      </c>
      <c r="K339" s="2">
        <f t="shared" si="96"/>
        <v>1353370828639.5496</v>
      </c>
      <c r="L339" s="2">
        <f t="shared" si="97"/>
        <v>917319378.35910642</v>
      </c>
      <c r="N339" s="42">
        <f t="shared" si="98"/>
        <v>1488782.7790120749</v>
      </c>
      <c r="O339" s="42">
        <f t="shared" si="99"/>
        <v>39872454716.999268</v>
      </c>
      <c r="P339" s="4">
        <f t="shared" si="100"/>
        <v>963663.79098792491</v>
      </c>
      <c r="Q339" s="4">
        <f t="shared" si="101"/>
        <v>928647902061.21899</v>
      </c>
      <c r="R339" s="43">
        <f t="shared" si="102"/>
        <v>1.0783272502009164E-3</v>
      </c>
      <c r="S339" s="4">
        <f t="shared" si="103"/>
        <v>0.79236970284725705</v>
      </c>
      <c r="T339" s="30">
        <f t="shared" si="104"/>
        <v>1410292.2802255694</v>
      </c>
      <c r="U339" s="31">
        <f t="shared" si="105"/>
        <v>1567273.2777985805</v>
      </c>
      <c r="V339" s="31">
        <f t="shared" si="106"/>
        <v>3880125.6252838382</v>
      </c>
      <c r="W339" s="42">
        <f t="shared" si="107"/>
        <v>3880312.752794642</v>
      </c>
    </row>
    <row r="340" spans="2:23" x14ac:dyDescent="0.3">
      <c r="B340" s="2">
        <v>332</v>
      </c>
      <c r="C340" s="2">
        <v>4982</v>
      </c>
      <c r="D340" s="4">
        <v>236395.90000000002</v>
      </c>
      <c r="E340" s="4">
        <f t="shared" si="90"/>
        <v>1177724373.8000002</v>
      </c>
      <c r="F340" s="2">
        <f t="shared" si="91"/>
        <v>24820324</v>
      </c>
      <c r="G340" s="2">
        <f t="shared" si="92"/>
        <v>55883021536.810013</v>
      </c>
      <c r="H340" s="42">
        <f t="shared" si="93"/>
        <v>-42.480999999999767</v>
      </c>
      <c r="I340" s="2">
        <f t="shared" si="94"/>
        <v>1804.6353609999803</v>
      </c>
      <c r="J340" s="4">
        <f t="shared" si="95"/>
        <v>-1052705.996809999</v>
      </c>
      <c r="K340" s="2">
        <f t="shared" si="96"/>
        <v>1108189915719.7336</v>
      </c>
      <c r="L340" s="2">
        <f t="shared" si="97"/>
        <v>44720003.450485319</v>
      </c>
      <c r="N340" s="42">
        <f t="shared" si="98"/>
        <v>1278344.2060545115</v>
      </c>
      <c r="O340" s="42">
        <f t="shared" si="99"/>
        <v>115727910.3907045</v>
      </c>
      <c r="P340" s="4">
        <f t="shared" si="100"/>
        <v>-1041948.3060545115</v>
      </c>
      <c r="Q340" s="4">
        <f t="shared" si="101"/>
        <v>1085656272489.8658</v>
      </c>
      <c r="R340" s="43">
        <f t="shared" si="102"/>
        <v>1.0002273411320356E-3</v>
      </c>
      <c r="S340" s="4">
        <f t="shared" si="103"/>
        <v>-0.8567054241277553</v>
      </c>
      <c r="T340" s="30">
        <f t="shared" si="104"/>
        <v>1202749.5388158264</v>
      </c>
      <c r="U340" s="31">
        <f t="shared" si="105"/>
        <v>1353938.8732931965</v>
      </c>
      <c r="V340" s="31">
        <f t="shared" si="106"/>
        <v>3669780.3463476128</v>
      </c>
      <c r="W340" s="42">
        <f t="shared" si="107"/>
        <v>3669780.8894763454</v>
      </c>
    </row>
    <row r="341" spans="2:23" x14ac:dyDescent="0.3">
      <c r="B341" s="2">
        <v>333</v>
      </c>
      <c r="C341" s="2">
        <v>4742</v>
      </c>
      <c r="D341" s="4">
        <v>723534.3600000001</v>
      </c>
      <c r="E341" s="4">
        <f t="shared" si="90"/>
        <v>3430999935.1200004</v>
      </c>
      <c r="F341" s="2">
        <f t="shared" si="91"/>
        <v>22486564</v>
      </c>
      <c r="G341" s="2">
        <f t="shared" si="92"/>
        <v>523501970100.60974</v>
      </c>
      <c r="H341" s="42">
        <f t="shared" si="93"/>
        <v>-282.48099999999977</v>
      </c>
      <c r="I341" s="2">
        <f t="shared" si="94"/>
        <v>79795.515360999867</v>
      </c>
      <c r="J341" s="4">
        <f t="shared" si="95"/>
        <v>-565567.53680999903</v>
      </c>
      <c r="K341" s="2">
        <f t="shared" si="96"/>
        <v>319866638693.32959</v>
      </c>
      <c r="L341" s="2">
        <f t="shared" si="97"/>
        <v>159762083.3656252</v>
      </c>
      <c r="N341" s="42">
        <f t="shared" si="98"/>
        <v>1217567.7228898723</v>
      </c>
      <c r="O341" s="42">
        <f t="shared" si="99"/>
        <v>5117138038.4349585</v>
      </c>
      <c r="P341" s="4">
        <f t="shared" si="100"/>
        <v>-494033.36288987217</v>
      </c>
      <c r="Q341" s="4">
        <f t="shared" si="101"/>
        <v>244068963648.27612</v>
      </c>
      <c r="R341" s="43">
        <f t="shared" si="102"/>
        <v>1.0100523369903846E-3</v>
      </c>
      <c r="S341" s="4">
        <f t="shared" si="103"/>
        <v>-0.4062035904241903</v>
      </c>
      <c r="T341" s="30">
        <f t="shared" si="104"/>
        <v>1141602.6886949467</v>
      </c>
      <c r="U341" s="31">
        <f t="shared" si="105"/>
        <v>1293532.7570847978</v>
      </c>
      <c r="V341" s="31">
        <f t="shared" si="106"/>
        <v>3608992.1269626119</v>
      </c>
      <c r="W341" s="42">
        <f t="shared" si="107"/>
        <v>3609016.1424718061</v>
      </c>
    </row>
    <row r="342" spans="2:23" x14ac:dyDescent="0.3">
      <c r="B342" s="2">
        <v>334</v>
      </c>
      <c r="C342" s="2">
        <v>7129</v>
      </c>
      <c r="D342" s="4">
        <v>3116798.8</v>
      </c>
      <c r="E342" s="4">
        <f t="shared" si="90"/>
        <v>22219658645.199997</v>
      </c>
      <c r="F342" s="2">
        <f t="shared" si="91"/>
        <v>50822641</v>
      </c>
      <c r="G342" s="2">
        <f t="shared" si="92"/>
        <v>9714434759681.4395</v>
      </c>
      <c r="H342" s="42">
        <f t="shared" si="93"/>
        <v>2104.5190000000002</v>
      </c>
      <c r="I342" s="2">
        <f t="shared" si="94"/>
        <v>4429000.221361001</v>
      </c>
      <c r="J342" s="4">
        <f t="shared" si="95"/>
        <v>1827696.9031900007</v>
      </c>
      <c r="K342" s="2">
        <f t="shared" si="96"/>
        <v>3340475969930.3188</v>
      </c>
      <c r="L342" s="2">
        <f t="shared" si="97"/>
        <v>3846422859.0045176</v>
      </c>
      <c r="N342" s="42">
        <f t="shared" si="98"/>
        <v>1822040.4950315133</v>
      </c>
      <c r="O342" s="42">
        <f t="shared" si="99"/>
        <v>284023549474.3125</v>
      </c>
      <c r="P342" s="4">
        <f t="shared" si="100"/>
        <v>1294758.3049684865</v>
      </c>
      <c r="Q342" s="4">
        <f t="shared" si="101"/>
        <v>1676399068284.8684</v>
      </c>
      <c r="R342" s="43">
        <f t="shared" si="102"/>
        <v>1.5579486836345229E-3</v>
      </c>
      <c r="S342" s="4">
        <f t="shared" si="103"/>
        <v>1.0648668608553911</v>
      </c>
      <c r="T342" s="30">
        <f t="shared" si="104"/>
        <v>1727695.607073084</v>
      </c>
      <c r="U342" s="31">
        <f t="shared" si="105"/>
        <v>1916385.3829899426</v>
      </c>
      <c r="V342" s="31">
        <f t="shared" si="106"/>
        <v>4212810.3310740814</v>
      </c>
      <c r="W342" s="42">
        <f t="shared" si="107"/>
        <v>4214143.2969580069</v>
      </c>
    </row>
    <row r="343" spans="2:23" x14ac:dyDescent="0.3">
      <c r="B343" s="2">
        <v>335</v>
      </c>
      <c r="C343" s="2">
        <v>1212</v>
      </c>
      <c r="D343" s="4">
        <v>249308.4</v>
      </c>
      <c r="E343" s="4">
        <f t="shared" si="90"/>
        <v>302161780.80000001</v>
      </c>
      <c r="F343" s="2">
        <f t="shared" si="91"/>
        <v>1468944</v>
      </c>
      <c r="G343" s="2">
        <f t="shared" si="92"/>
        <v>62154678310.559998</v>
      </c>
      <c r="H343" s="42">
        <f t="shared" si="93"/>
        <v>-3812.4809999999998</v>
      </c>
      <c r="I343" s="2">
        <f t="shared" si="94"/>
        <v>14535011.375360997</v>
      </c>
      <c r="J343" s="4">
        <f t="shared" si="95"/>
        <v>-1039793.4968099991</v>
      </c>
      <c r="K343" s="2">
        <f t="shared" si="96"/>
        <v>1081170516008.3656</v>
      </c>
      <c r="L343" s="2">
        <f t="shared" si="97"/>
        <v>3964192950.511682</v>
      </c>
      <c r="N343" s="42">
        <f t="shared" si="98"/>
        <v>323646.9496766373</v>
      </c>
      <c r="O343" s="42">
        <f t="shared" si="99"/>
        <v>932103254944.28247</v>
      </c>
      <c r="P343" s="4">
        <f t="shared" si="100"/>
        <v>-74338.549676637311</v>
      </c>
      <c r="Q343" s="4">
        <f t="shared" si="101"/>
        <v>5526219968.0258732</v>
      </c>
      <c r="R343" s="43">
        <f t="shared" si="102"/>
        <v>2.8310657164526856E-3</v>
      </c>
      <c r="S343" s="4">
        <f t="shared" si="103"/>
        <v>-6.1178348936771591E-2</v>
      </c>
      <c r="T343" s="30">
        <f t="shared" si="104"/>
        <v>196467.54900461587</v>
      </c>
      <c r="U343" s="31">
        <f t="shared" si="105"/>
        <v>450826.35034865874</v>
      </c>
      <c r="V343" s="31">
        <f t="shared" si="106"/>
        <v>2712895.1090061786</v>
      </c>
      <c r="W343" s="42">
        <f t="shared" si="107"/>
        <v>2717269.6135599799</v>
      </c>
    </row>
    <row r="344" spans="2:23" x14ac:dyDescent="0.3">
      <c r="B344" s="2">
        <v>336</v>
      </c>
      <c r="C344" s="2">
        <v>8088</v>
      </c>
      <c r="D344" s="4">
        <v>3412246.32</v>
      </c>
      <c r="E344" s="4">
        <f t="shared" si="90"/>
        <v>27598248236.16</v>
      </c>
      <c r="F344" s="2">
        <f t="shared" si="91"/>
        <v>65415744</v>
      </c>
      <c r="G344" s="2">
        <f t="shared" si="92"/>
        <v>11643424948353.541</v>
      </c>
      <c r="H344" s="42">
        <f t="shared" si="93"/>
        <v>3063.5190000000002</v>
      </c>
      <c r="I344" s="2">
        <f t="shared" si="94"/>
        <v>9385148.6633610018</v>
      </c>
      <c r="J344" s="4">
        <f t="shared" si="95"/>
        <v>2123144.4231900005</v>
      </c>
      <c r="K344" s="2">
        <f t="shared" si="96"/>
        <v>4507742241722.7998</v>
      </c>
      <c r="L344" s="2">
        <f t="shared" si="97"/>
        <v>6504293280.1866074</v>
      </c>
      <c r="N344" s="42">
        <f t="shared" si="98"/>
        <v>2064893.1923435507</v>
      </c>
      <c r="O344" s="42">
        <f t="shared" si="99"/>
        <v>601852134225.62634</v>
      </c>
      <c r="P344" s="4">
        <f t="shared" si="100"/>
        <v>1347353.1276564491</v>
      </c>
      <c r="Q344" s="4">
        <f t="shared" si="101"/>
        <v>1815360450605.6157</v>
      </c>
      <c r="R344" s="43">
        <f t="shared" si="102"/>
        <v>2.1823055047912043E-3</v>
      </c>
      <c r="S344" s="4">
        <f t="shared" si="103"/>
        <v>1.108469818575798</v>
      </c>
      <c r="T344" s="30">
        <f t="shared" si="104"/>
        <v>1953232.6911583692</v>
      </c>
      <c r="U344" s="31">
        <f t="shared" si="105"/>
        <v>2176553.6935287323</v>
      </c>
      <c r="V344" s="31">
        <f t="shared" si="106"/>
        <v>4454916.8950063437</v>
      </c>
      <c r="W344" s="42">
        <f t="shared" si="107"/>
        <v>4457741.4793491475</v>
      </c>
    </row>
    <row r="345" spans="2:23" x14ac:dyDescent="0.3">
      <c r="B345" s="2">
        <v>337</v>
      </c>
      <c r="C345" s="2">
        <v>5889</v>
      </c>
      <c r="D345" s="4">
        <v>907259.34</v>
      </c>
      <c r="E345" s="4">
        <f t="shared" si="90"/>
        <v>5342850253.2600002</v>
      </c>
      <c r="F345" s="2">
        <f t="shared" si="91"/>
        <v>34680321</v>
      </c>
      <c r="G345" s="2">
        <f t="shared" si="92"/>
        <v>823119510017.2356</v>
      </c>
      <c r="H345" s="42">
        <f t="shared" si="93"/>
        <v>864.51900000000023</v>
      </c>
      <c r="I345" s="2">
        <f t="shared" si="94"/>
        <v>747393.10136100044</v>
      </c>
      <c r="J345" s="4">
        <f t="shared" si="95"/>
        <v>-381842.55680999917</v>
      </c>
      <c r="K345" s="2">
        <f t="shared" si="96"/>
        <v>145803738191.19745</v>
      </c>
      <c r="L345" s="2">
        <f t="shared" si="97"/>
        <v>-330110145.37082374</v>
      </c>
      <c r="N345" s="42">
        <f t="shared" si="98"/>
        <v>1508028.665347544</v>
      </c>
      <c r="O345" s="42">
        <f t="shared" si="99"/>
        <v>47928929982.291748</v>
      </c>
      <c r="P345" s="4">
        <f t="shared" si="100"/>
        <v>-600769.32534754404</v>
      </c>
      <c r="Q345" s="4">
        <f t="shared" si="101"/>
        <v>360923782278.54321</v>
      </c>
      <c r="R345" s="43">
        <f t="shared" si="102"/>
        <v>1.0941537539444399E-3</v>
      </c>
      <c r="S345" s="4">
        <f t="shared" si="103"/>
        <v>-0.49398471471572925</v>
      </c>
      <c r="T345" s="30">
        <f t="shared" si="104"/>
        <v>1428964.2659686957</v>
      </c>
      <c r="U345" s="31">
        <f t="shared" si="105"/>
        <v>1587093.0647263923</v>
      </c>
      <c r="V345" s="31">
        <f t="shared" si="106"/>
        <v>3899352.6056713467</v>
      </c>
      <c r="W345" s="42">
        <f t="shared" si="107"/>
        <v>3899577.5434493134</v>
      </c>
    </row>
    <row r="346" spans="2:23" x14ac:dyDescent="0.3">
      <c r="B346" s="2">
        <v>338</v>
      </c>
      <c r="C346" s="2">
        <v>4773</v>
      </c>
      <c r="D346" s="4">
        <v>735328.38</v>
      </c>
      <c r="E346" s="4">
        <f t="shared" si="90"/>
        <v>3509722357.7400002</v>
      </c>
      <c r="F346" s="2">
        <f t="shared" si="91"/>
        <v>22781529</v>
      </c>
      <c r="G346" s="2">
        <f t="shared" si="92"/>
        <v>540707826433.42438</v>
      </c>
      <c r="H346" s="42">
        <f t="shared" si="93"/>
        <v>-251.48099999999977</v>
      </c>
      <c r="I346" s="2">
        <f t="shared" si="94"/>
        <v>63242.693360999881</v>
      </c>
      <c r="J346" s="4">
        <f t="shared" si="95"/>
        <v>-553773.51680999913</v>
      </c>
      <c r="K346" s="2">
        <f t="shared" si="96"/>
        <v>306665107920.11438</v>
      </c>
      <c r="L346" s="2">
        <f t="shared" si="97"/>
        <v>139263517.78089526</v>
      </c>
      <c r="N346" s="42">
        <f t="shared" si="98"/>
        <v>1225418.0186319717</v>
      </c>
      <c r="O346" s="42">
        <f t="shared" si="99"/>
        <v>4055636339.7938418</v>
      </c>
      <c r="P346" s="4">
        <f t="shared" si="100"/>
        <v>-490089.63863197167</v>
      </c>
      <c r="Q346" s="4">
        <f t="shared" si="101"/>
        <v>240187853894.41656</v>
      </c>
      <c r="R346" s="43">
        <f t="shared" si="102"/>
        <v>1.0079670751290746E-3</v>
      </c>
      <c r="S346" s="4">
        <f t="shared" si="103"/>
        <v>-0.40296056506181466</v>
      </c>
      <c r="T346" s="30">
        <f t="shared" si="104"/>
        <v>1149531.4401890168</v>
      </c>
      <c r="U346" s="31">
        <f t="shared" si="105"/>
        <v>1301304.5970749266</v>
      </c>
      <c r="V346" s="31">
        <f t="shared" si="106"/>
        <v>3616844.9136105981</v>
      </c>
      <c r="W346" s="42">
        <f t="shared" si="107"/>
        <v>3616863.9473304385</v>
      </c>
    </row>
    <row r="347" spans="2:23" x14ac:dyDescent="0.3">
      <c r="B347" s="2">
        <v>339</v>
      </c>
      <c r="C347" s="2">
        <v>1935</v>
      </c>
      <c r="D347" s="4">
        <v>18053.55</v>
      </c>
      <c r="E347" s="4">
        <f t="shared" si="90"/>
        <v>34933619.25</v>
      </c>
      <c r="F347" s="2">
        <f t="shared" si="91"/>
        <v>3744225</v>
      </c>
      <c r="G347" s="2">
        <f t="shared" si="92"/>
        <v>325930667.60249996</v>
      </c>
      <c r="H347" s="42">
        <f t="shared" si="93"/>
        <v>-3089.4809999999998</v>
      </c>
      <c r="I347" s="2">
        <f t="shared" si="94"/>
        <v>9544892.8493609987</v>
      </c>
      <c r="J347" s="4">
        <f t="shared" si="95"/>
        <v>-1271048.3468099991</v>
      </c>
      <c r="K347" s="2">
        <f t="shared" si="96"/>
        <v>1615563899928.4316</v>
      </c>
      <c r="L347" s="2">
        <f t="shared" si="97"/>
        <v>3926879717.5509024</v>
      </c>
      <c r="N347" s="42">
        <f t="shared" si="98"/>
        <v>506736.10521011293</v>
      </c>
      <c r="O347" s="42">
        <f t="shared" si="99"/>
        <v>612096231865.71667</v>
      </c>
      <c r="P347" s="4">
        <f t="shared" si="100"/>
        <v>-488682.55521011294</v>
      </c>
      <c r="Q347" s="4">
        <f t="shared" si="101"/>
        <v>238810639766.68509</v>
      </c>
      <c r="R347" s="43">
        <f t="shared" si="102"/>
        <v>2.2024294726941855E-3</v>
      </c>
      <c r="S347" s="4">
        <f t="shared" si="103"/>
        <v>-0.402044063040158</v>
      </c>
      <c r="T347" s="30">
        <f t="shared" si="104"/>
        <v>394561.95095748763</v>
      </c>
      <c r="U347" s="31">
        <f t="shared" si="105"/>
        <v>618910.25946273818</v>
      </c>
      <c r="V347" s="31">
        <f t="shared" si="106"/>
        <v>2896735.7549867821</v>
      </c>
      <c r="W347" s="42">
        <f t="shared" si="107"/>
        <v>2899608.4164676499</v>
      </c>
    </row>
    <row r="348" spans="2:23" x14ac:dyDescent="0.3">
      <c r="B348" s="2">
        <v>340</v>
      </c>
      <c r="C348" s="2">
        <v>6598</v>
      </c>
      <c r="D348" s="4">
        <v>721029.44000000006</v>
      </c>
      <c r="E348" s="4">
        <f t="shared" si="90"/>
        <v>4757352245.1200008</v>
      </c>
      <c r="F348" s="2">
        <f t="shared" si="91"/>
        <v>43533604</v>
      </c>
      <c r="G348" s="2">
        <f t="shared" si="92"/>
        <v>519883453346.71368</v>
      </c>
      <c r="H348" s="42">
        <f t="shared" si="93"/>
        <v>1573.5190000000002</v>
      </c>
      <c r="I348" s="2">
        <f t="shared" si="94"/>
        <v>2475962.0433610007</v>
      </c>
      <c r="J348" s="4">
        <f t="shared" si="95"/>
        <v>-568072.45680999907</v>
      </c>
      <c r="K348" s="2">
        <f t="shared" si="96"/>
        <v>322706316186.14825</v>
      </c>
      <c r="L348" s="2">
        <f t="shared" si="97"/>
        <v>-893872804.16721308</v>
      </c>
      <c r="N348" s="42">
        <f t="shared" si="98"/>
        <v>1687572.5260297488</v>
      </c>
      <c r="O348" s="42">
        <f t="shared" si="99"/>
        <v>158778842350.78326</v>
      </c>
      <c r="P348" s="4">
        <f t="shared" si="100"/>
        <v>-966543.08602974878</v>
      </c>
      <c r="Q348" s="4">
        <f t="shared" si="101"/>
        <v>934205537151.9104</v>
      </c>
      <c r="R348" s="43">
        <f t="shared" si="102"/>
        <v>1.311912326434204E-3</v>
      </c>
      <c r="S348" s="4">
        <f t="shared" si="103"/>
        <v>-0.79483013055312834</v>
      </c>
      <c r="T348" s="30">
        <f t="shared" si="104"/>
        <v>1600997.1861742768</v>
      </c>
      <c r="U348" s="31">
        <f t="shared" si="105"/>
        <v>1774147.8658852209</v>
      </c>
      <c r="V348" s="31">
        <f t="shared" si="106"/>
        <v>4078636.3221974303</v>
      </c>
      <c r="W348" s="42">
        <f t="shared" si="107"/>
        <v>4079381.4955278947</v>
      </c>
    </row>
    <row r="349" spans="2:23" x14ac:dyDescent="0.3">
      <c r="B349" s="2">
        <v>341</v>
      </c>
      <c r="C349" s="2">
        <v>5017</v>
      </c>
      <c r="D349" s="4">
        <v>2116622.13</v>
      </c>
      <c r="E349" s="4">
        <f t="shared" si="90"/>
        <v>10619093226.209999</v>
      </c>
      <c r="F349" s="2">
        <f t="shared" si="91"/>
        <v>25170289</v>
      </c>
      <c r="G349" s="2">
        <f t="shared" si="92"/>
        <v>4480089241205.7363</v>
      </c>
      <c r="H349" s="42">
        <f t="shared" si="93"/>
        <v>-7.4809999999997672</v>
      </c>
      <c r="I349" s="2">
        <f t="shared" si="94"/>
        <v>55.96536099999652</v>
      </c>
      <c r="J349" s="4">
        <f t="shared" si="95"/>
        <v>827520.23319000076</v>
      </c>
      <c r="K349" s="2">
        <f t="shared" si="96"/>
        <v>684789736338.83325</v>
      </c>
      <c r="L349" s="2">
        <f t="shared" si="97"/>
        <v>-6190678.8644942027</v>
      </c>
      <c r="N349" s="42">
        <f t="shared" si="98"/>
        <v>1287207.4431826882</v>
      </c>
      <c r="O349" s="42">
        <f t="shared" si="99"/>
        <v>3588954.5460315254</v>
      </c>
      <c r="P349" s="4">
        <f t="shared" si="100"/>
        <v>829414.68681731168</v>
      </c>
      <c r="Q349" s="4">
        <f t="shared" si="101"/>
        <v>687928722708.25928</v>
      </c>
      <c r="R349" s="43">
        <f t="shared" si="102"/>
        <v>1.0000070503043438E-3</v>
      </c>
      <c r="S349" s="4">
        <f t="shared" si="103"/>
        <v>0.68195704007096747</v>
      </c>
      <c r="T349" s="30">
        <f t="shared" si="104"/>
        <v>1211621.1009158061</v>
      </c>
      <c r="U349" s="31">
        <f t="shared" si="105"/>
        <v>1362793.7854495703</v>
      </c>
      <c r="V349" s="31">
        <f t="shared" si="106"/>
        <v>3678643.8466184158</v>
      </c>
      <c r="W349" s="42">
        <f t="shared" si="107"/>
        <v>3678643.8634619266</v>
      </c>
    </row>
    <row r="350" spans="2:23" x14ac:dyDescent="0.3">
      <c r="B350" s="2">
        <v>342</v>
      </c>
      <c r="C350" s="2">
        <v>5477</v>
      </c>
      <c r="D350" s="4">
        <v>598526.56000000006</v>
      </c>
      <c r="E350" s="4">
        <f t="shared" si="90"/>
        <v>3278129969.1200004</v>
      </c>
      <c r="F350" s="2">
        <f t="shared" si="91"/>
        <v>29997529</v>
      </c>
      <c r="G350" s="2">
        <f t="shared" si="92"/>
        <v>358234043025.43365</v>
      </c>
      <c r="H350" s="42">
        <f t="shared" si="93"/>
        <v>452.51900000000023</v>
      </c>
      <c r="I350" s="2">
        <f t="shared" si="94"/>
        <v>204773.44536100022</v>
      </c>
      <c r="J350" s="4">
        <f t="shared" si="95"/>
        <v>-690575.33680999908</v>
      </c>
      <c r="K350" s="2">
        <f t="shared" si="96"/>
        <v>476894295810.24365</v>
      </c>
      <c r="L350" s="2">
        <f t="shared" si="97"/>
        <v>-312498460.83792412</v>
      </c>
      <c r="N350" s="42">
        <f t="shared" si="98"/>
        <v>1403695.70258158</v>
      </c>
      <c r="O350" s="42">
        <f t="shared" si="99"/>
        <v>13131740321.214808</v>
      </c>
      <c r="P350" s="4">
        <f t="shared" si="100"/>
        <v>-805169.14258157997</v>
      </c>
      <c r="Q350" s="4">
        <f t="shared" si="101"/>
        <v>648297348165.55664</v>
      </c>
      <c r="R350" s="43">
        <f t="shared" si="102"/>
        <v>1.0257965835565857E-3</v>
      </c>
      <c r="S350" s="4">
        <f t="shared" si="103"/>
        <v>-0.6620305398262073</v>
      </c>
      <c r="T350" s="30">
        <f t="shared" si="104"/>
        <v>1327140.9031670301</v>
      </c>
      <c r="U350" s="31">
        <f t="shared" si="105"/>
        <v>1480250.50199613</v>
      </c>
      <c r="V350" s="31">
        <f t="shared" si="106"/>
        <v>3795101.2996105514</v>
      </c>
      <c r="W350" s="42">
        <f t="shared" si="107"/>
        <v>3795162.9288705159</v>
      </c>
    </row>
    <row r="351" spans="2:23" x14ac:dyDescent="0.3">
      <c r="B351" s="2">
        <v>343</v>
      </c>
      <c r="C351" s="2">
        <v>3296</v>
      </c>
      <c r="D351" s="4">
        <v>1441011.2</v>
      </c>
      <c r="E351" s="4">
        <f t="shared" si="90"/>
        <v>4749572915.1999998</v>
      </c>
      <c r="F351" s="2">
        <f t="shared" si="91"/>
        <v>10863616</v>
      </c>
      <c r="G351" s="2">
        <f t="shared" si="92"/>
        <v>2076513278525.4399</v>
      </c>
      <c r="H351" s="42">
        <f t="shared" si="93"/>
        <v>-1728.4809999999998</v>
      </c>
      <c r="I351" s="2">
        <f t="shared" si="94"/>
        <v>2987646.5673609991</v>
      </c>
      <c r="J351" s="4">
        <f t="shared" si="95"/>
        <v>151909.30319000082</v>
      </c>
      <c r="K351" s="2">
        <f t="shared" si="96"/>
        <v>23076436395.671593</v>
      </c>
      <c r="L351" s="2">
        <f t="shared" si="97"/>
        <v>-262572344.28715578</v>
      </c>
      <c r="N351" s="42">
        <f t="shared" si="98"/>
        <v>851389.41182292113</v>
      </c>
      <c r="O351" s="42">
        <f t="shared" si="99"/>
        <v>191592219513.56299</v>
      </c>
      <c r="P351" s="4">
        <f t="shared" si="100"/>
        <v>589621.78817707882</v>
      </c>
      <c r="Q351" s="4">
        <f t="shared" si="101"/>
        <v>347653853093.13599</v>
      </c>
      <c r="R351" s="43">
        <f t="shared" si="102"/>
        <v>1.3763724059855718E-3</v>
      </c>
      <c r="S351" s="4">
        <f t="shared" si="103"/>
        <v>0.48488711450427791</v>
      </c>
      <c r="T351" s="30">
        <f t="shared" si="104"/>
        <v>762712.65988828812</v>
      </c>
      <c r="U351" s="31">
        <f t="shared" si="105"/>
        <v>940066.16375755414</v>
      </c>
      <c r="V351" s="31">
        <f t="shared" si="106"/>
        <v>3242376.1956595066</v>
      </c>
      <c r="W351" s="42">
        <f t="shared" si="107"/>
        <v>3243275.3671799842</v>
      </c>
    </row>
    <row r="352" spans="2:23" x14ac:dyDescent="0.3">
      <c r="B352" s="2">
        <v>344</v>
      </c>
      <c r="C352" s="2">
        <v>5823</v>
      </c>
      <c r="D352" s="4">
        <v>1486495.44</v>
      </c>
      <c r="E352" s="4">
        <f t="shared" si="90"/>
        <v>8655862947.1199989</v>
      </c>
      <c r="F352" s="2">
        <f t="shared" si="91"/>
        <v>33907329</v>
      </c>
      <c r="G352" s="2">
        <f t="shared" si="92"/>
        <v>2209668693140.7935</v>
      </c>
      <c r="H352" s="42">
        <f t="shared" si="93"/>
        <v>798.51900000000023</v>
      </c>
      <c r="I352" s="2">
        <f t="shared" si="94"/>
        <v>637632.59336100041</v>
      </c>
      <c r="J352" s="4">
        <f t="shared" si="95"/>
        <v>197393.54319000081</v>
      </c>
      <c r="K352" s="2">
        <f t="shared" si="96"/>
        <v>38964210893.102715</v>
      </c>
      <c r="L352" s="2">
        <f t="shared" si="97"/>
        <v>157622494.71453631</v>
      </c>
      <c r="N352" s="42">
        <f t="shared" si="98"/>
        <v>1491315.1324772681</v>
      </c>
      <c r="O352" s="42">
        <f t="shared" si="99"/>
        <v>40890192679.026466</v>
      </c>
      <c r="P352" s="4">
        <f t="shared" si="100"/>
        <v>-4819.6924772681668</v>
      </c>
      <c r="Q352" s="4">
        <f t="shared" si="101"/>
        <v>23229435.575435359</v>
      </c>
      <c r="R352" s="43">
        <f t="shared" si="102"/>
        <v>1.0803265406021843E-3</v>
      </c>
      <c r="S352" s="4">
        <f t="shared" si="103"/>
        <v>-3.9629818547640581E-3</v>
      </c>
      <c r="T352" s="30">
        <f t="shared" si="104"/>
        <v>1412751.9040854166</v>
      </c>
      <c r="U352" s="31">
        <f t="shared" si="105"/>
        <v>1569878.3608691196</v>
      </c>
      <c r="V352" s="31">
        <f t="shared" si="106"/>
        <v>3882655.5904546645</v>
      </c>
      <c r="W352" s="42">
        <f t="shared" si="107"/>
        <v>3882847.4943649434</v>
      </c>
    </row>
    <row r="353" spans="2:23" x14ac:dyDescent="0.3">
      <c r="B353" s="2">
        <v>345</v>
      </c>
      <c r="C353" s="2">
        <v>7438</v>
      </c>
      <c r="D353" s="4">
        <v>3138017.82</v>
      </c>
      <c r="E353" s="4">
        <f t="shared" si="90"/>
        <v>23340576545.16</v>
      </c>
      <c r="F353" s="2">
        <f t="shared" si="91"/>
        <v>55323844</v>
      </c>
      <c r="G353" s="2">
        <f t="shared" si="92"/>
        <v>9847155838637.5508</v>
      </c>
      <c r="H353" s="42">
        <f t="shared" si="93"/>
        <v>2413.5190000000002</v>
      </c>
      <c r="I353" s="2">
        <f t="shared" si="94"/>
        <v>5825073.9633610016</v>
      </c>
      <c r="J353" s="4">
        <f t="shared" si="95"/>
        <v>1848915.9231900007</v>
      </c>
      <c r="K353" s="2">
        <f t="shared" si="96"/>
        <v>3418490091025.5327</v>
      </c>
      <c r="L353" s="2">
        <f t="shared" si="97"/>
        <v>4462393710.0216074</v>
      </c>
      <c r="N353" s="42">
        <f t="shared" si="98"/>
        <v>1900290.2171059861</v>
      </c>
      <c r="O353" s="42">
        <f t="shared" si="99"/>
        <v>373551162866.22992</v>
      </c>
      <c r="P353" s="4">
        <f t="shared" si="100"/>
        <v>1237727.6028940137</v>
      </c>
      <c r="Q353" s="4">
        <f t="shared" si="101"/>
        <v>1531969618965.7615</v>
      </c>
      <c r="R353" s="43">
        <f t="shared" si="102"/>
        <v>1.7338207693591563E-3</v>
      </c>
      <c r="S353" s="4">
        <f t="shared" si="103"/>
        <v>1.0180519400802612</v>
      </c>
      <c r="T353" s="30">
        <f t="shared" si="104"/>
        <v>1800762.532857415</v>
      </c>
      <c r="U353" s="31">
        <f t="shared" si="105"/>
        <v>1999817.9013545571</v>
      </c>
      <c r="V353" s="31">
        <f t="shared" si="106"/>
        <v>4290849.9019670459</v>
      </c>
      <c r="W353" s="42">
        <f t="shared" si="107"/>
        <v>4292603.0346598644</v>
      </c>
    </row>
    <row r="354" spans="2:23" x14ac:dyDescent="0.3">
      <c r="B354" s="2">
        <v>346</v>
      </c>
      <c r="C354" s="2">
        <v>4552</v>
      </c>
      <c r="D354" s="4">
        <v>497442.56</v>
      </c>
      <c r="E354" s="4">
        <f t="shared" si="90"/>
        <v>2264358533.1199999</v>
      </c>
      <c r="F354" s="2">
        <f t="shared" si="91"/>
        <v>20720704</v>
      </c>
      <c r="G354" s="2">
        <f t="shared" si="92"/>
        <v>247449100499.35361</v>
      </c>
      <c r="H354" s="42">
        <f t="shared" si="93"/>
        <v>-472.48099999999977</v>
      </c>
      <c r="I354" s="2">
        <f t="shared" si="94"/>
        <v>223238.29536099979</v>
      </c>
      <c r="J354" s="4">
        <f t="shared" si="95"/>
        <v>-791659.33680999908</v>
      </c>
      <c r="K354" s="2">
        <f t="shared" si="96"/>
        <v>626724505558.44751</v>
      </c>
      <c r="L354" s="2">
        <f t="shared" si="97"/>
        <v>374043995.11532497</v>
      </c>
      <c r="N354" s="42">
        <f t="shared" si="98"/>
        <v>1169453.0070511997</v>
      </c>
      <c r="O354" s="42">
        <f t="shared" si="99"/>
        <v>14315856820.513346</v>
      </c>
      <c r="P354" s="4">
        <f t="shared" si="100"/>
        <v>-672010.44705119962</v>
      </c>
      <c r="Q354" s="4">
        <f t="shared" si="101"/>
        <v>451598040945.95319</v>
      </c>
      <c r="R354" s="43">
        <f t="shared" si="102"/>
        <v>1.0281227154680995E-3</v>
      </c>
      <c r="S354" s="4">
        <f t="shared" si="103"/>
        <v>-0.55254471821168005</v>
      </c>
      <c r="T354" s="30">
        <f t="shared" si="104"/>
        <v>1092811.4576289465</v>
      </c>
      <c r="U354" s="31">
        <f t="shared" si="105"/>
        <v>1246094.5564734528</v>
      </c>
      <c r="V354" s="31">
        <f t="shared" si="106"/>
        <v>3560855.8254230963</v>
      </c>
      <c r="W354" s="42">
        <f t="shared" si="107"/>
        <v>3560923.0119223744</v>
      </c>
    </row>
    <row r="355" spans="2:23" x14ac:dyDescent="0.3">
      <c r="B355" s="2">
        <v>347</v>
      </c>
      <c r="C355" s="2">
        <v>606</v>
      </c>
      <c r="D355" s="4">
        <v>124654.2</v>
      </c>
      <c r="E355" s="4">
        <f t="shared" si="90"/>
        <v>75540445.200000003</v>
      </c>
      <c r="F355" s="2">
        <f t="shared" si="91"/>
        <v>367236</v>
      </c>
      <c r="G355" s="2">
        <f t="shared" si="92"/>
        <v>15538669577.639999</v>
      </c>
      <c r="H355" s="42">
        <f t="shared" si="93"/>
        <v>-4418.4809999999998</v>
      </c>
      <c r="I355" s="2">
        <f t="shared" si="94"/>
        <v>19522974.347360998</v>
      </c>
      <c r="J355" s="4">
        <f t="shared" si="95"/>
        <v>-1164447.6968099992</v>
      </c>
      <c r="K355" s="2">
        <f t="shared" si="96"/>
        <v>1355938438606.1118</v>
      </c>
      <c r="L355" s="2">
        <f t="shared" si="97"/>
        <v>5145090023.8487415</v>
      </c>
      <c r="N355" s="42">
        <f t="shared" si="98"/>
        <v>170186.32968592329</v>
      </c>
      <c r="O355" s="42">
        <f t="shared" si="99"/>
        <v>1251972046352.592</v>
      </c>
      <c r="P355" s="4">
        <f t="shared" si="100"/>
        <v>-45532.129685923297</v>
      </c>
      <c r="Q355" s="4">
        <f t="shared" si="101"/>
        <v>2073174833.7357376</v>
      </c>
      <c r="R355" s="43">
        <f t="shared" si="102"/>
        <v>3.4594304116772746E-3</v>
      </c>
      <c r="S355" s="4">
        <f t="shared" si="103"/>
        <v>-3.7483359708343357E-2</v>
      </c>
      <c r="T355" s="30">
        <f t="shared" si="104"/>
        <v>29599.674549964373</v>
      </c>
      <c r="U355" s="31">
        <f t="shared" si="105"/>
        <v>310772.98482188222</v>
      </c>
      <c r="V355" s="31">
        <f t="shared" si="106"/>
        <v>2558683.0868979939</v>
      </c>
      <c r="W355" s="42">
        <f t="shared" si="107"/>
        <v>2564558.7870749175</v>
      </c>
    </row>
    <row r="356" spans="2:23" x14ac:dyDescent="0.3">
      <c r="B356" s="2">
        <v>348</v>
      </c>
      <c r="C356" s="2">
        <v>1076</v>
      </c>
      <c r="D356" s="4">
        <v>165768.56</v>
      </c>
      <c r="E356" s="4">
        <f t="shared" si="90"/>
        <v>178366970.56</v>
      </c>
      <c r="F356" s="2">
        <f t="shared" si="91"/>
        <v>1157776</v>
      </c>
      <c r="G356" s="2">
        <f t="shared" si="92"/>
        <v>27479215484.473598</v>
      </c>
      <c r="H356" s="42">
        <f t="shared" si="93"/>
        <v>-3948.4809999999998</v>
      </c>
      <c r="I356" s="2">
        <f t="shared" si="94"/>
        <v>15590502.207360998</v>
      </c>
      <c r="J356" s="4">
        <f t="shared" si="95"/>
        <v>-1123333.3368099991</v>
      </c>
      <c r="K356" s="2">
        <f t="shared" si="96"/>
        <v>1261877785588.6868</v>
      </c>
      <c r="L356" s="2">
        <f t="shared" si="97"/>
        <v>4435460337.0608816</v>
      </c>
      <c r="N356" s="42">
        <f t="shared" si="98"/>
        <v>289206.94255000842</v>
      </c>
      <c r="O356" s="42">
        <f t="shared" si="99"/>
        <v>999789919554.58887</v>
      </c>
      <c r="P356" s="4">
        <f t="shared" si="100"/>
        <v>-123438.38255000842</v>
      </c>
      <c r="Q356" s="4">
        <f t="shared" si="101"/>
        <v>15237034286.562223</v>
      </c>
      <c r="R356" s="43">
        <f t="shared" si="102"/>
        <v>2.9640324563192598E-3</v>
      </c>
      <c r="S356" s="4">
        <f t="shared" si="103"/>
        <v>-0.1015927807938176</v>
      </c>
      <c r="T356" s="30">
        <f t="shared" si="104"/>
        <v>159075.19074565393</v>
      </c>
      <c r="U356" s="31">
        <f t="shared" si="105"/>
        <v>419338.6943543629</v>
      </c>
      <c r="V356" s="31">
        <f t="shared" si="106"/>
        <v>2678296.1192002287</v>
      </c>
      <c r="W356" s="42">
        <f t="shared" si="107"/>
        <v>2682988.2880217209</v>
      </c>
    </row>
    <row r="357" spans="2:23" x14ac:dyDescent="0.3">
      <c r="B357" s="2">
        <v>349</v>
      </c>
      <c r="C357" s="2">
        <v>8465</v>
      </c>
      <c r="D357" s="4">
        <v>3571298.85</v>
      </c>
      <c r="E357" s="4">
        <f t="shared" si="90"/>
        <v>30231044765.25</v>
      </c>
      <c r="F357" s="2">
        <f t="shared" si="91"/>
        <v>71656225</v>
      </c>
      <c r="G357" s="2">
        <f t="shared" si="92"/>
        <v>12754175476011.322</v>
      </c>
      <c r="H357" s="42">
        <f t="shared" si="93"/>
        <v>3440.5190000000002</v>
      </c>
      <c r="I357" s="2">
        <f t="shared" si="94"/>
        <v>11837170.989361001</v>
      </c>
      <c r="J357" s="4">
        <f t="shared" si="95"/>
        <v>2282196.9531900007</v>
      </c>
      <c r="K357" s="2">
        <f t="shared" si="96"/>
        <v>5208422933149.7227</v>
      </c>
      <c r="L357" s="2">
        <f t="shared" si="97"/>
        <v>7851941979.1923084</v>
      </c>
      <c r="N357" s="42">
        <f t="shared" si="98"/>
        <v>2160362.9179813382</v>
      </c>
      <c r="O357" s="42">
        <f t="shared" si="99"/>
        <v>759095767012.52454</v>
      </c>
      <c r="P357" s="4">
        <f t="shared" si="100"/>
        <v>1410935.9320186619</v>
      </c>
      <c r="Q357" s="4">
        <f t="shared" si="101"/>
        <v>1990740204261.3701</v>
      </c>
      <c r="R357" s="43">
        <f t="shared" si="102"/>
        <v>2.4912019962467303E-3</v>
      </c>
      <c r="S357" s="4">
        <f t="shared" si="103"/>
        <v>1.1609592191894818</v>
      </c>
      <c r="T357" s="30">
        <f t="shared" si="104"/>
        <v>2041061.317384047</v>
      </c>
      <c r="U357" s="31">
        <f t="shared" si="105"/>
        <v>2279664.5185786295</v>
      </c>
      <c r="V357" s="31">
        <f t="shared" si="106"/>
        <v>4550017.3898474742</v>
      </c>
      <c r="W357" s="42">
        <f t="shared" si="107"/>
        <v>4553579.9430348054</v>
      </c>
    </row>
    <row r="358" spans="2:23" x14ac:dyDescent="0.3">
      <c r="B358" s="2">
        <v>350</v>
      </c>
      <c r="C358" s="2">
        <v>7311</v>
      </c>
      <c r="D358" s="4">
        <v>3084437.79</v>
      </c>
      <c r="E358" s="4">
        <f t="shared" si="90"/>
        <v>22550324682.689999</v>
      </c>
      <c r="F358" s="2">
        <f t="shared" si="91"/>
        <v>53450721</v>
      </c>
      <c r="G358" s="2">
        <f t="shared" si="92"/>
        <v>9513756480380.084</v>
      </c>
      <c r="H358" s="42">
        <f t="shared" si="93"/>
        <v>2286.5190000000002</v>
      </c>
      <c r="I358" s="2">
        <f t="shared" si="94"/>
        <v>5228169.1373610012</v>
      </c>
      <c r="J358" s="4">
        <f t="shared" si="95"/>
        <v>1795335.8931900009</v>
      </c>
      <c r="K358" s="2">
        <f t="shared" si="96"/>
        <v>3223230969376.3384</v>
      </c>
      <c r="L358" s="2">
        <f t="shared" si="97"/>
        <v>4105069631.1609082</v>
      </c>
      <c r="N358" s="42">
        <f t="shared" si="98"/>
        <v>1868129.3280980312</v>
      </c>
      <c r="O358" s="42">
        <f t="shared" si="99"/>
        <v>335272766184.01672</v>
      </c>
      <c r="P358" s="4">
        <f t="shared" si="100"/>
        <v>1216308.4619019688</v>
      </c>
      <c r="Q358" s="4">
        <f t="shared" si="101"/>
        <v>1479406274494.333</v>
      </c>
      <c r="R358" s="43">
        <f t="shared" si="102"/>
        <v>1.6586249587300359E-3</v>
      </c>
      <c r="S358" s="4">
        <f t="shared" si="103"/>
        <v>1.0003966559985835</v>
      </c>
      <c r="T358" s="30">
        <f t="shared" si="104"/>
        <v>1770783.8243417055</v>
      </c>
      <c r="U358" s="31">
        <f t="shared" si="105"/>
        <v>1965474.8318543569</v>
      </c>
      <c r="V358" s="31">
        <f t="shared" si="106"/>
        <v>4258778.8673892505</v>
      </c>
      <c r="W358" s="42">
        <f t="shared" si="107"/>
        <v>4260352.3536962438</v>
      </c>
    </row>
    <row r="359" spans="2:23" x14ac:dyDescent="0.3">
      <c r="B359" s="2">
        <v>351</v>
      </c>
      <c r="C359" s="2">
        <v>9179</v>
      </c>
      <c r="D359" s="4">
        <v>4013058.8</v>
      </c>
      <c r="E359" s="4">
        <f t="shared" si="90"/>
        <v>36835866725.199997</v>
      </c>
      <c r="F359" s="2">
        <f t="shared" si="91"/>
        <v>84254041</v>
      </c>
      <c r="G359" s="2">
        <f t="shared" si="92"/>
        <v>16104640932257.439</v>
      </c>
      <c r="H359" s="42">
        <f t="shared" si="93"/>
        <v>4154.5190000000002</v>
      </c>
      <c r="I359" s="2">
        <f t="shared" si="94"/>
        <v>17260028.121361002</v>
      </c>
      <c r="J359" s="4">
        <f t="shared" si="95"/>
        <v>2723956.9031900009</v>
      </c>
      <c r="K359" s="2">
        <f t="shared" si="96"/>
        <v>7419941210436.46</v>
      </c>
      <c r="L359" s="2">
        <f t="shared" si="97"/>
        <v>11316730709.48402</v>
      </c>
      <c r="N359" s="42">
        <f t="shared" si="98"/>
        <v>2341172.95539614</v>
      </c>
      <c r="O359" s="42">
        <f t="shared" si="99"/>
        <v>1106853512314.563</v>
      </c>
      <c r="P359" s="4">
        <f t="shared" si="100"/>
        <v>1671885.8446038598</v>
      </c>
      <c r="Q359" s="4">
        <f t="shared" si="101"/>
        <v>2795202277386.7617</v>
      </c>
      <c r="R359" s="43">
        <f t="shared" si="102"/>
        <v>3.1743530116259333E-3</v>
      </c>
      <c r="S359" s="4">
        <f t="shared" si="103"/>
        <v>1.376147727982548</v>
      </c>
      <c r="T359" s="30">
        <f t="shared" si="104"/>
        <v>2206503.4051562133</v>
      </c>
      <c r="U359" s="31">
        <f t="shared" si="105"/>
        <v>2475842.5056360667</v>
      </c>
      <c r="V359" s="31">
        <f t="shared" si="106"/>
        <v>4730010.6390936049</v>
      </c>
      <c r="W359" s="42">
        <f t="shared" si="107"/>
        <v>4735205.2744892873</v>
      </c>
    </row>
    <row r="360" spans="2:23" x14ac:dyDescent="0.3">
      <c r="B360" s="2">
        <v>352</v>
      </c>
      <c r="C360" s="2">
        <v>7669</v>
      </c>
      <c r="D360" s="4">
        <v>1957742.32</v>
      </c>
      <c r="E360" s="4">
        <f t="shared" si="90"/>
        <v>15013925852.08</v>
      </c>
      <c r="F360" s="2">
        <f t="shared" si="91"/>
        <v>58813561</v>
      </c>
      <c r="G360" s="2">
        <f t="shared" si="92"/>
        <v>3832754991518.9824</v>
      </c>
      <c r="H360" s="42">
        <f t="shared" si="93"/>
        <v>2644.5190000000002</v>
      </c>
      <c r="I360" s="2">
        <f t="shared" si="94"/>
        <v>6993480.7413610015</v>
      </c>
      <c r="J360" s="4">
        <f t="shared" si="95"/>
        <v>668640.42319000093</v>
      </c>
      <c r="K360" s="2">
        <f t="shared" si="96"/>
        <v>447080015523.70355</v>
      </c>
      <c r="L360" s="2">
        <f t="shared" si="97"/>
        <v>1768232303.2939982</v>
      </c>
      <c r="N360" s="42">
        <f t="shared" si="98"/>
        <v>1958787.5821519515</v>
      </c>
      <c r="O360" s="42">
        <f t="shared" si="99"/>
        <v>448478917151.92041</v>
      </c>
      <c r="P360" s="4">
        <f t="shared" si="100"/>
        <v>-1045.262151951436</v>
      </c>
      <c r="Q360" s="4">
        <f t="shared" si="101"/>
        <v>1092572.9663021467</v>
      </c>
      <c r="R360" s="43">
        <f t="shared" si="102"/>
        <v>1.8810122327035466E-3</v>
      </c>
      <c r="S360" s="4">
        <f t="shared" si="103"/>
        <v>-8.5980923379855051E-4</v>
      </c>
      <c r="T360" s="30">
        <f t="shared" si="104"/>
        <v>1855121.2796483927</v>
      </c>
      <c r="U360" s="31">
        <f t="shared" si="105"/>
        <v>2062453.8846555103</v>
      </c>
      <c r="V360" s="31">
        <f t="shared" si="106"/>
        <v>4349171.3723706137</v>
      </c>
      <c r="W360" s="42">
        <f t="shared" si="107"/>
        <v>4351276.1525270436</v>
      </c>
    </row>
    <row r="361" spans="2:23" x14ac:dyDescent="0.3">
      <c r="B361" s="2">
        <v>353</v>
      </c>
      <c r="C361" s="2">
        <v>3411</v>
      </c>
      <c r="D361" s="4">
        <v>161851.95000000001</v>
      </c>
      <c r="E361" s="4">
        <f t="shared" si="90"/>
        <v>552077001.45000005</v>
      </c>
      <c r="F361" s="2">
        <f t="shared" si="91"/>
        <v>11634921</v>
      </c>
      <c r="G361" s="2">
        <f t="shared" si="92"/>
        <v>26196053718.802505</v>
      </c>
      <c r="H361" s="42">
        <f t="shared" si="93"/>
        <v>-1613.4809999999998</v>
      </c>
      <c r="I361" s="2">
        <f t="shared" si="94"/>
        <v>2603320.9373609992</v>
      </c>
      <c r="J361" s="4">
        <f t="shared" si="95"/>
        <v>-1127249.9468099992</v>
      </c>
      <c r="K361" s="2">
        <f t="shared" si="96"/>
        <v>1270692442583.146</v>
      </c>
      <c r="L361" s="2">
        <f t="shared" si="97"/>
        <v>1818796371.4289441</v>
      </c>
      <c r="N361" s="42">
        <f t="shared" si="98"/>
        <v>880511.47667264403</v>
      </c>
      <c r="O361" s="42">
        <f t="shared" si="99"/>
        <v>166946131428.02036</v>
      </c>
      <c r="P361" s="4">
        <f t="shared" si="100"/>
        <v>-718659.52667264408</v>
      </c>
      <c r="Q361" s="4">
        <f t="shared" si="101"/>
        <v>516471515277.34882</v>
      </c>
      <c r="R361" s="43">
        <f t="shared" si="102"/>
        <v>1.3279565178329145E-3</v>
      </c>
      <c r="S361" s="4">
        <f t="shared" si="103"/>
        <v>-0.59098951930733368</v>
      </c>
      <c r="T361" s="30">
        <f t="shared" si="104"/>
        <v>793408.35373478709</v>
      </c>
      <c r="U361" s="31">
        <f t="shared" si="105"/>
        <v>967614.59961050097</v>
      </c>
      <c r="V361" s="31">
        <f t="shared" si="106"/>
        <v>3271556.1046102671</v>
      </c>
      <c r="W361" s="42">
        <f t="shared" si="107"/>
        <v>3272339.6082753772</v>
      </c>
    </row>
    <row r="362" spans="2:23" x14ac:dyDescent="0.3">
      <c r="B362" s="2">
        <v>354</v>
      </c>
      <c r="C362" s="2">
        <v>9066</v>
      </c>
      <c r="D362" s="4">
        <v>84585.78</v>
      </c>
      <c r="E362" s="4">
        <f t="shared" si="90"/>
        <v>766854681.48000002</v>
      </c>
      <c r="F362" s="2">
        <f t="shared" si="91"/>
        <v>82192356</v>
      </c>
      <c r="G362" s="2">
        <f t="shared" si="92"/>
        <v>7154754178.2083998</v>
      </c>
      <c r="H362" s="42">
        <f t="shared" si="93"/>
        <v>4041.5190000000002</v>
      </c>
      <c r="I362" s="2">
        <f t="shared" si="94"/>
        <v>16333875.827361003</v>
      </c>
      <c r="J362" s="4">
        <f t="shared" si="95"/>
        <v>-1204516.1168099991</v>
      </c>
      <c r="K362" s="2">
        <f t="shared" si="96"/>
        <v>1450859075655.0393</v>
      </c>
      <c r="L362" s="2">
        <f t="shared" si="97"/>
        <v>-4868074771.8938313</v>
      </c>
      <c r="N362" s="42">
        <f t="shared" si="98"/>
        <v>2312557.3612394556</v>
      </c>
      <c r="O362" s="42">
        <f t="shared" si="99"/>
        <v>1047461087670.5145</v>
      </c>
      <c r="P362" s="4">
        <f t="shared" si="100"/>
        <v>-2227971.5812394558</v>
      </c>
      <c r="Q362" s="4">
        <f t="shared" si="101"/>
        <v>4963857366810.6416</v>
      </c>
      <c r="R362" s="43">
        <f t="shared" si="102"/>
        <v>3.0576798512160202E-3</v>
      </c>
      <c r="S362" s="4">
        <f t="shared" si="103"/>
        <v>-1.8337607346783904</v>
      </c>
      <c r="T362" s="30">
        <f t="shared" si="104"/>
        <v>2180385.8655930082</v>
      </c>
      <c r="U362" s="31">
        <f t="shared" si="105"/>
        <v>2444728.856885903</v>
      </c>
      <c r="V362" s="31">
        <f t="shared" si="106"/>
        <v>4701534.5613302132</v>
      </c>
      <c r="W362" s="42">
        <f t="shared" si="107"/>
        <v>4706450.4585523065</v>
      </c>
    </row>
    <row r="363" spans="2:23" x14ac:dyDescent="0.3">
      <c r="B363" s="2">
        <v>355</v>
      </c>
      <c r="C363" s="2">
        <v>4326</v>
      </c>
      <c r="D363" s="4">
        <v>353563.98000000004</v>
      </c>
      <c r="E363" s="4">
        <f t="shared" si="90"/>
        <v>1529517777.4800003</v>
      </c>
      <c r="F363" s="2">
        <f t="shared" si="91"/>
        <v>18714276</v>
      </c>
      <c r="G363" s="2">
        <f t="shared" si="92"/>
        <v>125007487953.44043</v>
      </c>
      <c r="H363" s="42">
        <f t="shared" si="93"/>
        <v>-698.48099999999977</v>
      </c>
      <c r="I363" s="2">
        <f t="shared" si="94"/>
        <v>487875.70736099966</v>
      </c>
      <c r="J363" s="4">
        <f t="shared" si="95"/>
        <v>-935537.91680999915</v>
      </c>
      <c r="K363" s="2">
        <f t="shared" si="96"/>
        <v>875231193789.19287</v>
      </c>
      <c r="L363" s="2">
        <f t="shared" si="97"/>
        <v>653455459.67136478</v>
      </c>
      <c r="N363" s="42">
        <f t="shared" si="98"/>
        <v>1112221.818737831</v>
      </c>
      <c r="O363" s="42">
        <f t="shared" si="99"/>
        <v>31286562018.816307</v>
      </c>
      <c r="P363" s="4">
        <f t="shared" si="100"/>
        <v>-758657.83873783099</v>
      </c>
      <c r="Q363" s="4">
        <f t="shared" si="101"/>
        <v>575561716278.35681</v>
      </c>
      <c r="R363" s="43">
        <f t="shared" si="102"/>
        <v>1.0614607349501743E-3</v>
      </c>
      <c r="S363" s="4">
        <f t="shared" si="103"/>
        <v>-0.62379889844321712</v>
      </c>
      <c r="T363" s="30">
        <f t="shared" si="104"/>
        <v>1034347.5887283101</v>
      </c>
      <c r="U363" s="31">
        <f t="shared" si="105"/>
        <v>1190096.0487473519</v>
      </c>
      <c r="V363" s="31">
        <f t="shared" si="106"/>
        <v>3503584.8131649252</v>
      </c>
      <c r="W363" s="42">
        <f t="shared" si="107"/>
        <v>3503731.6457718471</v>
      </c>
    </row>
    <row r="364" spans="2:23" x14ac:dyDescent="0.3">
      <c r="B364" s="2">
        <v>356</v>
      </c>
      <c r="C364" s="2">
        <v>915</v>
      </c>
      <c r="D364" s="4">
        <v>8536.9500000000007</v>
      </c>
      <c r="E364" s="4">
        <f t="shared" si="90"/>
        <v>7811309.2500000009</v>
      </c>
      <c r="F364" s="2">
        <f t="shared" si="91"/>
        <v>837225</v>
      </c>
      <c r="G364" s="2">
        <f t="shared" si="92"/>
        <v>72879515.30250001</v>
      </c>
      <c r="H364" s="42">
        <f t="shared" si="93"/>
        <v>-4109.4809999999998</v>
      </c>
      <c r="I364" s="2">
        <f t="shared" si="94"/>
        <v>16887834.089360997</v>
      </c>
      <c r="J364" s="4">
        <f t="shared" si="95"/>
        <v>-1280564.9468099992</v>
      </c>
      <c r="K364" s="2">
        <f t="shared" si="96"/>
        <v>1639846582998.4961</v>
      </c>
      <c r="L364" s="2">
        <f t="shared" si="97"/>
        <v>5262457318.1817017</v>
      </c>
      <c r="N364" s="42">
        <f t="shared" si="98"/>
        <v>248436.05176039628</v>
      </c>
      <c r="O364" s="42">
        <f t="shared" si="99"/>
        <v>1082985401052.8041</v>
      </c>
      <c r="P364" s="4">
        <f t="shared" si="100"/>
        <v>-239899.10176039627</v>
      </c>
      <c r="Q364" s="4">
        <f t="shared" si="101"/>
        <v>57551579025.444962</v>
      </c>
      <c r="R364" s="43">
        <f t="shared" si="102"/>
        <v>3.1274654162698839E-3</v>
      </c>
      <c r="S364" s="4">
        <f t="shared" si="103"/>
        <v>-0.19745895981454267</v>
      </c>
      <c r="T364" s="30">
        <f t="shared" si="104"/>
        <v>114764.78715981595</v>
      </c>
      <c r="U364" s="31">
        <f t="shared" si="105"/>
        <v>382107.31636097661</v>
      </c>
      <c r="V364" s="31">
        <f t="shared" si="106"/>
        <v>2637329.8040723274</v>
      </c>
      <c r="W364" s="42">
        <f t="shared" si="107"/>
        <v>2642412.4225879395</v>
      </c>
    </row>
    <row r="365" spans="2:23" x14ac:dyDescent="0.3">
      <c r="B365" s="2">
        <v>357</v>
      </c>
      <c r="C365" s="2">
        <v>7588</v>
      </c>
      <c r="D365" s="4">
        <v>829216.64</v>
      </c>
      <c r="E365" s="4">
        <f t="shared" si="90"/>
        <v>6292095864.3199997</v>
      </c>
      <c r="F365" s="2">
        <f t="shared" si="91"/>
        <v>57577744</v>
      </c>
      <c r="G365" s="2">
        <f t="shared" si="92"/>
        <v>687600236052.88965</v>
      </c>
      <c r="H365" s="42">
        <f t="shared" si="93"/>
        <v>2563.5190000000002</v>
      </c>
      <c r="I365" s="2">
        <f t="shared" si="94"/>
        <v>6571629.6633610008</v>
      </c>
      <c r="J365" s="4">
        <f t="shared" si="95"/>
        <v>-459885.25680999912</v>
      </c>
      <c r="K365" s="2">
        <f t="shared" si="96"/>
        <v>211494449431.19885</v>
      </c>
      <c r="L365" s="2">
        <f t="shared" si="97"/>
        <v>-1178924593.6523123</v>
      </c>
      <c r="N365" s="42">
        <f t="shared" si="98"/>
        <v>1938275.5190838857</v>
      </c>
      <c r="O365" s="42">
        <f t="shared" si="99"/>
        <v>421426391856.19879</v>
      </c>
      <c r="P365" s="4">
        <f t="shared" si="100"/>
        <v>-1109058.8790838858</v>
      </c>
      <c r="Q365" s="4">
        <f t="shared" si="101"/>
        <v>1230011597274.8052</v>
      </c>
      <c r="R365" s="43">
        <f t="shared" si="102"/>
        <v>1.8278690306497937E-3</v>
      </c>
      <c r="S365" s="4">
        <f t="shared" si="103"/>
        <v>-0.91226270694145628</v>
      </c>
      <c r="T365" s="30">
        <f t="shared" si="104"/>
        <v>1836084.1221000697</v>
      </c>
      <c r="U365" s="31">
        <f t="shared" si="105"/>
        <v>2040466.9160677018</v>
      </c>
      <c r="V365" s="31">
        <f t="shared" si="106"/>
        <v>4328722.8172265142</v>
      </c>
      <c r="W365" s="42">
        <f t="shared" si="107"/>
        <v>4330700.6357214367</v>
      </c>
    </row>
    <row r="366" spans="2:23" x14ac:dyDescent="0.3">
      <c r="B366" s="2">
        <v>358</v>
      </c>
      <c r="C366" s="2">
        <v>5131</v>
      </c>
      <c r="D366" s="4">
        <v>1055446.7</v>
      </c>
      <c r="E366" s="4">
        <f t="shared" si="90"/>
        <v>5415497017.6999998</v>
      </c>
      <c r="F366" s="2">
        <f t="shared" si="91"/>
        <v>26327161</v>
      </c>
      <c r="G366" s="2">
        <f t="shared" si="92"/>
        <v>1113967736540.8899</v>
      </c>
      <c r="H366" s="42">
        <f t="shared" si="93"/>
        <v>106.51900000000023</v>
      </c>
      <c r="I366" s="2">
        <f t="shared" si="94"/>
        <v>11346.29736100005</v>
      </c>
      <c r="J366" s="4">
        <f t="shared" si="95"/>
        <v>-233655.19680999918</v>
      </c>
      <c r="K366" s="2">
        <f t="shared" si="96"/>
        <v>54594750996.31945</v>
      </c>
      <c r="L366" s="2">
        <f t="shared" si="97"/>
        <v>-24888717.909004357</v>
      </c>
      <c r="N366" s="42">
        <f t="shared" si="98"/>
        <v>1316076.2726858917</v>
      </c>
      <c r="O366" s="42">
        <f t="shared" si="99"/>
        <v>727616953.8939358</v>
      </c>
      <c r="P366" s="4">
        <f t="shared" si="100"/>
        <v>-260629.57268589176</v>
      </c>
      <c r="Q366" s="4">
        <f t="shared" si="101"/>
        <v>67927774158.430534</v>
      </c>
      <c r="R366" s="43">
        <f t="shared" si="102"/>
        <v>1.0014293635945565E-3</v>
      </c>
      <c r="S366" s="4">
        <f t="shared" si="103"/>
        <v>-0.21429364743010035</v>
      </c>
      <c r="T366" s="30">
        <f t="shared" si="104"/>
        <v>1240436.1961682159</v>
      </c>
      <c r="U366" s="31">
        <f t="shared" si="105"/>
        <v>1391716.3492035675</v>
      </c>
      <c r="V366" s="31">
        <f t="shared" si="106"/>
        <v>3707510.9771341011</v>
      </c>
      <c r="W366" s="42">
        <f t="shared" si="107"/>
        <v>3707514.3919514297</v>
      </c>
    </row>
    <row r="367" spans="2:23" x14ac:dyDescent="0.3">
      <c r="B367" s="2">
        <v>359</v>
      </c>
      <c r="C367" s="2">
        <v>1361</v>
      </c>
      <c r="D367" s="4">
        <v>909515.47</v>
      </c>
      <c r="E367" s="4">
        <f t="shared" si="90"/>
        <v>1237850554.6700001</v>
      </c>
      <c r="F367" s="2">
        <f t="shared" si="91"/>
        <v>1852321</v>
      </c>
      <c r="G367" s="2">
        <f t="shared" si="92"/>
        <v>827218390169.3208</v>
      </c>
      <c r="H367" s="42">
        <f t="shared" si="93"/>
        <v>-3663.4809999999998</v>
      </c>
      <c r="I367" s="2">
        <f t="shared" si="94"/>
        <v>13421093.037360998</v>
      </c>
      <c r="J367" s="4">
        <f t="shared" si="95"/>
        <v>-379586.42680999916</v>
      </c>
      <c r="K367" s="2">
        <f t="shared" si="96"/>
        <v>144085855418.38284</v>
      </c>
      <c r="L367" s="2">
        <f t="shared" si="97"/>
        <v>1390607662.4763224</v>
      </c>
      <c r="N367" s="42">
        <f t="shared" si="98"/>
        <v>361379.01630801748</v>
      </c>
      <c r="O367" s="42">
        <f t="shared" si="99"/>
        <v>860669743006.89404</v>
      </c>
      <c r="P367" s="4">
        <f t="shared" si="100"/>
        <v>548136.45369198243</v>
      </c>
      <c r="Q367" s="4">
        <f t="shared" si="101"/>
        <v>300453571866.02283</v>
      </c>
      <c r="R367" s="43">
        <f t="shared" si="102"/>
        <v>2.6907385005347623E-3</v>
      </c>
      <c r="S367" s="4">
        <f t="shared" si="103"/>
        <v>0.45106777131760606</v>
      </c>
      <c r="T367" s="30">
        <f t="shared" si="104"/>
        <v>237391.61853159801</v>
      </c>
      <c r="U367" s="31">
        <f t="shared" si="105"/>
        <v>485366.41408443695</v>
      </c>
      <c r="V367" s="31">
        <f t="shared" si="106"/>
        <v>2750794.9474525987</v>
      </c>
      <c r="W367" s="42">
        <f t="shared" si="107"/>
        <v>2754834.2032517926</v>
      </c>
    </row>
    <row r="368" spans="2:23" x14ac:dyDescent="0.3">
      <c r="B368" s="2">
        <v>360</v>
      </c>
      <c r="C368" s="2">
        <v>6127</v>
      </c>
      <c r="D368" s="4">
        <v>943925.62</v>
      </c>
      <c r="E368" s="4">
        <f t="shared" si="90"/>
        <v>5783432273.7399998</v>
      </c>
      <c r="F368" s="2">
        <f t="shared" si="91"/>
        <v>37540129</v>
      </c>
      <c r="G368" s="2">
        <f t="shared" si="92"/>
        <v>890995576092.3844</v>
      </c>
      <c r="H368" s="42">
        <f t="shared" si="93"/>
        <v>1102.5190000000002</v>
      </c>
      <c r="I368" s="2">
        <f t="shared" si="94"/>
        <v>1215548.1453610004</v>
      </c>
      <c r="J368" s="4">
        <f t="shared" si="95"/>
        <v>-345176.27680999914</v>
      </c>
      <c r="K368" s="2">
        <f t="shared" si="96"/>
        <v>119146662072.41315</v>
      </c>
      <c r="L368" s="2">
        <f t="shared" si="97"/>
        <v>-380563403.53228354</v>
      </c>
      <c r="N368" s="42">
        <f t="shared" si="98"/>
        <v>1568298.6778191444</v>
      </c>
      <c r="O368" s="42">
        <f t="shared" si="99"/>
        <v>77950842525.868652</v>
      </c>
      <c r="P368" s="4">
        <f t="shared" si="100"/>
        <v>-624373.05781914445</v>
      </c>
      <c r="Q368" s="4">
        <f t="shared" si="101"/>
        <v>389841715330.42871</v>
      </c>
      <c r="R368" s="43">
        <f t="shared" si="102"/>
        <v>1.1531301543692733E-3</v>
      </c>
      <c r="S368" s="4">
        <f t="shared" si="103"/>
        <v>-0.5134081239877889</v>
      </c>
      <c r="T368" s="30">
        <f t="shared" si="104"/>
        <v>1487131.4032848869</v>
      </c>
      <c r="U368" s="31">
        <f t="shared" si="105"/>
        <v>1649465.952353402</v>
      </c>
      <c r="V368" s="31">
        <f t="shared" si="106"/>
        <v>3959552.1650846777</v>
      </c>
      <c r="W368" s="42">
        <f t="shared" si="107"/>
        <v>3959918.0002774685</v>
      </c>
    </row>
    <row r="369" spans="2:23" x14ac:dyDescent="0.3">
      <c r="B369" s="2">
        <v>361</v>
      </c>
      <c r="C369" s="2">
        <v>6308</v>
      </c>
      <c r="D369" s="4">
        <v>971810.48</v>
      </c>
      <c r="E369" s="4">
        <f t="shared" si="90"/>
        <v>6130180507.8400002</v>
      </c>
      <c r="F369" s="2">
        <f t="shared" si="91"/>
        <v>39790864</v>
      </c>
      <c r="G369" s="2">
        <f t="shared" si="92"/>
        <v>944415609037.83032</v>
      </c>
      <c r="H369" s="42">
        <f t="shared" si="93"/>
        <v>1283.5190000000002</v>
      </c>
      <c r="I369" s="2">
        <f t="shared" si="94"/>
        <v>1647421.0233610007</v>
      </c>
      <c r="J369" s="4">
        <f t="shared" si="95"/>
        <v>-317291.41680999915</v>
      </c>
      <c r="K369" s="2">
        <f t="shared" si="96"/>
        <v>100673843181.29662</v>
      </c>
      <c r="L369" s="2">
        <f t="shared" si="97"/>
        <v>-407249562.01255339</v>
      </c>
      <c r="N369" s="42">
        <f t="shared" si="98"/>
        <v>1614134.2755391432</v>
      </c>
      <c r="O369" s="42">
        <f t="shared" si="99"/>
        <v>105646047222.32578</v>
      </c>
      <c r="P369" s="4">
        <f t="shared" si="100"/>
        <v>-642323.79553914326</v>
      </c>
      <c r="Q369" s="4">
        <f t="shared" si="101"/>
        <v>412579858315.8111</v>
      </c>
      <c r="R369" s="43">
        <f t="shared" si="102"/>
        <v>1.207535864853412E-3</v>
      </c>
      <c r="S369" s="4">
        <f t="shared" si="103"/>
        <v>-0.52818300254182871</v>
      </c>
      <c r="T369" s="30">
        <f t="shared" si="104"/>
        <v>1531074.2963373817</v>
      </c>
      <c r="U369" s="31">
        <f t="shared" si="105"/>
        <v>1697194.2547409048</v>
      </c>
      <c r="V369" s="31">
        <f t="shared" si="106"/>
        <v>4005322.7680402882</v>
      </c>
      <c r="W369" s="42">
        <f t="shared" si="107"/>
        <v>4005818.5810539182</v>
      </c>
    </row>
    <row r="370" spans="2:23" x14ac:dyDescent="0.3">
      <c r="B370" s="2">
        <v>362</v>
      </c>
      <c r="C370" s="2">
        <v>817</v>
      </c>
      <c r="D370" s="4">
        <v>532038.57000000007</v>
      </c>
      <c r="E370" s="4">
        <f t="shared" si="90"/>
        <v>434675511.69000006</v>
      </c>
      <c r="F370" s="2">
        <f t="shared" si="91"/>
        <v>667489</v>
      </c>
      <c r="G370" s="2">
        <f t="shared" si="92"/>
        <v>283065039967.64496</v>
      </c>
      <c r="H370" s="42">
        <f t="shared" si="93"/>
        <v>-4207.4809999999998</v>
      </c>
      <c r="I370" s="2">
        <f t="shared" si="94"/>
        <v>17702896.365360998</v>
      </c>
      <c r="J370" s="4">
        <f t="shared" si="95"/>
        <v>-757063.32680999907</v>
      </c>
      <c r="K370" s="2">
        <f t="shared" si="96"/>
        <v>573144880800.62341</v>
      </c>
      <c r="L370" s="2">
        <f t="shared" si="97"/>
        <v>3185329563.3498616</v>
      </c>
      <c r="N370" s="42">
        <f t="shared" si="98"/>
        <v>223618.98780150193</v>
      </c>
      <c r="O370" s="42">
        <f t="shared" si="99"/>
        <v>1135253829389.2095</v>
      </c>
      <c r="P370" s="4">
        <f t="shared" si="100"/>
        <v>308419.58219849813</v>
      </c>
      <c r="Q370" s="4">
        <f t="shared" si="101"/>
        <v>95122638683.49614</v>
      </c>
      <c r="R370" s="43">
        <f t="shared" si="102"/>
        <v>3.2301438767000827E-3</v>
      </c>
      <c r="S370" s="4">
        <f t="shared" si="103"/>
        <v>0.25387067338542563</v>
      </c>
      <c r="T370" s="30">
        <f t="shared" si="104"/>
        <v>87771.149420868082</v>
      </c>
      <c r="U370" s="31">
        <f t="shared" si="105"/>
        <v>359466.82618213579</v>
      </c>
      <c r="V370" s="31">
        <f t="shared" si="106"/>
        <v>2612389.9545587176</v>
      </c>
      <c r="W370" s="42">
        <f t="shared" si="107"/>
        <v>2617717.8772155093</v>
      </c>
    </row>
    <row r="371" spans="2:23" x14ac:dyDescent="0.3">
      <c r="B371" s="2">
        <v>363</v>
      </c>
      <c r="C371" s="2">
        <v>5595</v>
      </c>
      <c r="D371" s="4">
        <v>457279.35000000003</v>
      </c>
      <c r="E371" s="4">
        <f t="shared" si="90"/>
        <v>2558477963.25</v>
      </c>
      <c r="F371" s="2">
        <f t="shared" si="91"/>
        <v>31304025</v>
      </c>
      <c r="G371" s="2">
        <f t="shared" si="92"/>
        <v>209104403936.42255</v>
      </c>
      <c r="H371" s="42">
        <f t="shared" si="93"/>
        <v>570.51900000000023</v>
      </c>
      <c r="I371" s="2">
        <f t="shared" si="94"/>
        <v>325491.92936100025</v>
      </c>
      <c r="J371" s="4">
        <f t="shared" si="95"/>
        <v>-831822.54680999904</v>
      </c>
      <c r="K371" s="2">
        <f t="shared" si="96"/>
        <v>691928749381.47302</v>
      </c>
      <c r="L371" s="2">
        <f t="shared" si="97"/>
        <v>-474570567.58349401</v>
      </c>
      <c r="N371" s="42">
        <f t="shared" si="98"/>
        <v>1433577.4734708609</v>
      </c>
      <c r="O371" s="42">
        <f t="shared" si="99"/>
        <v>20873192251.488533</v>
      </c>
      <c r="P371" s="4">
        <f t="shared" si="100"/>
        <v>-976298.12347086077</v>
      </c>
      <c r="Q371" s="4">
        <f t="shared" si="101"/>
        <v>953158025892.72412</v>
      </c>
      <c r="R371" s="43">
        <f t="shared" si="102"/>
        <v>1.0410042412381782E-3</v>
      </c>
      <c r="S371" s="4">
        <f t="shared" si="103"/>
        <v>-0.80274324894718752</v>
      </c>
      <c r="T371" s="30">
        <f t="shared" si="104"/>
        <v>1356457.2910442324</v>
      </c>
      <c r="U371" s="31">
        <f t="shared" si="105"/>
        <v>1510697.6558974893</v>
      </c>
      <c r="V371" s="31">
        <f t="shared" si="106"/>
        <v>3824964.9042895017</v>
      </c>
      <c r="W371" s="42">
        <f t="shared" si="107"/>
        <v>3825062.8653639853</v>
      </c>
    </row>
    <row r="372" spans="2:23" x14ac:dyDescent="0.3">
      <c r="B372" s="2">
        <v>364</v>
      </c>
      <c r="C372" s="2">
        <v>8616</v>
      </c>
      <c r="D372" s="4">
        <v>3635004.2399999998</v>
      </c>
      <c r="E372" s="4">
        <f t="shared" si="90"/>
        <v>31319196531.839996</v>
      </c>
      <c r="F372" s="2">
        <f t="shared" si="91"/>
        <v>74235456</v>
      </c>
      <c r="G372" s="2">
        <f t="shared" si="92"/>
        <v>13213255824817.977</v>
      </c>
      <c r="H372" s="42">
        <f t="shared" si="93"/>
        <v>3591.5190000000002</v>
      </c>
      <c r="I372" s="2">
        <f t="shared" si="94"/>
        <v>12899008.727361001</v>
      </c>
      <c r="J372" s="4">
        <f t="shared" si="95"/>
        <v>2345902.3431900004</v>
      </c>
      <c r="K372" s="2">
        <f t="shared" si="96"/>
        <v>5503257803784.334</v>
      </c>
      <c r="L372" s="2">
        <f t="shared" si="97"/>
        <v>8425352837.7114077</v>
      </c>
      <c r="N372" s="42">
        <f t="shared" si="98"/>
        <v>2198601.455305757</v>
      </c>
      <c r="O372" s="42">
        <f t="shared" si="99"/>
        <v>827189446903.97852</v>
      </c>
      <c r="P372" s="4">
        <f t="shared" si="100"/>
        <v>1436402.7846942428</v>
      </c>
      <c r="Q372" s="4">
        <f t="shared" si="101"/>
        <v>2063252959877.375</v>
      </c>
      <c r="R372" s="43">
        <f t="shared" si="102"/>
        <v>2.6249682953074474E-3</v>
      </c>
      <c r="S372" s="4">
        <f t="shared" si="103"/>
        <v>1.1819933435593315</v>
      </c>
      <c r="T372" s="30">
        <f t="shared" si="104"/>
        <v>2076138.7554216674</v>
      </c>
      <c r="U372" s="31">
        <f t="shared" si="105"/>
        <v>2321064.1551898466</v>
      </c>
      <c r="V372" s="31">
        <f t="shared" si="106"/>
        <v>4588096.0156577975</v>
      </c>
      <c r="W372" s="42">
        <f t="shared" si="107"/>
        <v>4591978.143159885</v>
      </c>
    </row>
    <row r="373" spans="2:23" x14ac:dyDescent="0.3">
      <c r="B373" s="2">
        <v>365</v>
      </c>
      <c r="C373" s="2">
        <v>4885</v>
      </c>
      <c r="D373" s="4">
        <v>231793.25</v>
      </c>
      <c r="E373" s="4">
        <f t="shared" si="90"/>
        <v>1132310026.25</v>
      </c>
      <c r="F373" s="2">
        <f t="shared" si="91"/>
        <v>23863225</v>
      </c>
      <c r="G373" s="2">
        <f t="shared" si="92"/>
        <v>53728110745.5625</v>
      </c>
      <c r="H373" s="42">
        <f t="shared" si="93"/>
        <v>-139.48099999999977</v>
      </c>
      <c r="I373" s="2">
        <f t="shared" si="94"/>
        <v>19454.949360999934</v>
      </c>
      <c r="J373" s="4">
        <f t="shared" si="95"/>
        <v>-1057308.6468099991</v>
      </c>
      <c r="K373" s="2">
        <f t="shared" si="96"/>
        <v>1117901574619.1914</v>
      </c>
      <c r="L373" s="2">
        <f t="shared" si="97"/>
        <v>147474467.36570525</v>
      </c>
      <c r="N373" s="42">
        <f t="shared" si="98"/>
        <v>1253780.3774421366</v>
      </c>
      <c r="O373" s="42">
        <f t="shared" si="99"/>
        <v>1247609730.4542851</v>
      </c>
      <c r="P373" s="4">
        <f t="shared" si="100"/>
        <v>-1021987.1274421366</v>
      </c>
      <c r="Q373" s="4">
        <f t="shared" si="101"/>
        <v>1044457688657.4301</v>
      </c>
      <c r="R373" s="43">
        <f t="shared" si="102"/>
        <v>1.0024508608813777E-3</v>
      </c>
      <c r="S373" s="4">
        <f t="shared" si="103"/>
        <v>-0.84029398075647088</v>
      </c>
      <c r="T373" s="30">
        <f t="shared" si="104"/>
        <v>1178101.7328326083</v>
      </c>
      <c r="U373" s="31">
        <f t="shared" si="105"/>
        <v>1329459.022051665</v>
      </c>
      <c r="V373" s="31">
        <f t="shared" si="106"/>
        <v>3645213.8616864635</v>
      </c>
      <c r="W373" s="42">
        <f t="shared" si="107"/>
        <v>3645219.7169091925</v>
      </c>
    </row>
    <row r="374" spans="2:23" x14ac:dyDescent="0.3">
      <c r="B374" s="2">
        <v>366</v>
      </c>
      <c r="C374" s="2">
        <v>1437</v>
      </c>
      <c r="D374" s="4">
        <v>935788.77</v>
      </c>
      <c r="E374" s="4">
        <f t="shared" si="90"/>
        <v>1344728462.49</v>
      </c>
      <c r="F374" s="2">
        <f t="shared" si="91"/>
        <v>2064969</v>
      </c>
      <c r="G374" s="2">
        <f t="shared" si="92"/>
        <v>875700622058.11292</v>
      </c>
      <c r="H374" s="42">
        <f t="shared" si="93"/>
        <v>-3587.4809999999998</v>
      </c>
      <c r="I374" s="2">
        <f t="shared" si="94"/>
        <v>12870019.925360998</v>
      </c>
      <c r="J374" s="4">
        <f t="shared" si="95"/>
        <v>-353313.12680999911</v>
      </c>
      <c r="K374" s="2">
        <f t="shared" si="96"/>
        <v>124830165576.25851</v>
      </c>
      <c r="L374" s="2">
        <f t="shared" si="97"/>
        <v>1267504129.4814622</v>
      </c>
      <c r="N374" s="42">
        <f t="shared" si="98"/>
        <v>380624.90264348657</v>
      </c>
      <c r="O374" s="42">
        <f t="shared" si="99"/>
        <v>825330448929.82166</v>
      </c>
      <c r="P374" s="4">
        <f t="shared" si="100"/>
        <v>555163.86735651339</v>
      </c>
      <c r="Q374" s="4">
        <f t="shared" si="101"/>
        <v>308206919618.24042</v>
      </c>
      <c r="R374" s="43">
        <f t="shared" si="102"/>
        <v>2.6213163957572883E-3</v>
      </c>
      <c r="S374" s="4">
        <f t="shared" si="103"/>
        <v>0.45683481085795541</v>
      </c>
      <c r="T374" s="30">
        <f t="shared" si="104"/>
        <v>258247.41848051641</v>
      </c>
      <c r="U374" s="31">
        <f t="shared" si="105"/>
        <v>503002.38680645672</v>
      </c>
      <c r="V374" s="31">
        <f t="shared" si="106"/>
        <v>2770123.8288170965</v>
      </c>
      <c r="W374" s="42">
        <f t="shared" si="107"/>
        <v>2773997.2317495849</v>
      </c>
    </row>
    <row r="375" spans="2:23" x14ac:dyDescent="0.3">
      <c r="B375" s="2">
        <v>367</v>
      </c>
      <c r="C375" s="2">
        <v>2341</v>
      </c>
      <c r="D375" s="4">
        <v>191329.93000000002</v>
      </c>
      <c r="E375" s="4">
        <f t="shared" si="90"/>
        <v>447903366.13000005</v>
      </c>
      <c r="F375" s="2">
        <f t="shared" si="91"/>
        <v>5480281</v>
      </c>
      <c r="G375" s="2">
        <f t="shared" si="92"/>
        <v>36607142113.804909</v>
      </c>
      <c r="H375" s="42">
        <f t="shared" si="93"/>
        <v>-2683.4809999999998</v>
      </c>
      <c r="I375" s="2">
        <f t="shared" si="94"/>
        <v>7201070.277360999</v>
      </c>
      <c r="J375" s="4">
        <f t="shared" si="95"/>
        <v>-1097771.9668099992</v>
      </c>
      <c r="K375" s="2">
        <f t="shared" si="96"/>
        <v>1205103291113.894</v>
      </c>
      <c r="L375" s="2">
        <f t="shared" si="97"/>
        <v>2945850215.2672634</v>
      </c>
      <c r="N375" s="42">
        <f t="shared" si="98"/>
        <v>609549.65589696099</v>
      </c>
      <c r="O375" s="42">
        <f t="shared" si="99"/>
        <v>461791248129.93182</v>
      </c>
      <c r="P375" s="4">
        <f t="shared" si="100"/>
        <v>-418219.72589696094</v>
      </c>
      <c r="Q375" s="4">
        <f t="shared" si="101"/>
        <v>174907739129.32913</v>
      </c>
      <c r="R375" s="43">
        <f t="shared" si="102"/>
        <v>1.9071635766996207E-3</v>
      </c>
      <c r="S375" s="4">
        <f t="shared" si="103"/>
        <v>-0.34402268582601941</v>
      </c>
      <c r="T375" s="30">
        <f t="shared" si="104"/>
        <v>505165.21468149708</v>
      </c>
      <c r="U375" s="31">
        <f t="shared" si="105"/>
        <v>713934.0971124249</v>
      </c>
      <c r="V375" s="31">
        <f t="shared" si="106"/>
        <v>2999902.1937555568</v>
      </c>
      <c r="W375" s="42">
        <f t="shared" si="107"/>
        <v>3002069.4507301319</v>
      </c>
    </row>
    <row r="376" spans="2:23" x14ac:dyDescent="0.3">
      <c r="B376" s="2">
        <v>368</v>
      </c>
      <c r="C376" s="2">
        <v>3695</v>
      </c>
      <c r="D376" s="4">
        <v>563783.10000000009</v>
      </c>
      <c r="E376" s="4">
        <f t="shared" si="90"/>
        <v>2083178554.5000002</v>
      </c>
      <c r="F376" s="2">
        <f t="shared" si="91"/>
        <v>13653025</v>
      </c>
      <c r="G376" s="2">
        <f t="shared" si="92"/>
        <v>317851383845.61011</v>
      </c>
      <c r="H376" s="42">
        <f t="shared" si="93"/>
        <v>-1329.4809999999998</v>
      </c>
      <c r="I376" s="2">
        <f t="shared" si="94"/>
        <v>1767519.7293609993</v>
      </c>
      <c r="J376" s="4">
        <f t="shared" si="95"/>
        <v>-725318.79680999904</v>
      </c>
      <c r="K376" s="2">
        <f t="shared" si="96"/>
        <v>526087357005.90466</v>
      </c>
      <c r="L376" s="2">
        <f t="shared" si="97"/>
        <v>964297559.30175412</v>
      </c>
      <c r="N376" s="42">
        <f t="shared" si="98"/>
        <v>952430.31508413376</v>
      </c>
      <c r="O376" s="42">
        <f t="shared" si="99"/>
        <v>113347753941.79605</v>
      </c>
      <c r="P376" s="4">
        <f t="shared" si="100"/>
        <v>-388647.21508413367</v>
      </c>
      <c r="Q376" s="4">
        <f t="shared" si="101"/>
        <v>151046657792.65286</v>
      </c>
      <c r="R376" s="43">
        <f t="shared" si="102"/>
        <v>1.2226654452484921E-3</v>
      </c>
      <c r="S376" s="4">
        <f t="shared" si="103"/>
        <v>-0.31958711352389524</v>
      </c>
      <c r="T376" s="30">
        <f t="shared" si="104"/>
        <v>868851.61388774565</v>
      </c>
      <c r="U376" s="31">
        <f t="shared" si="105"/>
        <v>1036009.0162805219</v>
      </c>
      <c r="V376" s="31">
        <f t="shared" si="106"/>
        <v>3343600.7330011046</v>
      </c>
      <c r="W376" s="42">
        <f t="shared" si="107"/>
        <v>3344132.6912995288</v>
      </c>
    </row>
    <row r="377" spans="2:23" x14ac:dyDescent="0.3">
      <c r="B377" s="2">
        <v>369</v>
      </c>
      <c r="C377" s="2">
        <v>8629</v>
      </c>
      <c r="D377" s="4">
        <v>5766501.8300000001</v>
      </c>
      <c r="E377" s="4">
        <f t="shared" si="90"/>
        <v>49759144291.07</v>
      </c>
      <c r="F377" s="2">
        <f t="shared" si="91"/>
        <v>74459641</v>
      </c>
      <c r="G377" s="2">
        <f t="shared" si="92"/>
        <v>33252543355393.352</v>
      </c>
      <c r="H377" s="42">
        <f t="shared" si="93"/>
        <v>3604.5190000000002</v>
      </c>
      <c r="I377" s="2">
        <f t="shared" si="94"/>
        <v>12992557.221361002</v>
      </c>
      <c r="J377" s="4">
        <f t="shared" si="95"/>
        <v>4477399.9331900012</v>
      </c>
      <c r="K377" s="2">
        <f t="shared" si="96"/>
        <v>20047110161729.828</v>
      </c>
      <c r="L377" s="2">
        <f t="shared" si="97"/>
        <v>16138873129.782091</v>
      </c>
      <c r="N377" s="42">
        <f t="shared" si="98"/>
        <v>2201893.5148105081</v>
      </c>
      <c r="O377" s="42">
        <f t="shared" si="99"/>
        <v>833188537891.98706</v>
      </c>
      <c r="P377" s="4">
        <f t="shared" si="100"/>
        <v>3564608.315189492</v>
      </c>
      <c r="Q377" s="4">
        <f t="shared" si="101"/>
        <v>12706432440718.068</v>
      </c>
      <c r="R377" s="43">
        <f t="shared" si="102"/>
        <v>2.6367531804902377E-3</v>
      </c>
      <c r="S377" s="4">
        <f t="shared" si="103"/>
        <v>2.9332776560249489</v>
      </c>
      <c r="T377" s="30">
        <f t="shared" si="104"/>
        <v>2079156.2225338265</v>
      </c>
      <c r="U377" s="31">
        <f t="shared" si="105"/>
        <v>2324630.8070871895</v>
      </c>
      <c r="V377" s="31">
        <f t="shared" si="106"/>
        <v>4591373.9863564633</v>
      </c>
      <c r="W377" s="42">
        <f t="shared" si="107"/>
        <v>4595284.2685354622</v>
      </c>
    </row>
    <row r="378" spans="2:23" x14ac:dyDescent="0.3">
      <c r="B378" s="2">
        <v>370</v>
      </c>
      <c r="C378" s="2">
        <v>2304</v>
      </c>
      <c r="D378" s="4">
        <v>1007308.7999999999</v>
      </c>
      <c r="E378" s="4">
        <f t="shared" si="90"/>
        <v>2320839475.1999998</v>
      </c>
      <c r="F378" s="2">
        <f t="shared" si="91"/>
        <v>5308416</v>
      </c>
      <c r="G378" s="2">
        <f t="shared" si="92"/>
        <v>1014671018557.4398</v>
      </c>
      <c r="H378" s="42">
        <f t="shared" si="93"/>
        <v>-2720.4809999999998</v>
      </c>
      <c r="I378" s="2">
        <f t="shared" si="94"/>
        <v>7401016.8713609986</v>
      </c>
      <c r="J378" s="4">
        <f t="shared" si="95"/>
        <v>-281793.0968099992</v>
      </c>
      <c r="K378" s="2">
        <f t="shared" si="96"/>
        <v>79407349409.769577</v>
      </c>
      <c r="L378" s="2">
        <f t="shared" si="97"/>
        <v>766612765.80276334</v>
      </c>
      <c r="N378" s="42">
        <f t="shared" si="98"/>
        <v>600179.94807574572</v>
      </c>
      <c r="O378" s="42">
        <f t="shared" si="99"/>
        <v>474613451447.80127</v>
      </c>
      <c r="P378" s="4">
        <f t="shared" si="100"/>
        <v>407128.85192425421</v>
      </c>
      <c r="Q378" s="4">
        <f t="shared" si="101"/>
        <v>165753902069.16132</v>
      </c>
      <c r="R378" s="43">
        <f t="shared" si="102"/>
        <v>1.9323520917919105E-3</v>
      </c>
      <c r="S378" s="4">
        <f t="shared" si="103"/>
        <v>0.33490368774759599</v>
      </c>
      <c r="T378" s="30">
        <f t="shared" si="104"/>
        <v>495108.44873335119</v>
      </c>
      <c r="U378" s="31">
        <f t="shared" si="105"/>
        <v>705251.44741814025</v>
      </c>
      <c r="V378" s="31">
        <f t="shared" si="106"/>
        <v>2990502.3838238679</v>
      </c>
      <c r="W378" s="42">
        <f t="shared" si="107"/>
        <v>2992729.8173730928</v>
      </c>
    </row>
    <row r="379" spans="2:23" x14ac:dyDescent="0.3">
      <c r="B379" s="2">
        <v>371</v>
      </c>
      <c r="C379" s="2">
        <v>6912</v>
      </c>
      <c r="D379" s="4">
        <v>1054632.9600000002</v>
      </c>
      <c r="E379" s="4">
        <f t="shared" si="90"/>
        <v>7289623019.5200014</v>
      </c>
      <c r="F379" s="2">
        <f t="shared" si="91"/>
        <v>47775744</v>
      </c>
      <c r="G379" s="2">
        <f t="shared" si="92"/>
        <v>1112250680318.3621</v>
      </c>
      <c r="H379" s="42">
        <f t="shared" si="93"/>
        <v>1887.5190000000002</v>
      </c>
      <c r="I379" s="2">
        <f t="shared" si="94"/>
        <v>3562727.9753610007</v>
      </c>
      <c r="J379" s="4">
        <f t="shared" si="95"/>
        <v>-234468.93680999894</v>
      </c>
      <c r="K379" s="2">
        <f t="shared" si="96"/>
        <v>54975682328.811272</v>
      </c>
      <c r="L379" s="2">
        <f t="shared" si="97"/>
        <v>-442564573.13867241</v>
      </c>
      <c r="N379" s="42">
        <f t="shared" si="98"/>
        <v>1767088.4248368186</v>
      </c>
      <c r="O379" s="42">
        <f t="shared" si="99"/>
        <v>228471120975.13345</v>
      </c>
      <c r="P379" s="4">
        <f t="shared" si="100"/>
        <v>-712455.4648368184</v>
      </c>
      <c r="Q379" s="4">
        <f t="shared" si="101"/>
        <v>507592789375.84698</v>
      </c>
      <c r="R379" s="43">
        <f t="shared" si="102"/>
        <v>1.4488189850190877E-3</v>
      </c>
      <c r="S379" s="4">
        <f t="shared" si="103"/>
        <v>-0.58592306649577186</v>
      </c>
      <c r="T379" s="30">
        <f t="shared" si="104"/>
        <v>1676107.8109500131</v>
      </c>
      <c r="U379" s="31">
        <f t="shared" si="105"/>
        <v>1858069.0387236241</v>
      </c>
      <c r="V379" s="31">
        <f t="shared" si="106"/>
        <v>4157988.6516785147</v>
      </c>
      <c r="W379" s="42">
        <f t="shared" si="107"/>
        <v>4159060.9015187542</v>
      </c>
    </row>
    <row r="380" spans="2:23" x14ac:dyDescent="0.3">
      <c r="B380" s="2">
        <v>372</v>
      </c>
      <c r="C380" s="2">
        <v>6678</v>
      </c>
      <c r="D380" s="4">
        <v>4462707.0599999996</v>
      </c>
      <c r="E380" s="4">
        <f t="shared" si="90"/>
        <v>29801957746.679996</v>
      </c>
      <c r="F380" s="2">
        <f t="shared" si="91"/>
        <v>44595684</v>
      </c>
      <c r="G380" s="2">
        <f t="shared" si="92"/>
        <v>19915754303373.84</v>
      </c>
      <c r="H380" s="42">
        <f t="shared" si="93"/>
        <v>1653.5190000000002</v>
      </c>
      <c r="I380" s="2">
        <f t="shared" si="94"/>
        <v>2734125.0833610008</v>
      </c>
      <c r="J380" s="4">
        <f t="shared" si="95"/>
        <v>3173605.1631900007</v>
      </c>
      <c r="K380" s="2">
        <f t="shared" si="96"/>
        <v>10071769731826.23</v>
      </c>
      <c r="L380" s="2">
        <f t="shared" si="97"/>
        <v>5247616435.8327675</v>
      </c>
      <c r="N380" s="42">
        <f t="shared" si="98"/>
        <v>1707831.3537512952</v>
      </c>
      <c r="O380" s="42">
        <f t="shared" si="99"/>
        <v>175334358110.35275</v>
      </c>
      <c r="P380" s="4">
        <f t="shared" si="100"/>
        <v>2754875.7062487043</v>
      </c>
      <c r="Q380" s="4">
        <f t="shared" si="101"/>
        <v>7589340156879.2979</v>
      </c>
      <c r="R380" s="43">
        <f t="shared" si="102"/>
        <v>1.3444347290379284E-3</v>
      </c>
      <c r="S380" s="4">
        <f t="shared" si="103"/>
        <v>2.2654901814751631</v>
      </c>
      <c r="T380" s="30">
        <f t="shared" si="104"/>
        <v>1620189.4787957079</v>
      </c>
      <c r="U380" s="31">
        <f t="shared" si="105"/>
        <v>1795473.2287068826</v>
      </c>
      <c r="V380" s="31">
        <f t="shared" si="106"/>
        <v>4098856.2947690929</v>
      </c>
      <c r="W380" s="42">
        <f t="shared" si="107"/>
        <v>4099679.1656629192</v>
      </c>
    </row>
    <row r="381" spans="2:23" x14ac:dyDescent="0.3">
      <c r="B381" s="2">
        <v>373</v>
      </c>
      <c r="C381" s="2">
        <v>2855</v>
      </c>
      <c r="D381" s="4">
        <v>311994.40000000002</v>
      </c>
      <c r="E381" s="4">
        <f t="shared" si="90"/>
        <v>890744012.00000012</v>
      </c>
      <c r="F381" s="2">
        <f t="shared" si="91"/>
        <v>8151025</v>
      </c>
      <c r="G381" s="2">
        <f t="shared" si="92"/>
        <v>97340505631.360016</v>
      </c>
      <c r="H381" s="42">
        <f t="shared" si="93"/>
        <v>-2169.4809999999998</v>
      </c>
      <c r="I381" s="2">
        <f t="shared" si="94"/>
        <v>4706647.8093609987</v>
      </c>
      <c r="J381" s="4">
        <f t="shared" si="95"/>
        <v>-977107.49680999911</v>
      </c>
      <c r="K381" s="2">
        <f t="shared" si="96"/>
        <v>954739060322.30237</v>
      </c>
      <c r="L381" s="2">
        <f t="shared" si="97"/>
        <v>2119816149.2868536</v>
      </c>
      <c r="N381" s="42">
        <f t="shared" si="98"/>
        <v>739712.62400789652</v>
      </c>
      <c r="O381" s="42">
        <f t="shared" si="99"/>
        <v>301828573070.02313</v>
      </c>
      <c r="P381" s="4">
        <f t="shared" si="100"/>
        <v>-427718.2240078965</v>
      </c>
      <c r="Q381" s="4">
        <f t="shared" si="101"/>
        <v>182942879148.46912</v>
      </c>
      <c r="R381" s="43">
        <f t="shared" si="102"/>
        <v>1.5929256758441318E-3</v>
      </c>
      <c r="S381" s="4">
        <f t="shared" si="103"/>
        <v>-0.35178066731293522</v>
      </c>
      <c r="T381" s="30">
        <f t="shared" si="104"/>
        <v>644314.56137286767</v>
      </c>
      <c r="U381" s="31">
        <f t="shared" si="105"/>
        <v>835110.68664292537</v>
      </c>
      <c r="V381" s="31">
        <f t="shared" si="106"/>
        <v>3130440.6671906374</v>
      </c>
      <c r="W381" s="42">
        <f t="shared" si="107"/>
        <v>3131857.1947759781</v>
      </c>
    </row>
    <row r="382" spans="2:23" x14ac:dyDescent="0.3">
      <c r="B382" s="2">
        <v>374</v>
      </c>
      <c r="C382" s="2">
        <v>8730</v>
      </c>
      <c r="D382" s="4">
        <v>1795761</v>
      </c>
      <c r="E382" s="4">
        <f t="shared" si="90"/>
        <v>15676993530</v>
      </c>
      <c r="F382" s="2">
        <f t="shared" si="91"/>
        <v>76212900</v>
      </c>
      <c r="G382" s="2">
        <f t="shared" si="92"/>
        <v>3224757569121</v>
      </c>
      <c r="H382" s="42">
        <f t="shared" si="93"/>
        <v>3705.5190000000002</v>
      </c>
      <c r="I382" s="2">
        <f t="shared" si="94"/>
        <v>13730871.059361001</v>
      </c>
      <c r="J382" s="4">
        <f t="shared" si="95"/>
        <v>506659.10319000087</v>
      </c>
      <c r="K382" s="2">
        <f t="shared" si="96"/>
        <v>256703446845.29596</v>
      </c>
      <c r="L382" s="2">
        <f t="shared" si="97"/>
        <v>1877434933.3935089</v>
      </c>
      <c r="N382" s="42">
        <f t="shared" si="98"/>
        <v>2227470.2848089607</v>
      </c>
      <c r="O382" s="42">
        <f t="shared" si="99"/>
        <v>880535231595.76978</v>
      </c>
      <c r="P382" s="4">
        <f t="shared" si="100"/>
        <v>-431709.28480896074</v>
      </c>
      <c r="Q382" s="4">
        <f t="shared" si="101"/>
        <v>186372906590.26437</v>
      </c>
      <c r="R382" s="43">
        <f t="shared" si="102"/>
        <v>2.7297631632024685E-3</v>
      </c>
      <c r="S382" s="4">
        <f t="shared" si="103"/>
        <v>-0.35526547020655919</v>
      </c>
      <c r="T382" s="30">
        <f t="shared" si="104"/>
        <v>2102587.0087032267</v>
      </c>
      <c r="U382" s="31">
        <f t="shared" si="105"/>
        <v>2352353.5609146948</v>
      </c>
      <c r="V382" s="31">
        <f t="shared" si="106"/>
        <v>4616839.5601960849</v>
      </c>
      <c r="W382" s="42">
        <f t="shared" si="107"/>
        <v>4620972.0478648376</v>
      </c>
    </row>
    <row r="383" spans="2:23" x14ac:dyDescent="0.3">
      <c r="B383" s="2">
        <v>375</v>
      </c>
      <c r="C383" s="2">
        <v>4621</v>
      </c>
      <c r="D383" s="4">
        <v>377674.33</v>
      </c>
      <c r="E383" s="4">
        <f t="shared" si="90"/>
        <v>1745233078.9300001</v>
      </c>
      <c r="F383" s="2">
        <f t="shared" si="91"/>
        <v>21353641</v>
      </c>
      <c r="G383" s="2">
        <f t="shared" si="92"/>
        <v>142637899540.94891</v>
      </c>
      <c r="H383" s="42">
        <f t="shared" si="93"/>
        <v>-403.48099999999977</v>
      </c>
      <c r="I383" s="2">
        <f t="shared" si="94"/>
        <v>162796.91736099983</v>
      </c>
      <c r="J383" s="4">
        <f t="shared" si="95"/>
        <v>-911427.56680999906</v>
      </c>
      <c r="K383" s="2">
        <f t="shared" si="96"/>
        <v>830700209541.19531</v>
      </c>
      <c r="L383" s="2">
        <f t="shared" si="97"/>
        <v>367743706.08406502</v>
      </c>
      <c r="N383" s="42">
        <f t="shared" si="98"/>
        <v>1186926.2459610335</v>
      </c>
      <c r="O383" s="42">
        <f t="shared" si="99"/>
        <v>10439863626.409731</v>
      </c>
      <c r="P383" s="4">
        <f t="shared" si="100"/>
        <v>-809251.91596103343</v>
      </c>
      <c r="Q383" s="4">
        <f t="shared" si="101"/>
        <v>654888663486.60352</v>
      </c>
      <c r="R383" s="43">
        <f t="shared" si="102"/>
        <v>1.020508539444917E-3</v>
      </c>
      <c r="S383" s="4">
        <f t="shared" si="103"/>
        <v>-0.66538573880134344</v>
      </c>
      <c r="T383" s="30">
        <f t="shared" si="104"/>
        <v>1110569.0238422556</v>
      </c>
      <c r="U383" s="31">
        <f t="shared" si="105"/>
        <v>1263283.4680798114</v>
      </c>
      <c r="V383" s="31">
        <f t="shared" si="106"/>
        <v>3578338.1597569818</v>
      </c>
      <c r="W383" s="42">
        <f t="shared" si="107"/>
        <v>3578387.1556290947</v>
      </c>
    </row>
    <row r="384" spans="2:23" x14ac:dyDescent="0.3">
      <c r="B384" s="2">
        <v>376</v>
      </c>
      <c r="C384" s="2">
        <v>2875</v>
      </c>
      <c r="D384" s="4">
        <v>591387.5</v>
      </c>
      <c r="E384" s="4">
        <f t="shared" si="90"/>
        <v>1700239062.5</v>
      </c>
      <c r="F384" s="2">
        <f t="shared" si="91"/>
        <v>8265625</v>
      </c>
      <c r="G384" s="2">
        <f t="shared" si="92"/>
        <v>349739175156.25</v>
      </c>
      <c r="H384" s="42">
        <f t="shared" si="93"/>
        <v>-2149.4809999999998</v>
      </c>
      <c r="I384" s="2">
        <f t="shared" si="94"/>
        <v>4620268.5693609994</v>
      </c>
      <c r="J384" s="4">
        <f t="shared" si="95"/>
        <v>-697714.39680999913</v>
      </c>
      <c r="K384" s="2">
        <f t="shared" si="96"/>
        <v>486805379515.94092</v>
      </c>
      <c r="L384" s="2">
        <f t="shared" si="97"/>
        <v>1499723839.3695536</v>
      </c>
      <c r="N384" s="42">
        <f t="shared" si="98"/>
        <v>744777.33093828312</v>
      </c>
      <c r="O384" s="42">
        <f t="shared" si="99"/>
        <v>296289233011.43213</v>
      </c>
      <c r="P384" s="4">
        <f t="shared" si="100"/>
        <v>-153389.83093828312</v>
      </c>
      <c r="Q384" s="4">
        <f t="shared" si="101"/>
        <v>23528440235.275078</v>
      </c>
      <c r="R384" s="43">
        <f t="shared" si="102"/>
        <v>1.5820439461438473E-3</v>
      </c>
      <c r="S384" s="4">
        <f t="shared" si="103"/>
        <v>-0.12615614674562173</v>
      </c>
      <c r="T384" s="30">
        <f t="shared" si="104"/>
        <v>649705.67238825525</v>
      </c>
      <c r="U384" s="31">
        <f t="shared" si="105"/>
        <v>839848.989488311</v>
      </c>
      <c r="V384" s="31">
        <f t="shared" si="106"/>
        <v>3135518.3764209263</v>
      </c>
      <c r="W384" s="42">
        <f t="shared" si="107"/>
        <v>3136908.9070352474</v>
      </c>
    </row>
    <row r="385" spans="2:23" x14ac:dyDescent="0.3">
      <c r="B385" s="2">
        <v>377</v>
      </c>
      <c r="C385" s="2">
        <v>2874</v>
      </c>
      <c r="D385" s="4">
        <v>1212511.8599999999</v>
      </c>
      <c r="E385" s="4">
        <f t="shared" si="90"/>
        <v>3484759085.6399994</v>
      </c>
      <c r="F385" s="2">
        <f t="shared" si="91"/>
        <v>8259876</v>
      </c>
      <c r="G385" s="2">
        <f t="shared" si="92"/>
        <v>1470185010640.6592</v>
      </c>
      <c r="H385" s="42">
        <f t="shared" si="93"/>
        <v>-2150.4809999999998</v>
      </c>
      <c r="I385" s="2">
        <f t="shared" si="94"/>
        <v>4624568.5313609987</v>
      </c>
      <c r="J385" s="4">
        <f t="shared" si="95"/>
        <v>-76590.036809999263</v>
      </c>
      <c r="K385" s="2">
        <f t="shared" si="96"/>
        <v>5866033738.5570421</v>
      </c>
      <c r="L385" s="2">
        <f t="shared" si="97"/>
        <v>164705418.949204</v>
      </c>
      <c r="N385" s="42">
        <f t="shared" si="98"/>
        <v>744524.09559176385</v>
      </c>
      <c r="O385" s="42">
        <f t="shared" si="99"/>
        <v>296564981579.68781</v>
      </c>
      <c r="P385" s="4">
        <f t="shared" si="100"/>
        <v>467987.76440823602</v>
      </c>
      <c r="Q385" s="4">
        <f t="shared" si="101"/>
        <v>219012547635.81863</v>
      </c>
      <c r="R385" s="43">
        <f t="shared" si="102"/>
        <v>1.5825856390807784E-3</v>
      </c>
      <c r="S385" s="4">
        <f t="shared" si="103"/>
        <v>0.38489871679687271</v>
      </c>
      <c r="T385" s="30">
        <f t="shared" si="104"/>
        <v>649436.16213406343</v>
      </c>
      <c r="U385" s="31">
        <f t="shared" si="105"/>
        <v>839612.02904946427</v>
      </c>
      <c r="V385" s="31">
        <f t="shared" si="106"/>
        <v>3135264.4938210738</v>
      </c>
      <c r="W385" s="42">
        <f t="shared" si="107"/>
        <v>3136656.3185656425</v>
      </c>
    </row>
    <row r="386" spans="2:23" x14ac:dyDescent="0.3">
      <c r="B386" s="2">
        <v>378</v>
      </c>
      <c r="C386" s="2">
        <v>6028</v>
      </c>
      <c r="D386" s="4">
        <v>2635441.6</v>
      </c>
      <c r="E386" s="4">
        <f t="shared" si="90"/>
        <v>15886441964.800001</v>
      </c>
      <c r="F386" s="2">
        <f t="shared" si="91"/>
        <v>36336784</v>
      </c>
      <c r="G386" s="2">
        <f t="shared" si="92"/>
        <v>6945552427010.5605</v>
      </c>
      <c r="H386" s="42">
        <f t="shared" si="93"/>
        <v>1003.5190000000002</v>
      </c>
      <c r="I386" s="2">
        <f t="shared" si="94"/>
        <v>1007050.3833610005</v>
      </c>
      <c r="J386" s="4">
        <f t="shared" si="95"/>
        <v>1346339.703190001</v>
      </c>
      <c r="K386" s="2">
        <f t="shared" si="96"/>
        <v>1812630596385.74</v>
      </c>
      <c r="L386" s="2">
        <f t="shared" si="97"/>
        <v>1351077472.6055269</v>
      </c>
      <c r="N386" s="42">
        <f t="shared" si="98"/>
        <v>1543228.3785137308</v>
      </c>
      <c r="O386" s="42">
        <f t="shared" si="99"/>
        <v>64580268703.117081</v>
      </c>
      <c r="P386" s="4">
        <f t="shared" si="100"/>
        <v>1092213.2214862693</v>
      </c>
      <c r="Q386" s="4">
        <f t="shared" si="101"/>
        <v>1192929721189.4143</v>
      </c>
      <c r="R386" s="43">
        <f t="shared" si="102"/>
        <v>1.1268643954994541E-3</v>
      </c>
      <c r="S386" s="4">
        <f t="shared" si="103"/>
        <v>0.89809091116620687</v>
      </c>
      <c r="T386" s="30">
        <f t="shared" si="104"/>
        <v>1462990.8344281777</v>
      </c>
      <c r="U386" s="31">
        <f t="shared" si="105"/>
        <v>1623465.922599284</v>
      </c>
      <c r="V386" s="31">
        <f t="shared" si="106"/>
        <v>3934513.2430445161</v>
      </c>
      <c r="W386" s="42">
        <f t="shared" si="107"/>
        <v>3934816.32809484</v>
      </c>
    </row>
    <row r="387" spans="2:23" x14ac:dyDescent="0.3">
      <c r="B387" s="2">
        <v>379</v>
      </c>
      <c r="C387" s="2">
        <v>779</v>
      </c>
      <c r="D387" s="4">
        <v>160240.29999999999</v>
      </c>
      <c r="E387" s="4">
        <f t="shared" si="90"/>
        <v>124827193.69999999</v>
      </c>
      <c r="F387" s="2">
        <f t="shared" si="91"/>
        <v>606841</v>
      </c>
      <c r="G387" s="2">
        <f t="shared" si="92"/>
        <v>25676953744.089996</v>
      </c>
      <c r="H387" s="42">
        <f t="shared" si="93"/>
        <v>-4245.4809999999998</v>
      </c>
      <c r="I387" s="2">
        <f t="shared" si="94"/>
        <v>18024108.921360999</v>
      </c>
      <c r="J387" s="4">
        <f t="shared" si="95"/>
        <v>-1128861.5968099991</v>
      </c>
      <c r="K387" s="2">
        <f t="shared" si="96"/>
        <v>1274328504752.4209</v>
      </c>
      <c r="L387" s="2">
        <f t="shared" si="97"/>
        <v>4792560460.8865118</v>
      </c>
      <c r="N387" s="42">
        <f t="shared" si="98"/>
        <v>213996.04463376739</v>
      </c>
      <c r="O387" s="42">
        <f t="shared" si="99"/>
        <v>1155852593383.5815</v>
      </c>
      <c r="P387" s="4">
        <f t="shared" si="100"/>
        <v>-53755.744633767405</v>
      </c>
      <c r="Q387" s="4">
        <f t="shared" si="101"/>
        <v>2889680081.1308131</v>
      </c>
      <c r="R387" s="43">
        <f t="shared" si="102"/>
        <v>3.270609018680141E-3</v>
      </c>
      <c r="S387" s="4">
        <f t="shared" si="103"/>
        <v>-4.4249084343090252E-2</v>
      </c>
      <c r="T387" s="30">
        <f t="shared" si="104"/>
        <v>77299.94790217944</v>
      </c>
      <c r="U387" s="31">
        <f t="shared" si="105"/>
        <v>350692.14136535535</v>
      </c>
      <c r="V387" s="31">
        <f t="shared" si="106"/>
        <v>2602718.6203953903</v>
      </c>
      <c r="W387" s="42">
        <f t="shared" si="107"/>
        <v>2608143.216376212</v>
      </c>
    </row>
    <row r="388" spans="2:23" x14ac:dyDescent="0.3">
      <c r="B388" s="2">
        <v>380</v>
      </c>
      <c r="C388" s="2">
        <v>7601</v>
      </c>
      <c r="D388" s="4">
        <v>3206785.8899999997</v>
      </c>
      <c r="E388" s="4">
        <f t="shared" si="90"/>
        <v>24374779549.889996</v>
      </c>
      <c r="F388" s="2">
        <f t="shared" si="91"/>
        <v>57775201</v>
      </c>
      <c r="G388" s="2">
        <f t="shared" si="92"/>
        <v>10283475744303.09</v>
      </c>
      <c r="H388" s="42">
        <f t="shared" si="93"/>
        <v>2576.5190000000002</v>
      </c>
      <c r="I388" s="2">
        <f t="shared" si="94"/>
        <v>6638450.1573610008</v>
      </c>
      <c r="J388" s="4">
        <f t="shared" si="95"/>
        <v>1917683.9931900005</v>
      </c>
      <c r="K388" s="2">
        <f t="shared" si="96"/>
        <v>3677511897737.146</v>
      </c>
      <c r="L388" s="2">
        <f t="shared" si="97"/>
        <v>4940949244.4499073</v>
      </c>
      <c r="N388" s="42">
        <f t="shared" si="98"/>
        <v>1941567.5785886371</v>
      </c>
      <c r="O388" s="42">
        <f t="shared" si="99"/>
        <v>425711465898.86279</v>
      </c>
      <c r="P388" s="4">
        <f t="shared" si="100"/>
        <v>1265218.3114113626</v>
      </c>
      <c r="Q388" s="4">
        <f t="shared" si="101"/>
        <v>1600777375530.6196</v>
      </c>
      <c r="R388" s="43">
        <f t="shared" si="102"/>
        <v>1.836286823561001E-3</v>
      </c>
      <c r="S388" s="4">
        <f t="shared" si="103"/>
        <v>1.0407169270190681</v>
      </c>
      <c r="T388" s="30">
        <f t="shared" si="104"/>
        <v>1839141.1434571736</v>
      </c>
      <c r="U388" s="31">
        <f t="shared" si="105"/>
        <v>2043994.0137201005</v>
      </c>
      <c r="V388" s="31">
        <f t="shared" si="106"/>
        <v>4332004.8172964752</v>
      </c>
      <c r="W388" s="42">
        <f t="shared" si="107"/>
        <v>4334002.7463025777</v>
      </c>
    </row>
    <row r="389" spans="2:23" x14ac:dyDescent="0.3">
      <c r="B389" s="2">
        <v>381</v>
      </c>
      <c r="C389" s="2">
        <v>3999</v>
      </c>
      <c r="D389" s="4">
        <v>1020864.72</v>
      </c>
      <c r="E389" s="4">
        <f t="shared" si="90"/>
        <v>4082438015.2799997</v>
      </c>
      <c r="F389" s="2">
        <f t="shared" si="91"/>
        <v>15992001</v>
      </c>
      <c r="G389" s="2">
        <f t="shared" si="92"/>
        <v>1042164776540.6783</v>
      </c>
      <c r="H389" s="42">
        <f t="shared" si="93"/>
        <v>-1025.4809999999998</v>
      </c>
      <c r="I389" s="2">
        <f t="shared" si="94"/>
        <v>1051611.2813609994</v>
      </c>
      <c r="J389" s="4">
        <f t="shared" si="95"/>
        <v>-268237.17680999916</v>
      </c>
      <c r="K389" s="2">
        <f t="shared" si="96"/>
        <v>71951183022.998749</v>
      </c>
      <c r="L389" s="2">
        <f t="shared" si="97"/>
        <v>275072128.31229466</v>
      </c>
      <c r="N389" s="42">
        <f t="shared" si="98"/>
        <v>1029413.8604260101</v>
      </c>
      <c r="O389" s="42">
        <f t="shared" si="99"/>
        <v>67437876240.972015</v>
      </c>
      <c r="P389" s="4">
        <f t="shared" si="100"/>
        <v>-8549.1404260101262</v>
      </c>
      <c r="Q389" s="4">
        <f t="shared" si="101"/>
        <v>73087802.023640603</v>
      </c>
      <c r="R389" s="43">
        <f t="shared" si="102"/>
        <v>1.1324780087615983E-3</v>
      </c>
      <c r="S389" s="4">
        <f t="shared" si="103"/>
        <v>-7.0296959775249055E-3</v>
      </c>
      <c r="T389" s="30">
        <f t="shared" si="104"/>
        <v>948976.70803908806</v>
      </c>
      <c r="U389" s="31">
        <f t="shared" si="105"/>
        <v>1109851.0128129323</v>
      </c>
      <c r="V389" s="31">
        <f t="shared" si="106"/>
        <v>3420692.0189284412</v>
      </c>
      <c r="W389" s="42">
        <f t="shared" si="107"/>
        <v>3421008.5151668191</v>
      </c>
    </row>
    <row r="390" spans="2:23" x14ac:dyDescent="0.3">
      <c r="B390" s="2">
        <v>382</v>
      </c>
      <c r="C390" s="2">
        <v>9509</v>
      </c>
      <c r="D390" s="4">
        <v>1450883.2200000002</v>
      </c>
      <c r="E390" s="4">
        <f t="shared" si="90"/>
        <v>13796448538.980001</v>
      </c>
      <c r="F390" s="2">
        <f t="shared" si="91"/>
        <v>90421081</v>
      </c>
      <c r="G390" s="2">
        <f t="shared" si="92"/>
        <v>2105062118077.5691</v>
      </c>
      <c r="H390" s="42">
        <f t="shared" si="93"/>
        <v>4484.5190000000002</v>
      </c>
      <c r="I390" s="2">
        <f t="shared" si="94"/>
        <v>20110910.661361001</v>
      </c>
      <c r="J390" s="4">
        <f t="shared" si="95"/>
        <v>161781.32319000107</v>
      </c>
      <c r="K390" s="2">
        <f t="shared" si="96"/>
        <v>26173196533.107578</v>
      </c>
      <c r="L390" s="2">
        <f t="shared" si="97"/>
        <v>725511417.69070041</v>
      </c>
      <c r="N390" s="42">
        <f t="shared" si="98"/>
        <v>2424740.6197475186</v>
      </c>
      <c r="O390" s="42">
        <f t="shared" si="99"/>
        <v>1289675309035.1599</v>
      </c>
      <c r="P390" s="4">
        <f t="shared" si="100"/>
        <v>-973857.39974751836</v>
      </c>
      <c r="Q390" s="4">
        <f t="shared" si="101"/>
        <v>948398235042.9978</v>
      </c>
      <c r="R390" s="43">
        <f t="shared" si="102"/>
        <v>3.5334964031114389E-3</v>
      </c>
      <c r="S390" s="4">
        <f t="shared" si="103"/>
        <v>-0.801737236356028</v>
      </c>
      <c r="T390" s="30">
        <f t="shared" si="104"/>
        <v>2282656.9630954452</v>
      </c>
      <c r="U390" s="31">
        <f t="shared" si="105"/>
        <v>2566824.2763995919</v>
      </c>
      <c r="V390" s="31">
        <f t="shared" si="106"/>
        <v>4813148.7928467635</v>
      </c>
      <c r="W390" s="42">
        <f t="shared" si="107"/>
        <v>4819201.4405980743</v>
      </c>
    </row>
    <row r="391" spans="2:23" x14ac:dyDescent="0.3">
      <c r="B391" s="2">
        <v>383</v>
      </c>
      <c r="C391" s="2">
        <v>699</v>
      </c>
      <c r="D391" s="4">
        <v>294901.11</v>
      </c>
      <c r="E391" s="4">
        <f t="shared" si="90"/>
        <v>206135875.88999999</v>
      </c>
      <c r="F391" s="2">
        <f t="shared" si="91"/>
        <v>488601</v>
      </c>
      <c r="G391" s="2">
        <f t="shared" si="92"/>
        <v>86966664679.232086</v>
      </c>
      <c r="H391" s="42">
        <f t="shared" si="93"/>
        <v>-4325.4809999999998</v>
      </c>
      <c r="I391" s="2">
        <f t="shared" si="94"/>
        <v>18709785.881360997</v>
      </c>
      <c r="J391" s="4">
        <f t="shared" si="95"/>
        <v>-994200.78680999915</v>
      </c>
      <c r="K391" s="2">
        <f t="shared" si="96"/>
        <v>988435204493.62134</v>
      </c>
      <c r="L391" s="2">
        <f t="shared" si="97"/>
        <v>4300396613.531702</v>
      </c>
      <c r="N391" s="42">
        <f t="shared" si="98"/>
        <v>193737.21691222099</v>
      </c>
      <c r="O391" s="42">
        <f t="shared" si="99"/>
        <v>1199823781967.562</v>
      </c>
      <c r="P391" s="4">
        <f t="shared" si="100"/>
        <v>101163.893087779</v>
      </c>
      <c r="Q391" s="4">
        <f t="shared" si="101"/>
        <v>10234133264.675579</v>
      </c>
      <c r="R391" s="43">
        <f t="shared" si="102"/>
        <v>3.3569880067382987E-3</v>
      </c>
      <c r="S391" s="4">
        <f t="shared" si="103"/>
        <v>8.3276748356571992E-2</v>
      </c>
      <c r="T391" s="30">
        <f t="shared" si="104"/>
        <v>55247.765925056039</v>
      </c>
      <c r="U391" s="31">
        <f t="shared" si="105"/>
        <v>332226.66789938591</v>
      </c>
      <c r="V391" s="31">
        <f t="shared" si="106"/>
        <v>2582356.491468166</v>
      </c>
      <c r="W391" s="42">
        <f t="shared" si="107"/>
        <v>2587987.4513562778</v>
      </c>
    </row>
    <row r="392" spans="2:23" x14ac:dyDescent="0.3">
      <c r="B392" s="2">
        <v>384</v>
      </c>
      <c r="C392" s="2">
        <v>6167</v>
      </c>
      <c r="D392" s="4">
        <v>1574311.76</v>
      </c>
      <c r="E392" s="4">
        <f t="shared" si="90"/>
        <v>9708780623.9200001</v>
      </c>
      <c r="F392" s="2">
        <f t="shared" si="91"/>
        <v>38031889</v>
      </c>
      <c r="G392" s="2">
        <f t="shared" si="92"/>
        <v>2478457517674.2979</v>
      </c>
      <c r="H392" s="42">
        <f t="shared" si="93"/>
        <v>1142.5190000000002</v>
      </c>
      <c r="I392" s="2">
        <f t="shared" si="94"/>
        <v>1305349.6653610005</v>
      </c>
      <c r="J392" s="4">
        <f t="shared" si="95"/>
        <v>285209.86319000088</v>
      </c>
      <c r="K392" s="2">
        <f t="shared" si="96"/>
        <v>81344666060.859024</v>
      </c>
      <c r="L392" s="2">
        <f t="shared" si="97"/>
        <v>325857687.68197668</v>
      </c>
      <c r="N392" s="42">
        <f t="shared" si="98"/>
        <v>1578428.0916799176</v>
      </c>
      <c r="O392" s="42">
        <f t="shared" si="99"/>
        <v>83709647037.906067</v>
      </c>
      <c r="P392" s="4">
        <f t="shared" si="100"/>
        <v>-4116.3316799176391</v>
      </c>
      <c r="Q392" s="4">
        <f t="shared" si="101"/>
        <v>16944186.499093574</v>
      </c>
      <c r="R392" s="43">
        <f t="shared" si="102"/>
        <v>1.164443009950252E-3</v>
      </c>
      <c r="S392" s="4">
        <f t="shared" si="103"/>
        <v>-3.3847874551787083E-3</v>
      </c>
      <c r="T392" s="30">
        <f t="shared" si="104"/>
        <v>1496863.6405849999</v>
      </c>
      <c r="U392" s="31">
        <f t="shared" si="105"/>
        <v>1659992.5427748354</v>
      </c>
      <c r="V392" s="31">
        <f t="shared" si="106"/>
        <v>3969668.0643996107</v>
      </c>
      <c r="W392" s="42">
        <f t="shared" si="107"/>
        <v>3970060.9265404674</v>
      </c>
    </row>
    <row r="393" spans="2:23" x14ac:dyDescent="0.3">
      <c r="B393" s="2">
        <v>385</v>
      </c>
      <c r="C393" s="2">
        <v>1543</v>
      </c>
      <c r="D393" s="4">
        <v>126109.39</v>
      </c>
      <c r="E393" s="4">
        <f t="shared" si="90"/>
        <v>194586788.77000001</v>
      </c>
      <c r="F393" s="2">
        <f t="shared" si="91"/>
        <v>2380849</v>
      </c>
      <c r="G393" s="2">
        <f t="shared" si="92"/>
        <v>15903578246.1721</v>
      </c>
      <c r="H393" s="42">
        <f t="shared" si="93"/>
        <v>-3481.4809999999998</v>
      </c>
      <c r="I393" s="2">
        <f t="shared" si="94"/>
        <v>12120709.953360999</v>
      </c>
      <c r="J393" s="4">
        <f t="shared" si="95"/>
        <v>-1162992.5068099992</v>
      </c>
      <c r="K393" s="2">
        <f t="shared" si="96"/>
        <v>1352551570896.2061</v>
      </c>
      <c r="L393" s="2">
        <f t="shared" si="97"/>
        <v>4048936315.6013827</v>
      </c>
      <c r="N393" s="42">
        <f t="shared" si="98"/>
        <v>407467.84937453555</v>
      </c>
      <c r="O393" s="42">
        <f t="shared" si="99"/>
        <v>777278593597.43738</v>
      </c>
      <c r="P393" s="4">
        <f t="shared" si="100"/>
        <v>-281358.45937453554</v>
      </c>
      <c r="Q393" s="4">
        <f t="shared" si="101"/>
        <v>79162582661.612167</v>
      </c>
      <c r="R393" s="43">
        <f t="shared" si="102"/>
        <v>2.5269211617053129E-3</v>
      </c>
      <c r="S393" s="4">
        <f t="shared" si="103"/>
        <v>-0.23151408818595348</v>
      </c>
      <c r="T393" s="30">
        <f t="shared" si="104"/>
        <v>287314.01214649109</v>
      </c>
      <c r="U393" s="31">
        <f t="shared" si="105"/>
        <v>527621.68660258001</v>
      </c>
      <c r="V393" s="31">
        <f t="shared" si="106"/>
        <v>2797079.6216535121</v>
      </c>
      <c r="W393" s="42">
        <f t="shared" si="107"/>
        <v>2800727.5096916766</v>
      </c>
    </row>
    <row r="394" spans="2:23" x14ac:dyDescent="0.3">
      <c r="B394" s="2">
        <v>386</v>
      </c>
      <c r="C394" s="2">
        <v>4487</v>
      </c>
      <c r="D394" s="4">
        <v>41863.71</v>
      </c>
      <c r="E394" s="4">
        <f t="shared" ref="E394:E457" si="108">C394*D394</f>
        <v>187842466.77000001</v>
      </c>
      <c r="F394" s="2">
        <f t="shared" ref="F394:F457" si="109">POWER(C394,2)</f>
        <v>20133169</v>
      </c>
      <c r="G394" s="2">
        <f t="shared" ref="G394:G457" si="110">POWER(D394,2)</f>
        <v>1752570214.9640999</v>
      </c>
      <c r="H394" s="42">
        <f t="shared" ref="H394:H457" si="111">C394-$AG$9</f>
        <v>-537.48099999999977</v>
      </c>
      <c r="I394" s="2">
        <f t="shared" ref="I394:I457" si="112">POWER(H394,2)</f>
        <v>288885.82536099973</v>
      </c>
      <c r="J394" s="4">
        <f t="shared" ref="J394:J457" si="113">D394-$AG$10</f>
        <v>-1247238.1868099992</v>
      </c>
      <c r="K394" s="2">
        <f t="shared" ref="K394:K457" si="114">POWER(J394,2)</f>
        <v>1555603094637.0945</v>
      </c>
      <c r="L394" s="2">
        <f t="shared" ref="L394:L457" si="115">H394*J394</f>
        <v>670366827.88482487</v>
      </c>
      <c r="N394" s="42">
        <f t="shared" ref="N394:N457" si="116">$AG$18+$AG$17*C394</f>
        <v>1152992.7095274432</v>
      </c>
      <c r="O394" s="42">
        <f t="shared" ref="O394:O457" si="117">(N394-$AG$10)^2</f>
        <v>18525710862.717896</v>
      </c>
      <c r="P394" s="4">
        <f t="shared" ref="P394:P457" si="118">D394-N394</f>
        <v>-1111128.9995274432</v>
      </c>
      <c r="Q394" s="4">
        <f t="shared" ref="Q394:Q457" si="119">P394^2</f>
        <v>1234607653590.8569</v>
      </c>
      <c r="R394" s="43">
        <f t="shared" ref="R394:R457" si="120">(1/$AG$8)+((I394)/($I$1009))</f>
        <v>1.0363927428143844E-3</v>
      </c>
      <c r="S394" s="4">
        <f t="shared" ref="S394:S457" si="121">P394 / ($AG$19*SQRT(1-R394))</f>
        <v>-0.91360335832362793</v>
      </c>
      <c r="T394" s="30">
        <f t="shared" ref="T394:T457" si="122">N394-$AK$16*SQRT($AG$25*((1/$AG$8)+((C394-$AG$9)^2)/$I$1009))</f>
        <v>1076043.5323275004</v>
      </c>
      <c r="U394" s="31">
        <f t="shared" ref="U394:U457" si="123">N394+$AK$16*SQRT($AG$25*((1/$AG$8)+((C394-$AG$9)^2)/$I$1009))</f>
        <v>1229941.8867273859</v>
      </c>
      <c r="V394" s="31">
        <f t="shared" ref="V394:V457" si="124">N394+$AK$16*SQRT($AG$25*(1+(1/$AG$8)-((C394-$AG$9)^2)/$I$1009))</f>
        <v>3544385.6489966442</v>
      </c>
      <c r="W394" s="42">
        <f t="shared" ref="W394:W457" si="125">N394+$AK$16*SQRT($AG$25*(1+(1/$AG$8)+((C394-$AG$9)^2)/$I$1009))</f>
        <v>3544472.592982966</v>
      </c>
    </row>
    <row r="395" spans="2:23" x14ac:dyDescent="0.3">
      <c r="B395" s="2">
        <v>387</v>
      </c>
      <c r="C395" s="2">
        <v>9694</v>
      </c>
      <c r="D395" s="4">
        <v>1994055.7999999998</v>
      </c>
      <c r="E395" s="4">
        <f t="shared" si="108"/>
        <v>19330376925.199997</v>
      </c>
      <c r="F395" s="2">
        <f t="shared" si="109"/>
        <v>93973636</v>
      </c>
      <c r="G395" s="2">
        <f t="shared" si="110"/>
        <v>3976258533513.6392</v>
      </c>
      <c r="H395" s="42">
        <f t="shared" si="111"/>
        <v>4669.5190000000002</v>
      </c>
      <c r="I395" s="2">
        <f t="shared" si="112"/>
        <v>21804407.691361003</v>
      </c>
      <c r="J395" s="4">
        <f t="shared" si="113"/>
        <v>704953.90319000068</v>
      </c>
      <c r="K395" s="2">
        <f t="shared" si="114"/>
        <v>496960005622.81683</v>
      </c>
      <c r="L395" s="2">
        <f t="shared" si="115"/>
        <v>3291795645.069869</v>
      </c>
      <c r="N395" s="42">
        <f t="shared" si="116"/>
        <v>2471589.1588535947</v>
      </c>
      <c r="O395" s="42">
        <f t="shared" si="117"/>
        <v>1398276124895.3589</v>
      </c>
      <c r="P395" s="4">
        <f t="shared" si="118"/>
        <v>-477533.35885359487</v>
      </c>
      <c r="Q395" s="4">
        <f t="shared" si="119"/>
        <v>228038108817.99622</v>
      </c>
      <c r="R395" s="43">
        <f t="shared" si="120"/>
        <v>3.7468367488784839E-3</v>
      </c>
      <c r="S395" s="4">
        <f t="shared" si="121"/>
        <v>-0.39317590669737529</v>
      </c>
      <c r="T395" s="30">
        <f t="shared" si="122"/>
        <v>2325279.1002305001</v>
      </c>
      <c r="U395" s="31">
        <f t="shared" si="123"/>
        <v>2617899.2174766893</v>
      </c>
      <c r="V395" s="31">
        <f t="shared" si="124"/>
        <v>4859742.1551167322</v>
      </c>
      <c r="W395" s="42">
        <f t="shared" si="125"/>
        <v>4866304.4843891766</v>
      </c>
    </row>
    <row r="396" spans="2:23" x14ac:dyDescent="0.3">
      <c r="B396" s="2">
        <v>388</v>
      </c>
      <c r="C396" s="2">
        <v>3885</v>
      </c>
      <c r="D396" s="4">
        <v>592773.30000000005</v>
      </c>
      <c r="E396" s="4">
        <f t="shared" si="108"/>
        <v>2302924270.5</v>
      </c>
      <c r="F396" s="2">
        <f t="shared" si="109"/>
        <v>15093225</v>
      </c>
      <c r="G396" s="2">
        <f t="shared" si="110"/>
        <v>351380185192.89008</v>
      </c>
      <c r="H396" s="42">
        <f t="shared" si="111"/>
        <v>-1139.4809999999998</v>
      </c>
      <c r="I396" s="2">
        <f t="shared" si="112"/>
        <v>1298416.9493609995</v>
      </c>
      <c r="J396" s="4">
        <f t="shared" si="113"/>
        <v>-696328.59680999909</v>
      </c>
      <c r="K396" s="2">
        <f t="shared" si="114"/>
        <v>484873514735.38226</v>
      </c>
      <c r="L396" s="2">
        <f t="shared" si="115"/>
        <v>793453205.82165444</v>
      </c>
      <c r="N396" s="42">
        <f t="shared" si="116"/>
        <v>1000545.0309228066</v>
      </c>
      <c r="O396" s="42">
        <f t="shared" si="117"/>
        <v>83265064850.639221</v>
      </c>
      <c r="P396" s="4">
        <f t="shared" si="118"/>
        <v>-407771.73092280654</v>
      </c>
      <c r="Q396" s="4">
        <f t="shared" si="119"/>
        <v>166277784539.78174</v>
      </c>
      <c r="R396" s="43">
        <f t="shared" si="120"/>
        <v>1.1635696526296638E-3</v>
      </c>
      <c r="S396" s="4">
        <f t="shared" si="121"/>
        <v>-0.3353034068470625</v>
      </c>
      <c r="T396" s="30">
        <f t="shared" si="122"/>
        <v>919011.17311231536</v>
      </c>
      <c r="U396" s="31">
        <f t="shared" si="123"/>
        <v>1082078.8887332978</v>
      </c>
      <c r="V396" s="31">
        <f t="shared" si="124"/>
        <v>3391786.0469739772</v>
      </c>
      <c r="W396" s="42">
        <f t="shared" si="125"/>
        <v>3392176.8226228068</v>
      </c>
    </row>
    <row r="397" spans="2:23" x14ac:dyDescent="0.3">
      <c r="B397" s="2">
        <v>389</v>
      </c>
      <c r="C397" s="2">
        <v>817</v>
      </c>
      <c r="D397" s="4">
        <v>532038.57000000007</v>
      </c>
      <c r="E397" s="4">
        <f t="shared" si="108"/>
        <v>434675511.69000006</v>
      </c>
      <c r="F397" s="2">
        <f t="shared" si="109"/>
        <v>667489</v>
      </c>
      <c r="G397" s="2">
        <f t="shared" si="110"/>
        <v>283065039967.64496</v>
      </c>
      <c r="H397" s="42">
        <f t="shared" si="111"/>
        <v>-4207.4809999999998</v>
      </c>
      <c r="I397" s="2">
        <f t="shared" si="112"/>
        <v>17702896.365360998</v>
      </c>
      <c r="J397" s="4">
        <f t="shared" si="113"/>
        <v>-757063.32680999907</v>
      </c>
      <c r="K397" s="2">
        <f t="shared" si="114"/>
        <v>573144880800.62341</v>
      </c>
      <c r="L397" s="2">
        <f t="shared" si="115"/>
        <v>3185329563.3498616</v>
      </c>
      <c r="N397" s="42">
        <f t="shared" si="116"/>
        <v>223618.98780150193</v>
      </c>
      <c r="O397" s="42">
        <f t="shared" si="117"/>
        <v>1135253829389.2095</v>
      </c>
      <c r="P397" s="4">
        <f t="shared" si="118"/>
        <v>308419.58219849813</v>
      </c>
      <c r="Q397" s="4">
        <f t="shared" si="119"/>
        <v>95122638683.49614</v>
      </c>
      <c r="R397" s="43">
        <f t="shared" si="120"/>
        <v>3.2301438767000827E-3</v>
      </c>
      <c r="S397" s="4">
        <f t="shared" si="121"/>
        <v>0.25387067338542563</v>
      </c>
      <c r="T397" s="30">
        <f t="shared" si="122"/>
        <v>87771.149420868082</v>
      </c>
      <c r="U397" s="31">
        <f t="shared" si="123"/>
        <v>359466.82618213579</v>
      </c>
      <c r="V397" s="31">
        <f t="shared" si="124"/>
        <v>2612389.9545587176</v>
      </c>
      <c r="W397" s="42">
        <f t="shared" si="125"/>
        <v>2617717.8772155093</v>
      </c>
    </row>
    <row r="398" spans="2:23" x14ac:dyDescent="0.3">
      <c r="B398" s="2">
        <v>390</v>
      </c>
      <c r="C398" s="2">
        <v>6275</v>
      </c>
      <c r="D398" s="4">
        <v>512855.75</v>
      </c>
      <c r="E398" s="4">
        <f t="shared" si="108"/>
        <v>3218169831.25</v>
      </c>
      <c r="F398" s="2">
        <f t="shared" si="109"/>
        <v>39375625</v>
      </c>
      <c r="G398" s="2">
        <f t="shared" si="110"/>
        <v>263021020308.0625</v>
      </c>
      <c r="H398" s="42">
        <f t="shared" si="111"/>
        <v>1250.5190000000002</v>
      </c>
      <c r="I398" s="2">
        <f t="shared" si="112"/>
        <v>1563797.7693610005</v>
      </c>
      <c r="J398" s="4">
        <f t="shared" si="113"/>
        <v>-776246.14680999913</v>
      </c>
      <c r="K398" s="2">
        <f t="shared" si="114"/>
        <v>602558080437.37073</v>
      </c>
      <c r="L398" s="2">
        <f t="shared" si="115"/>
        <v>-970710555.26269352</v>
      </c>
      <c r="N398" s="42">
        <f t="shared" si="116"/>
        <v>1605777.5091040053</v>
      </c>
      <c r="O398" s="42">
        <f t="shared" si="117"/>
        <v>100283443421.78371</v>
      </c>
      <c r="P398" s="4">
        <f t="shared" si="118"/>
        <v>-1092921.7591040053</v>
      </c>
      <c r="Q398" s="4">
        <f t="shared" si="119"/>
        <v>1194477971522.9934</v>
      </c>
      <c r="R398" s="43">
        <f t="shared" si="120"/>
        <v>1.1970013238376978E-3</v>
      </c>
      <c r="S398" s="4">
        <f t="shared" si="121"/>
        <v>-0.89870507059691729</v>
      </c>
      <c r="T398" s="30">
        <f t="shared" si="122"/>
        <v>1523080.6311256215</v>
      </c>
      <c r="U398" s="31">
        <f t="shared" si="123"/>
        <v>1688474.3870823891</v>
      </c>
      <c r="V398" s="31">
        <f t="shared" si="124"/>
        <v>3996978.5866354462</v>
      </c>
      <c r="W398" s="42">
        <f t="shared" si="125"/>
        <v>3997449.2321312409</v>
      </c>
    </row>
    <row r="399" spans="2:23" x14ac:dyDescent="0.3">
      <c r="B399" s="2">
        <v>391</v>
      </c>
      <c r="C399" s="2">
        <v>3076</v>
      </c>
      <c r="D399" s="4">
        <v>785241.28</v>
      </c>
      <c r="E399" s="4">
        <f t="shared" si="108"/>
        <v>2415402177.2800002</v>
      </c>
      <c r="F399" s="2">
        <f t="shared" si="109"/>
        <v>9461776</v>
      </c>
      <c r="G399" s="2">
        <f t="shared" si="110"/>
        <v>616603867816.03845</v>
      </c>
      <c r="H399" s="42">
        <f t="shared" si="111"/>
        <v>-1948.4809999999998</v>
      </c>
      <c r="I399" s="2">
        <f t="shared" si="112"/>
        <v>3796578.2073609992</v>
      </c>
      <c r="J399" s="4">
        <f t="shared" si="113"/>
        <v>-503860.6168099991</v>
      </c>
      <c r="K399" s="2">
        <f t="shared" si="114"/>
        <v>253875521172.15274</v>
      </c>
      <c r="L399" s="2">
        <f t="shared" si="115"/>
        <v>981762838.50256371</v>
      </c>
      <c r="N399" s="42">
        <f t="shared" si="116"/>
        <v>795677.63558866852</v>
      </c>
      <c r="O399" s="42">
        <f t="shared" si="117"/>
        <v>243467501561.81592</v>
      </c>
      <c r="P399" s="4">
        <f t="shared" si="118"/>
        <v>-10436.355588668492</v>
      </c>
      <c r="Q399" s="4">
        <f t="shared" si="119"/>
        <v>108917517.97313206</v>
      </c>
      <c r="R399" s="43">
        <f t="shared" si="120"/>
        <v>1.4782785520976219E-3</v>
      </c>
      <c r="S399" s="4">
        <f t="shared" si="121"/>
        <v>-8.5829809373567153E-3</v>
      </c>
      <c r="T399" s="30">
        <f t="shared" si="122"/>
        <v>703776.69915209292</v>
      </c>
      <c r="U399" s="31">
        <f t="shared" si="123"/>
        <v>887578.57202524412</v>
      </c>
      <c r="V399" s="31">
        <f t="shared" si="124"/>
        <v>3186542.664128962</v>
      </c>
      <c r="W399" s="42">
        <f t="shared" si="125"/>
        <v>3187685.2942759506</v>
      </c>
    </row>
    <row r="400" spans="2:23" x14ac:dyDescent="0.3">
      <c r="B400" s="2">
        <v>392</v>
      </c>
      <c r="C400" s="2">
        <v>6069</v>
      </c>
      <c r="D400" s="4">
        <v>2653366.7999999998</v>
      </c>
      <c r="E400" s="4">
        <f t="shared" si="108"/>
        <v>16103283109.199999</v>
      </c>
      <c r="F400" s="2">
        <f t="shared" si="109"/>
        <v>36832761</v>
      </c>
      <c r="G400" s="2">
        <f t="shared" si="110"/>
        <v>7040355375342.2393</v>
      </c>
      <c r="H400" s="42">
        <f t="shared" si="111"/>
        <v>1044.5190000000002</v>
      </c>
      <c r="I400" s="2">
        <f t="shared" si="112"/>
        <v>1091019.9413610005</v>
      </c>
      <c r="J400" s="4">
        <f t="shared" si="113"/>
        <v>1364264.9031900007</v>
      </c>
      <c r="K400" s="2">
        <f t="shared" si="114"/>
        <v>1861218726076.022</v>
      </c>
      <c r="L400" s="2">
        <f t="shared" si="115"/>
        <v>1425000612.4151165</v>
      </c>
      <c r="N400" s="42">
        <f t="shared" si="116"/>
        <v>1553611.0277210234</v>
      </c>
      <c r="O400" s="42">
        <f t="shared" si="117"/>
        <v>69965080335.305389</v>
      </c>
      <c r="P400" s="4">
        <f t="shared" si="118"/>
        <v>1099755.7722789764</v>
      </c>
      <c r="Q400" s="4">
        <f t="shared" si="119"/>
        <v>1209462758660.9277</v>
      </c>
      <c r="R400" s="43">
        <f t="shared" si="120"/>
        <v>1.1374425625822898E-3</v>
      </c>
      <c r="S400" s="4">
        <f t="shared" si="121"/>
        <v>0.90429769024647844</v>
      </c>
      <c r="T400" s="30">
        <f t="shared" si="122"/>
        <v>1472997.7580605864</v>
      </c>
      <c r="U400" s="31">
        <f t="shared" si="123"/>
        <v>1634224.2973814604</v>
      </c>
      <c r="V400" s="31">
        <f t="shared" si="124"/>
        <v>3944883.255546527</v>
      </c>
      <c r="W400" s="42">
        <f t="shared" si="125"/>
        <v>3945211.612339207</v>
      </c>
    </row>
    <row r="401" spans="2:23" x14ac:dyDescent="0.3">
      <c r="B401" s="2">
        <v>393</v>
      </c>
      <c r="C401" s="2">
        <v>7135</v>
      </c>
      <c r="D401" s="4">
        <v>779712.8</v>
      </c>
      <c r="E401" s="4">
        <f t="shared" si="108"/>
        <v>5563250828</v>
      </c>
      <c r="F401" s="2">
        <f t="shared" si="109"/>
        <v>50908225</v>
      </c>
      <c r="G401" s="2">
        <f t="shared" si="110"/>
        <v>607952050483.84009</v>
      </c>
      <c r="H401" s="42">
        <f t="shared" si="111"/>
        <v>2110.5190000000002</v>
      </c>
      <c r="I401" s="2">
        <f t="shared" si="112"/>
        <v>4454290.4493610011</v>
      </c>
      <c r="J401" s="4">
        <f t="shared" si="113"/>
        <v>-509389.09680999909</v>
      </c>
      <c r="K401" s="2">
        <f t="shared" si="114"/>
        <v>259477251948.90662</v>
      </c>
      <c r="L401" s="2">
        <f t="shared" si="115"/>
        <v>-1075075367.2103426</v>
      </c>
      <c r="N401" s="42">
        <f t="shared" si="116"/>
        <v>1823559.9071106291</v>
      </c>
      <c r="O401" s="42">
        <f t="shared" si="117"/>
        <v>285645364774.5083</v>
      </c>
      <c r="P401" s="4">
        <f t="shared" si="118"/>
        <v>-1043847.1071106291</v>
      </c>
      <c r="Q401" s="4">
        <f t="shared" si="119"/>
        <v>1089616783023.2291</v>
      </c>
      <c r="R401" s="43">
        <f t="shared" si="120"/>
        <v>1.5611346508316707E-3</v>
      </c>
      <c r="S401" s="4">
        <f t="shared" si="121"/>
        <v>-0.85850769317915221</v>
      </c>
      <c r="T401" s="30">
        <f t="shared" si="122"/>
        <v>1729118.6019181858</v>
      </c>
      <c r="U401" s="31">
        <f t="shared" si="123"/>
        <v>1918001.2123030724</v>
      </c>
      <c r="V401" s="31">
        <f t="shared" si="124"/>
        <v>4214325.9363758191</v>
      </c>
      <c r="W401" s="42">
        <f t="shared" si="125"/>
        <v>4215666.5136871729</v>
      </c>
    </row>
    <row r="402" spans="2:23" x14ac:dyDescent="0.3">
      <c r="B402" s="2">
        <v>394</v>
      </c>
      <c r="C402" s="2">
        <v>184</v>
      </c>
      <c r="D402" s="4">
        <v>37848.799999999996</v>
      </c>
      <c r="E402" s="4">
        <f t="shared" si="108"/>
        <v>6964179.1999999993</v>
      </c>
      <c r="F402" s="2">
        <f t="shared" si="109"/>
        <v>33856</v>
      </c>
      <c r="G402" s="2">
        <f t="shared" si="110"/>
        <v>1432531661.4399996</v>
      </c>
      <c r="H402" s="42">
        <f t="shared" si="111"/>
        <v>-4840.4809999999998</v>
      </c>
      <c r="I402" s="2">
        <f t="shared" si="112"/>
        <v>23430256.311360996</v>
      </c>
      <c r="J402" s="4">
        <f t="shared" si="113"/>
        <v>-1251253.0968099991</v>
      </c>
      <c r="K402" s="2">
        <f t="shared" si="114"/>
        <v>1565634312276.613</v>
      </c>
      <c r="L402" s="2">
        <f t="shared" si="115"/>
        <v>6056666841.2999611</v>
      </c>
      <c r="N402" s="42">
        <f t="shared" si="116"/>
        <v>63321.013454766013</v>
      </c>
      <c r="O402" s="42">
        <f t="shared" si="117"/>
        <v>1502538773999.1357</v>
      </c>
      <c r="P402" s="4">
        <f t="shared" si="118"/>
        <v>-25472.213454766017</v>
      </c>
      <c r="Q402" s="4">
        <f t="shared" si="119"/>
        <v>648833658.28516293</v>
      </c>
      <c r="R402" s="43">
        <f t="shared" si="120"/>
        <v>3.9516550040103937E-3</v>
      </c>
      <c r="S402" s="4">
        <f t="shared" si="121"/>
        <v>-2.0974639959045475E-2</v>
      </c>
      <c r="T402" s="30">
        <f t="shared" si="122"/>
        <v>-86934.808879174321</v>
      </c>
      <c r="U402" s="31">
        <f t="shared" si="123"/>
        <v>213576.83578870635</v>
      </c>
      <c r="V402" s="31">
        <f t="shared" si="124"/>
        <v>2451229.0005157515</v>
      </c>
      <c r="W402" s="42">
        <f t="shared" si="125"/>
        <v>2458280.6517881434</v>
      </c>
    </row>
    <row r="403" spans="2:23" x14ac:dyDescent="0.3">
      <c r="B403" s="2">
        <v>395</v>
      </c>
      <c r="C403" s="2">
        <v>6158</v>
      </c>
      <c r="D403" s="4">
        <v>2597998.62</v>
      </c>
      <c r="E403" s="4">
        <f t="shared" si="108"/>
        <v>15998475501.960001</v>
      </c>
      <c r="F403" s="2">
        <f t="shared" si="109"/>
        <v>37920964</v>
      </c>
      <c r="G403" s="2">
        <f t="shared" si="110"/>
        <v>6749596829521.9053</v>
      </c>
      <c r="H403" s="42">
        <f t="shared" si="111"/>
        <v>1133.5190000000002</v>
      </c>
      <c r="I403" s="2">
        <f t="shared" si="112"/>
        <v>1284865.3233610005</v>
      </c>
      <c r="J403" s="4">
        <f t="shared" si="113"/>
        <v>1308896.723190001</v>
      </c>
      <c r="K403" s="2">
        <f t="shared" si="114"/>
        <v>1713210631977.522</v>
      </c>
      <c r="L403" s="2">
        <f t="shared" si="115"/>
        <v>1483659304.773607</v>
      </c>
      <c r="N403" s="42">
        <f t="shared" si="116"/>
        <v>1576148.9735612436</v>
      </c>
      <c r="O403" s="42">
        <f t="shared" si="117"/>
        <v>82396024271.434845</v>
      </c>
      <c r="P403" s="4">
        <f t="shared" si="118"/>
        <v>1021849.6464387565</v>
      </c>
      <c r="Q403" s="4">
        <f t="shared" si="119"/>
        <v>1044176699927.0116</v>
      </c>
      <c r="R403" s="43">
        <f t="shared" si="120"/>
        <v>1.1618624700805774E-3</v>
      </c>
      <c r="S403" s="4">
        <f t="shared" si="121"/>
        <v>0.84024798422140468</v>
      </c>
      <c r="T403" s="30">
        <f t="shared" si="122"/>
        <v>1494674.9507044405</v>
      </c>
      <c r="U403" s="31">
        <f t="shared" si="123"/>
        <v>1657622.9964180468</v>
      </c>
      <c r="V403" s="31">
        <f t="shared" si="124"/>
        <v>3967392.0290481644</v>
      </c>
      <c r="W403" s="42">
        <f t="shared" si="125"/>
        <v>3967778.7261569845</v>
      </c>
    </row>
    <row r="404" spans="2:23" x14ac:dyDescent="0.3">
      <c r="B404" s="2">
        <v>396</v>
      </c>
      <c r="C404" s="2">
        <v>8031</v>
      </c>
      <c r="D404" s="4">
        <v>1237255.8600000001</v>
      </c>
      <c r="E404" s="4">
        <f t="shared" si="108"/>
        <v>9936401811.6600018</v>
      </c>
      <c r="F404" s="2">
        <f t="shared" si="109"/>
        <v>64496961</v>
      </c>
      <c r="G404" s="2">
        <f t="shared" si="110"/>
        <v>1530802063104.3398</v>
      </c>
      <c r="H404" s="42">
        <f t="shared" si="111"/>
        <v>3006.5190000000002</v>
      </c>
      <c r="I404" s="2">
        <f t="shared" si="112"/>
        <v>9039156.4973610006</v>
      </c>
      <c r="J404" s="4">
        <f t="shared" si="113"/>
        <v>-51846.03680999903</v>
      </c>
      <c r="K404" s="2">
        <f t="shared" si="114"/>
        <v>2688011532.9037743</v>
      </c>
      <c r="L404" s="2">
        <f t="shared" si="115"/>
        <v>-155876094.74396148</v>
      </c>
      <c r="N404" s="42">
        <f t="shared" si="116"/>
        <v>2050458.7775919489</v>
      </c>
      <c r="O404" s="42">
        <f t="shared" si="117"/>
        <v>579664299914.02002</v>
      </c>
      <c r="P404" s="4">
        <f t="shared" si="118"/>
        <v>-813202.91759194876</v>
      </c>
      <c r="Q404" s="4">
        <f t="shared" si="119"/>
        <v>661298985180.05786</v>
      </c>
      <c r="R404" s="43">
        <f t="shared" si="120"/>
        <v>2.138718721336893E-3</v>
      </c>
      <c r="S404" s="4">
        <f t="shared" si="121"/>
        <v>-0.66900887740983617</v>
      </c>
      <c r="T404" s="30">
        <f t="shared" si="122"/>
        <v>1939918.9878207981</v>
      </c>
      <c r="U404" s="31">
        <f t="shared" si="123"/>
        <v>2160998.5673630997</v>
      </c>
      <c r="V404" s="31">
        <f t="shared" si="124"/>
        <v>4440534.5759071913</v>
      </c>
      <c r="W404" s="42">
        <f t="shared" si="125"/>
        <v>4443255.0293073645</v>
      </c>
    </row>
    <row r="405" spans="2:23" x14ac:dyDescent="0.3">
      <c r="B405" s="2">
        <v>397</v>
      </c>
      <c r="C405" s="2">
        <v>5809</v>
      </c>
      <c r="D405" s="4">
        <v>634807.52</v>
      </c>
      <c r="E405" s="4">
        <f t="shared" si="108"/>
        <v>3687596883.6800003</v>
      </c>
      <c r="F405" s="2">
        <f t="shared" si="109"/>
        <v>33744481</v>
      </c>
      <c r="G405" s="2">
        <f t="shared" si="110"/>
        <v>402980587448.55042</v>
      </c>
      <c r="H405" s="42">
        <f t="shared" si="111"/>
        <v>784.51900000000023</v>
      </c>
      <c r="I405" s="2">
        <f t="shared" si="112"/>
        <v>615470.06136100041</v>
      </c>
      <c r="J405" s="4">
        <f t="shared" si="113"/>
        <v>-654294.37680999911</v>
      </c>
      <c r="K405" s="2">
        <f t="shared" si="114"/>
        <v>428101131525.18512</v>
      </c>
      <c r="L405" s="2">
        <f t="shared" si="115"/>
        <v>-513306370.20060384</v>
      </c>
      <c r="N405" s="42">
        <f t="shared" si="116"/>
        <v>1487769.8376259976</v>
      </c>
      <c r="O405" s="42">
        <f t="shared" si="117"/>
        <v>39468950708.069069</v>
      </c>
      <c r="P405" s="4">
        <f t="shared" si="118"/>
        <v>-852962.31762599759</v>
      </c>
      <c r="Q405" s="4">
        <f t="shared" si="119"/>
        <v>727544715289.91321</v>
      </c>
      <c r="R405" s="43">
        <f t="shared" si="120"/>
        <v>1.0775345887084433E-3</v>
      </c>
      <c r="S405" s="4">
        <f t="shared" si="121"/>
        <v>-0.70134546542487897</v>
      </c>
      <c r="T405" s="30">
        <f t="shared" si="122"/>
        <v>1409308.1927118581</v>
      </c>
      <c r="U405" s="31">
        <f t="shared" si="123"/>
        <v>1566231.4825401371</v>
      </c>
      <c r="V405" s="31">
        <f t="shared" si="124"/>
        <v>3879113.6307875458</v>
      </c>
      <c r="W405" s="42">
        <f t="shared" si="125"/>
        <v>3879298.8645924958</v>
      </c>
    </row>
    <row r="406" spans="2:23" x14ac:dyDescent="0.3">
      <c r="B406" s="2">
        <v>398</v>
      </c>
      <c r="C406" s="2">
        <v>1527</v>
      </c>
      <c r="D406" s="4">
        <v>72456.150000000009</v>
      </c>
      <c r="E406" s="4">
        <f t="shared" si="108"/>
        <v>110640541.05000001</v>
      </c>
      <c r="F406" s="2">
        <f t="shared" si="109"/>
        <v>2331729</v>
      </c>
      <c r="G406" s="2">
        <f t="shared" si="110"/>
        <v>5249893672.8225012</v>
      </c>
      <c r="H406" s="42">
        <f t="shared" si="111"/>
        <v>-3497.4809999999998</v>
      </c>
      <c r="I406" s="2">
        <f t="shared" si="112"/>
        <v>12232373.345360998</v>
      </c>
      <c r="J406" s="4">
        <f t="shared" si="113"/>
        <v>-1216645.7468099992</v>
      </c>
      <c r="K406" s="2">
        <f t="shared" si="114"/>
        <v>1480226873230.8608</v>
      </c>
      <c r="L406" s="2">
        <f t="shared" si="115"/>
        <v>4255195383.1987824</v>
      </c>
      <c r="N406" s="42">
        <f t="shared" si="116"/>
        <v>403416.08383022627</v>
      </c>
      <c r="O406" s="42">
        <f t="shared" si="117"/>
        <v>784439359313.64124</v>
      </c>
      <c r="P406" s="4">
        <f t="shared" si="118"/>
        <v>-330959.93383022625</v>
      </c>
      <c r="Q406" s="4">
        <f t="shared" si="119"/>
        <v>109534477800.90773</v>
      </c>
      <c r="R406" s="43">
        <f t="shared" si="120"/>
        <v>2.5409880931712638E-3</v>
      </c>
      <c r="S406" s="4">
        <f t="shared" si="121"/>
        <v>-0.27233027848356262</v>
      </c>
      <c r="T406" s="30">
        <f t="shared" si="122"/>
        <v>282928.27297308703</v>
      </c>
      <c r="U406" s="31">
        <f t="shared" si="123"/>
        <v>523903.89468736551</v>
      </c>
      <c r="V406" s="31">
        <f t="shared" si="124"/>
        <v>2793011.0399367521</v>
      </c>
      <c r="W406" s="42">
        <f t="shared" si="125"/>
        <v>2796692.5345700565</v>
      </c>
    </row>
    <row r="407" spans="2:23" x14ac:dyDescent="0.3">
      <c r="B407" s="2">
        <v>399</v>
      </c>
      <c r="C407" s="2">
        <v>4252</v>
      </c>
      <c r="D407" s="4">
        <v>648770.16</v>
      </c>
      <c r="E407" s="4">
        <f t="shared" si="108"/>
        <v>2758570720.3200002</v>
      </c>
      <c r="F407" s="2">
        <f t="shared" si="109"/>
        <v>18079504</v>
      </c>
      <c r="G407" s="2">
        <f t="shared" si="110"/>
        <v>420902720506.42566</v>
      </c>
      <c r="H407" s="42">
        <f t="shared" si="111"/>
        <v>-772.48099999999977</v>
      </c>
      <c r="I407" s="2">
        <f t="shared" si="112"/>
        <v>596726.89536099962</v>
      </c>
      <c r="J407" s="4">
        <f t="shared" si="113"/>
        <v>-640331.7368099991</v>
      </c>
      <c r="K407" s="2">
        <f t="shared" si="114"/>
        <v>410024733166.10999</v>
      </c>
      <c r="L407" s="2">
        <f t="shared" si="115"/>
        <v>494644100.38272476</v>
      </c>
      <c r="N407" s="42">
        <f t="shared" si="116"/>
        <v>1093482.4030954007</v>
      </c>
      <c r="O407" s="42">
        <f t="shared" si="117"/>
        <v>38266986321.15583</v>
      </c>
      <c r="P407" s="4">
        <f t="shared" si="118"/>
        <v>-444712.24309540063</v>
      </c>
      <c r="Q407" s="4">
        <f t="shared" si="119"/>
        <v>197768979158.94269</v>
      </c>
      <c r="R407" s="43">
        <f t="shared" si="120"/>
        <v>1.0751733956007061E-3</v>
      </c>
      <c r="S407" s="4">
        <f t="shared" si="121"/>
        <v>-0.36566274974608221</v>
      </c>
      <c r="T407" s="30">
        <f t="shared" si="122"/>
        <v>1015106.7715212872</v>
      </c>
      <c r="U407" s="31">
        <f t="shared" si="123"/>
        <v>1171858.0346695143</v>
      </c>
      <c r="V407" s="31">
        <f t="shared" si="124"/>
        <v>3484829.0168656111</v>
      </c>
      <c r="W407" s="42">
        <f t="shared" si="125"/>
        <v>3485008.6096683787</v>
      </c>
    </row>
    <row r="408" spans="2:23" x14ac:dyDescent="0.3">
      <c r="B408" s="2">
        <v>400</v>
      </c>
      <c r="C408" s="2">
        <v>5083</v>
      </c>
      <c r="D408" s="4">
        <v>3310100.43</v>
      </c>
      <c r="E408" s="4">
        <f t="shared" si="108"/>
        <v>16825240485.690001</v>
      </c>
      <c r="F408" s="2">
        <f t="shared" si="109"/>
        <v>25836889</v>
      </c>
      <c r="G408" s="2">
        <f t="shared" si="110"/>
        <v>10956764856686.186</v>
      </c>
      <c r="H408" s="42">
        <f t="shared" si="111"/>
        <v>58.519000000000233</v>
      </c>
      <c r="I408" s="2">
        <f t="shared" si="112"/>
        <v>3424.4733610000271</v>
      </c>
      <c r="J408" s="4">
        <f t="shared" si="113"/>
        <v>2020998.533190001</v>
      </c>
      <c r="K408" s="2">
        <f t="shared" si="114"/>
        <v>4084435071156.1357</v>
      </c>
      <c r="L408" s="2">
        <f t="shared" si="115"/>
        <v>118266813.16374615</v>
      </c>
      <c r="N408" s="42">
        <f t="shared" si="116"/>
        <v>1303920.9760529639</v>
      </c>
      <c r="O408" s="42">
        <f t="shared" si="117"/>
        <v>219605109.60926843</v>
      </c>
      <c r="P408" s="4">
        <f t="shared" si="118"/>
        <v>2006179.4539470363</v>
      </c>
      <c r="Q408" s="4">
        <f t="shared" si="119"/>
        <v>4024756001439.2285</v>
      </c>
      <c r="R408" s="43">
        <f t="shared" si="120"/>
        <v>1.0004314021920108E-3</v>
      </c>
      <c r="S408" s="4">
        <f t="shared" si="121"/>
        <v>1.6495108111593144</v>
      </c>
      <c r="T408" s="30">
        <f t="shared" si="122"/>
        <v>1228318.5979966517</v>
      </c>
      <c r="U408" s="31">
        <f t="shared" si="123"/>
        <v>1379523.3541092761</v>
      </c>
      <c r="V408" s="31">
        <f t="shared" si="124"/>
        <v>3695356.8725902569</v>
      </c>
      <c r="W408" s="42">
        <f t="shared" si="125"/>
        <v>3695357.9032305265</v>
      </c>
    </row>
    <row r="409" spans="2:23" x14ac:dyDescent="0.3">
      <c r="B409" s="2">
        <v>401</v>
      </c>
      <c r="C409" s="2">
        <v>2151</v>
      </c>
      <c r="D409" s="4">
        <v>235061.28</v>
      </c>
      <c r="E409" s="4">
        <f t="shared" si="108"/>
        <v>505616813.27999997</v>
      </c>
      <c r="F409" s="2">
        <f t="shared" si="109"/>
        <v>4626801</v>
      </c>
      <c r="G409" s="2">
        <f t="shared" si="110"/>
        <v>55253805355.238396</v>
      </c>
      <c r="H409" s="42">
        <f t="shared" si="111"/>
        <v>-2873.4809999999998</v>
      </c>
      <c r="I409" s="2">
        <f t="shared" si="112"/>
        <v>8256893.0573609984</v>
      </c>
      <c r="J409" s="4">
        <f t="shared" si="113"/>
        <v>-1054040.6168099991</v>
      </c>
      <c r="K409" s="2">
        <f t="shared" si="114"/>
        <v>1111001621885.2034</v>
      </c>
      <c r="L409" s="2">
        <f t="shared" si="115"/>
        <v>3028765685.6318126</v>
      </c>
      <c r="N409" s="42">
        <f t="shared" si="116"/>
        <v>561434.94005828816</v>
      </c>
      <c r="O409" s="42">
        <f t="shared" si="117"/>
        <v>529499199948.29639</v>
      </c>
      <c r="P409" s="4">
        <f t="shared" si="118"/>
        <v>-326373.66005828814</v>
      </c>
      <c r="Q409" s="4">
        <f t="shared" si="119"/>
        <v>106519765979.84302</v>
      </c>
      <c r="R409" s="43">
        <f t="shared" si="120"/>
        <v>2.0401721341187749E-3</v>
      </c>
      <c r="S409" s="4">
        <f t="shared" si="121"/>
        <v>-0.26848906992116772</v>
      </c>
      <c r="T409" s="30">
        <f t="shared" si="122"/>
        <v>453471.87528808269</v>
      </c>
      <c r="U409" s="31">
        <f t="shared" si="123"/>
        <v>669398.00482849358</v>
      </c>
      <c r="V409" s="31">
        <f t="shared" si="124"/>
        <v>2951628.5187167865</v>
      </c>
      <c r="W409" s="42">
        <f t="shared" si="125"/>
        <v>2954113.5395478369</v>
      </c>
    </row>
    <row r="410" spans="2:23" x14ac:dyDescent="0.3">
      <c r="B410" s="2">
        <v>402</v>
      </c>
      <c r="C410" s="2">
        <v>5616</v>
      </c>
      <c r="D410" s="4">
        <v>865200.96</v>
      </c>
      <c r="E410" s="4">
        <f t="shared" si="108"/>
        <v>4858968591.3599997</v>
      </c>
      <c r="F410" s="2">
        <f t="shared" si="109"/>
        <v>31539456</v>
      </c>
      <c r="G410" s="2">
        <f t="shared" si="110"/>
        <v>748572701184.92151</v>
      </c>
      <c r="H410" s="42">
        <f t="shared" si="111"/>
        <v>591.51900000000023</v>
      </c>
      <c r="I410" s="2">
        <f t="shared" si="112"/>
        <v>349894.72736100026</v>
      </c>
      <c r="J410" s="4">
        <f t="shared" si="113"/>
        <v>-423900.93680999917</v>
      </c>
      <c r="K410" s="2">
        <f t="shared" si="114"/>
        <v>179692004228.3949</v>
      </c>
      <c r="L410" s="2">
        <f t="shared" si="115"/>
        <v>-250745458.24091399</v>
      </c>
      <c r="N410" s="42">
        <f t="shared" si="116"/>
        <v>1438895.4157477668</v>
      </c>
      <c r="O410" s="42">
        <f t="shared" si="117"/>
        <v>22438098315.759377</v>
      </c>
      <c r="P410" s="4">
        <f t="shared" si="118"/>
        <v>-573694.45574776689</v>
      </c>
      <c r="Q410" s="4">
        <f t="shared" si="119"/>
        <v>329125328555.72644</v>
      </c>
      <c r="R410" s="43">
        <f t="shared" si="120"/>
        <v>1.0440784133629462E-3</v>
      </c>
      <c r="S410" s="4">
        <f t="shared" si="121"/>
        <v>-0.47171048356137274</v>
      </c>
      <c r="T410" s="30">
        <f t="shared" si="122"/>
        <v>1361661.4461078485</v>
      </c>
      <c r="U410" s="31">
        <f t="shared" si="123"/>
        <v>1516129.3853876851</v>
      </c>
      <c r="V410" s="31">
        <f t="shared" si="124"/>
        <v>3830279.1743169669</v>
      </c>
      <c r="W410" s="42">
        <f t="shared" si="125"/>
        <v>3830384.4797342685</v>
      </c>
    </row>
    <row r="411" spans="2:23" x14ac:dyDescent="0.3">
      <c r="B411" s="2">
        <v>403</v>
      </c>
      <c r="C411" s="2">
        <v>2671</v>
      </c>
      <c r="D411" s="4">
        <v>24920.43</v>
      </c>
      <c r="E411" s="4">
        <f t="shared" si="108"/>
        <v>66562468.530000001</v>
      </c>
      <c r="F411" s="2">
        <f t="shared" si="109"/>
        <v>7134241</v>
      </c>
      <c r="G411" s="2">
        <f t="shared" si="110"/>
        <v>621027831.38489997</v>
      </c>
      <c r="H411" s="42">
        <f t="shared" si="111"/>
        <v>-2353.4809999999998</v>
      </c>
      <c r="I411" s="2">
        <f t="shared" si="112"/>
        <v>5538872.8173609991</v>
      </c>
      <c r="J411" s="4">
        <f t="shared" si="113"/>
        <v>-1264181.4668099992</v>
      </c>
      <c r="K411" s="2">
        <f t="shared" si="114"/>
        <v>1598154781025.8811</v>
      </c>
      <c r="L411" s="2">
        <f t="shared" si="115"/>
        <v>2975227062.6894636</v>
      </c>
      <c r="N411" s="42">
        <f t="shared" si="116"/>
        <v>693117.32024833979</v>
      </c>
      <c r="O411" s="42">
        <f t="shared" si="117"/>
        <v>355197615499.38037</v>
      </c>
      <c r="P411" s="4">
        <f t="shared" si="118"/>
        <v>-668196.89024833974</v>
      </c>
      <c r="Q411" s="4">
        <f t="shared" si="119"/>
        <v>446487084137.55176</v>
      </c>
      <c r="R411" s="43">
        <f t="shared" si="120"/>
        <v>1.6977662322888642E-3</v>
      </c>
      <c r="S411" s="4">
        <f t="shared" si="121"/>
        <v>-0.54959334727754072</v>
      </c>
      <c r="T411" s="30">
        <f t="shared" si="122"/>
        <v>594629.90393109701</v>
      </c>
      <c r="U411" s="31">
        <f t="shared" si="123"/>
        <v>791604.73656558257</v>
      </c>
      <c r="V411" s="31">
        <f t="shared" si="124"/>
        <v>3083720.0885145464</v>
      </c>
      <c r="W411" s="42">
        <f t="shared" si="125"/>
        <v>3085387.0851940783</v>
      </c>
    </row>
    <row r="412" spans="2:23" x14ac:dyDescent="0.3">
      <c r="B412" s="2">
        <v>404</v>
      </c>
      <c r="C412" s="2">
        <v>2538</v>
      </c>
      <c r="D412" s="4">
        <v>387248.04000000004</v>
      </c>
      <c r="E412" s="4">
        <f t="shared" si="108"/>
        <v>982835525.5200001</v>
      </c>
      <c r="F412" s="2">
        <f t="shared" si="109"/>
        <v>6441444</v>
      </c>
      <c r="G412" s="2">
        <f t="shared" si="110"/>
        <v>149961044483.84161</v>
      </c>
      <c r="H412" s="42">
        <f t="shared" si="111"/>
        <v>-2486.4809999999998</v>
      </c>
      <c r="I412" s="2">
        <f t="shared" si="112"/>
        <v>6182587.7633609986</v>
      </c>
      <c r="J412" s="4">
        <f t="shared" si="113"/>
        <v>-901853.8568099991</v>
      </c>
      <c r="K412" s="2">
        <f t="shared" si="114"/>
        <v>813340379043.07031</v>
      </c>
      <c r="L412" s="2">
        <f t="shared" si="115"/>
        <v>2242442479.7347832</v>
      </c>
      <c r="N412" s="42">
        <f t="shared" si="116"/>
        <v>659437.01916126895</v>
      </c>
      <c r="O412" s="42">
        <f t="shared" si="117"/>
        <v>396477858144.39032</v>
      </c>
      <c r="P412" s="4">
        <f t="shared" si="118"/>
        <v>-272188.97916126892</v>
      </c>
      <c r="Q412" s="4">
        <f t="shared" si="119"/>
        <v>74086840376.853683</v>
      </c>
      <c r="R412" s="43">
        <f t="shared" si="120"/>
        <v>1.7788590046541363E-3</v>
      </c>
      <c r="S412" s="4">
        <f t="shared" si="121"/>
        <v>-0.22388510105892104</v>
      </c>
      <c r="T412" s="30">
        <f t="shared" si="122"/>
        <v>558624.94226352044</v>
      </c>
      <c r="U412" s="31">
        <f t="shared" si="123"/>
        <v>760249.09605901747</v>
      </c>
      <c r="V412" s="31">
        <f t="shared" si="124"/>
        <v>3049942.8844472039</v>
      </c>
      <c r="W412" s="42">
        <f t="shared" si="125"/>
        <v>3051803.6156403981</v>
      </c>
    </row>
    <row r="413" spans="2:23" x14ac:dyDescent="0.3">
      <c r="B413" s="2">
        <v>405</v>
      </c>
      <c r="C413" s="2">
        <v>1474</v>
      </c>
      <c r="D413" s="4">
        <v>224902.92</v>
      </c>
      <c r="E413" s="4">
        <f t="shared" si="108"/>
        <v>331506904.08000004</v>
      </c>
      <c r="F413" s="2">
        <f t="shared" si="109"/>
        <v>2172676</v>
      </c>
      <c r="G413" s="2">
        <f t="shared" si="110"/>
        <v>50581323424.526405</v>
      </c>
      <c r="H413" s="42">
        <f t="shared" si="111"/>
        <v>-3550.4809999999998</v>
      </c>
      <c r="I413" s="2">
        <f t="shared" si="112"/>
        <v>12605915.331360998</v>
      </c>
      <c r="J413" s="4">
        <f t="shared" si="113"/>
        <v>-1064198.9768099992</v>
      </c>
      <c r="K413" s="2">
        <f t="shared" si="114"/>
        <v>1132519462243.4492</v>
      </c>
      <c r="L413" s="2">
        <f t="shared" si="115"/>
        <v>3778418247.3833427</v>
      </c>
      <c r="N413" s="42">
        <f t="shared" si="116"/>
        <v>389994.61046470178</v>
      </c>
      <c r="O413" s="42">
        <f t="shared" si="117"/>
        <v>808393912359.20459</v>
      </c>
      <c r="P413" s="4">
        <f t="shared" si="118"/>
        <v>-165091.69046470177</v>
      </c>
      <c r="Q413" s="4">
        <f t="shared" si="119"/>
        <v>27255266260.492901</v>
      </c>
      <c r="R413" s="43">
        <f t="shared" si="120"/>
        <v>2.5880454986700785E-3</v>
      </c>
      <c r="S413" s="4">
        <f t="shared" si="121"/>
        <v>-0.13584885061306967</v>
      </c>
      <c r="T413" s="30">
        <f t="shared" si="122"/>
        <v>268396.24075657444</v>
      </c>
      <c r="U413" s="31">
        <f t="shared" si="123"/>
        <v>511592.98017282912</v>
      </c>
      <c r="V413" s="31">
        <f t="shared" si="124"/>
        <v>2779533.3114066264</v>
      </c>
      <c r="W413" s="42">
        <f t="shared" si="125"/>
        <v>2783327.2285135114</v>
      </c>
    </row>
    <row r="414" spans="2:23" x14ac:dyDescent="0.3">
      <c r="B414" s="2">
        <v>406</v>
      </c>
      <c r="C414" s="2">
        <v>7765</v>
      </c>
      <c r="D414" s="4">
        <v>5189116.55</v>
      </c>
      <c r="E414" s="4">
        <f t="shared" si="108"/>
        <v>40293490010.75</v>
      </c>
      <c r="F414" s="2">
        <f t="shared" si="109"/>
        <v>60295225</v>
      </c>
      <c r="G414" s="2">
        <f t="shared" si="110"/>
        <v>26926930569483.902</v>
      </c>
      <c r="H414" s="42">
        <f t="shared" si="111"/>
        <v>2740.5190000000002</v>
      </c>
      <c r="I414" s="2">
        <f t="shared" si="112"/>
        <v>7510444.3893610016</v>
      </c>
      <c r="J414" s="4">
        <f t="shared" si="113"/>
        <v>3900014.6531900009</v>
      </c>
      <c r="K414" s="2">
        <f t="shared" si="114"/>
        <v>15210114295096.723</v>
      </c>
      <c r="L414" s="2">
        <f t="shared" si="115"/>
        <v>10688064257.34561</v>
      </c>
      <c r="N414" s="42">
        <f t="shared" si="116"/>
        <v>1983098.1754178072</v>
      </c>
      <c r="O414" s="42">
        <f t="shared" si="117"/>
        <v>481630834721.48633</v>
      </c>
      <c r="P414" s="4">
        <f t="shared" si="118"/>
        <v>3206018.3745821929</v>
      </c>
      <c r="Q414" s="4">
        <f t="shared" si="119"/>
        <v>10278553818158.646</v>
      </c>
      <c r="R414" s="43">
        <f t="shared" si="120"/>
        <v>1.9461373563143705E-3</v>
      </c>
      <c r="S414" s="4">
        <f t="shared" si="121"/>
        <v>2.6372849446425302</v>
      </c>
      <c r="T414" s="30">
        <f t="shared" si="122"/>
        <v>1877652.5557669739</v>
      </c>
      <c r="U414" s="31">
        <f t="shared" si="123"/>
        <v>2088543.7950686405</v>
      </c>
      <c r="V414" s="31">
        <f t="shared" si="124"/>
        <v>4373404.1366100861</v>
      </c>
      <c r="W414" s="42">
        <f t="shared" si="125"/>
        <v>4375664.5038200608</v>
      </c>
    </row>
    <row r="415" spans="2:23" x14ac:dyDescent="0.3">
      <c r="B415" s="2">
        <v>407</v>
      </c>
      <c r="C415" s="2">
        <v>6727</v>
      </c>
      <c r="D415" s="4">
        <v>1026405.66</v>
      </c>
      <c r="E415" s="4">
        <f t="shared" si="108"/>
        <v>6904630874.8200006</v>
      </c>
      <c r="F415" s="2">
        <f t="shared" si="109"/>
        <v>45252529</v>
      </c>
      <c r="G415" s="2">
        <f t="shared" si="110"/>
        <v>1053508578880.0356</v>
      </c>
      <c r="H415" s="42">
        <f t="shared" si="111"/>
        <v>1702.5190000000002</v>
      </c>
      <c r="I415" s="2">
        <f t="shared" si="112"/>
        <v>2898570.945361001</v>
      </c>
      <c r="J415" s="4">
        <f t="shared" si="113"/>
        <v>-262696.2368099991</v>
      </c>
      <c r="K415" s="2">
        <f t="shared" si="114"/>
        <v>69009312834.135132</v>
      </c>
      <c r="L415" s="2">
        <f t="shared" si="115"/>
        <v>-447245334.39752293</v>
      </c>
      <c r="N415" s="42">
        <f t="shared" si="116"/>
        <v>1720239.8857307425</v>
      </c>
      <c r="O415" s="42">
        <f t="shared" si="117"/>
        <v>185879965490.62302</v>
      </c>
      <c r="P415" s="4">
        <f t="shared" si="118"/>
        <v>-693834.22573074244</v>
      </c>
      <c r="Q415" s="4">
        <f t="shared" si="119"/>
        <v>481405932795.37885</v>
      </c>
      <c r="R415" s="43">
        <f t="shared" si="120"/>
        <v>1.3651509962870297E-3</v>
      </c>
      <c r="S415" s="4">
        <f t="shared" si="121"/>
        <v>-0.57058506351455751</v>
      </c>
      <c r="T415" s="30">
        <f t="shared" si="122"/>
        <v>1631925.3594045897</v>
      </c>
      <c r="U415" s="31">
        <f t="shared" si="123"/>
        <v>1808554.4120568952</v>
      </c>
      <c r="V415" s="31">
        <f t="shared" si="124"/>
        <v>4111240.076290058</v>
      </c>
      <c r="W415" s="42">
        <f t="shared" si="125"/>
        <v>4112112.4393298901</v>
      </c>
    </row>
    <row r="416" spans="2:23" x14ac:dyDescent="0.3">
      <c r="B416" s="2">
        <v>408</v>
      </c>
      <c r="C416" s="2">
        <v>5709</v>
      </c>
      <c r="D416" s="4">
        <v>466596.57</v>
      </c>
      <c r="E416" s="4">
        <f t="shared" si="108"/>
        <v>2663799818.1300001</v>
      </c>
      <c r="F416" s="2">
        <f t="shared" si="109"/>
        <v>32592681</v>
      </c>
      <c r="G416" s="2">
        <f t="shared" si="110"/>
        <v>217712359135.76489</v>
      </c>
      <c r="H416" s="42">
        <f t="shared" si="111"/>
        <v>684.51900000000023</v>
      </c>
      <c r="I416" s="2">
        <f t="shared" si="112"/>
        <v>468566.2613610003</v>
      </c>
      <c r="J416" s="4">
        <f t="shared" si="113"/>
        <v>-822505.32680999907</v>
      </c>
      <c r="K416" s="2">
        <f t="shared" si="114"/>
        <v>676515012630.82336</v>
      </c>
      <c r="L416" s="2">
        <f t="shared" si="115"/>
        <v>-563020523.80265391</v>
      </c>
      <c r="N416" s="42">
        <f t="shared" si="116"/>
        <v>1462446.3029740646</v>
      </c>
      <c r="O416" s="42">
        <f t="shared" si="117"/>
        <v>30048283148.372498</v>
      </c>
      <c r="P416" s="4">
        <f t="shared" si="118"/>
        <v>-995849.73297406454</v>
      </c>
      <c r="Q416" s="4">
        <f t="shared" si="119"/>
        <v>991716690664.51563</v>
      </c>
      <c r="R416" s="43">
        <f t="shared" si="120"/>
        <v>1.0590282040314693E-3</v>
      </c>
      <c r="S416" s="4">
        <f t="shared" si="121"/>
        <v>-0.81882658870302027</v>
      </c>
      <c r="T416" s="30">
        <f t="shared" si="122"/>
        <v>1384661.3556481879</v>
      </c>
      <c r="U416" s="31">
        <f t="shared" si="123"/>
        <v>1540231.2502999413</v>
      </c>
      <c r="V416" s="31">
        <f t="shared" si="124"/>
        <v>3853812.2032043925</v>
      </c>
      <c r="W416" s="42">
        <f t="shared" si="125"/>
        <v>3853953.2243797258</v>
      </c>
    </row>
    <row r="417" spans="2:23" x14ac:dyDescent="0.3">
      <c r="B417" s="2">
        <v>409</v>
      </c>
      <c r="C417" s="2">
        <v>9091</v>
      </c>
      <c r="D417" s="4">
        <v>84819.03</v>
      </c>
      <c r="E417" s="4">
        <f t="shared" si="108"/>
        <v>771089801.73000002</v>
      </c>
      <c r="F417" s="2">
        <f t="shared" si="109"/>
        <v>82646281</v>
      </c>
      <c r="G417" s="2">
        <f t="shared" si="110"/>
        <v>7194267850.1408997</v>
      </c>
      <c r="H417" s="42">
        <f t="shared" si="111"/>
        <v>4066.5190000000002</v>
      </c>
      <c r="I417" s="2">
        <f t="shared" si="112"/>
        <v>16536576.777361002</v>
      </c>
      <c r="J417" s="4">
        <f t="shared" si="113"/>
        <v>-1204282.8668099991</v>
      </c>
      <c r="K417" s="2">
        <f t="shared" si="114"/>
        <v>1450297223292.1101</v>
      </c>
      <c r="L417" s="2">
        <f t="shared" si="115"/>
        <v>-4897239159.2573309</v>
      </c>
      <c r="N417" s="42">
        <f t="shared" si="116"/>
        <v>2318888.2449024389</v>
      </c>
      <c r="O417" s="42">
        <f t="shared" si="117"/>
        <v>1060459922717.5636</v>
      </c>
      <c r="P417" s="4">
        <f t="shared" si="118"/>
        <v>-2234069.2149024392</v>
      </c>
      <c r="Q417" s="4">
        <f t="shared" si="119"/>
        <v>4991065256974.8008</v>
      </c>
      <c r="R417" s="43">
        <f t="shared" si="120"/>
        <v>3.0832153496516495E-3</v>
      </c>
      <c r="S417" s="4">
        <f t="shared" si="121"/>
        <v>-1.8388030202132299</v>
      </c>
      <c r="T417" s="30">
        <f t="shared" si="122"/>
        <v>2186165.9970617522</v>
      </c>
      <c r="U417" s="31">
        <f t="shared" si="123"/>
        <v>2451610.4927431257</v>
      </c>
      <c r="V417" s="31">
        <f t="shared" si="124"/>
        <v>4707834.9106409214</v>
      </c>
      <c r="W417" s="42">
        <f t="shared" si="125"/>
        <v>4712811.8134761266</v>
      </c>
    </row>
    <row r="418" spans="2:23" x14ac:dyDescent="0.3">
      <c r="B418" s="2">
        <v>410</v>
      </c>
      <c r="C418" s="2">
        <v>3285</v>
      </c>
      <c r="D418" s="4">
        <v>155873.25</v>
      </c>
      <c r="E418" s="4">
        <f t="shared" si="108"/>
        <v>512043626.25</v>
      </c>
      <c r="F418" s="2">
        <f t="shared" si="109"/>
        <v>10791225</v>
      </c>
      <c r="G418" s="2">
        <f t="shared" si="110"/>
        <v>24296470065.5625</v>
      </c>
      <c r="H418" s="42">
        <f t="shared" si="111"/>
        <v>-1739.4809999999998</v>
      </c>
      <c r="I418" s="2">
        <f t="shared" si="112"/>
        <v>3025794.149360999</v>
      </c>
      <c r="J418" s="4">
        <f t="shared" si="113"/>
        <v>-1133228.6468099991</v>
      </c>
      <c r="K418" s="2">
        <f t="shared" si="114"/>
        <v>1284207165950.8218</v>
      </c>
      <c r="L418" s="2">
        <f t="shared" si="115"/>
        <v>1971229699.7817039</v>
      </c>
      <c r="N418" s="42">
        <f t="shared" si="116"/>
        <v>848603.82301120856</v>
      </c>
      <c r="O418" s="42">
        <f t="shared" si="117"/>
        <v>194038553020.44473</v>
      </c>
      <c r="P418" s="4">
        <f t="shared" si="118"/>
        <v>-692730.57301120856</v>
      </c>
      <c r="Q418" s="4">
        <f t="shared" si="119"/>
        <v>479875646784.43738</v>
      </c>
      <c r="R418" s="43">
        <f t="shared" si="120"/>
        <v>1.381178093973142E-3</v>
      </c>
      <c r="S418" s="4">
        <f t="shared" si="121"/>
        <v>-0.56968202945163771</v>
      </c>
      <c r="T418" s="30">
        <f t="shared" si="122"/>
        <v>759772.39583640103</v>
      </c>
      <c r="U418" s="31">
        <f t="shared" si="123"/>
        <v>937435.25018601608</v>
      </c>
      <c r="V418" s="31">
        <f t="shared" si="124"/>
        <v>3239584.8652532799</v>
      </c>
      <c r="W418" s="42">
        <f t="shared" si="125"/>
        <v>3240495.5177905951</v>
      </c>
    </row>
    <row r="419" spans="2:23" x14ac:dyDescent="0.3">
      <c r="B419" s="2">
        <v>411</v>
      </c>
      <c r="C419" s="2">
        <v>1732</v>
      </c>
      <c r="D419" s="4">
        <v>82183.400000000009</v>
      </c>
      <c r="E419" s="4">
        <f t="shared" si="108"/>
        <v>142341648.80000001</v>
      </c>
      <c r="F419" s="2">
        <f t="shared" si="109"/>
        <v>2999824</v>
      </c>
      <c r="G419" s="2">
        <f t="shared" si="110"/>
        <v>6754111235.5600014</v>
      </c>
      <c r="H419" s="42">
        <f t="shared" si="111"/>
        <v>-3292.4809999999998</v>
      </c>
      <c r="I419" s="2">
        <f t="shared" si="112"/>
        <v>10840431.135360999</v>
      </c>
      <c r="J419" s="4">
        <f t="shared" si="113"/>
        <v>-1206918.4968099992</v>
      </c>
      <c r="K419" s="2">
        <f t="shared" si="114"/>
        <v>1456652257942.1082</v>
      </c>
      <c r="L419" s="2">
        <f t="shared" si="115"/>
        <v>3973756219.2954826</v>
      </c>
      <c r="N419" s="42">
        <f t="shared" si="116"/>
        <v>455329.32986668893</v>
      </c>
      <c r="O419" s="42">
        <f t="shared" si="117"/>
        <v>695176693387.23669</v>
      </c>
      <c r="P419" s="4">
        <f t="shared" si="118"/>
        <v>-373145.92986668891</v>
      </c>
      <c r="Q419" s="4">
        <f t="shared" si="119"/>
        <v>139237884976.07593</v>
      </c>
      <c r="R419" s="43">
        <f t="shared" si="120"/>
        <v>2.3656364822096879E-3</v>
      </c>
      <c r="S419" s="4">
        <f t="shared" si="121"/>
        <v>-0.30701602692069901</v>
      </c>
      <c r="T419" s="30">
        <f t="shared" si="122"/>
        <v>339073.21552374738</v>
      </c>
      <c r="U419" s="31">
        <f t="shared" si="123"/>
        <v>571585.44420963048</v>
      </c>
      <c r="V419" s="31">
        <f t="shared" si="124"/>
        <v>2845133.8998457436</v>
      </c>
      <c r="W419" s="42">
        <f t="shared" si="125"/>
        <v>2848396.4708434753</v>
      </c>
    </row>
    <row r="420" spans="2:23" x14ac:dyDescent="0.3">
      <c r="B420" s="2">
        <v>412</v>
      </c>
      <c r="C420" s="2">
        <v>9907</v>
      </c>
      <c r="D420" s="4">
        <v>2529058.96</v>
      </c>
      <c r="E420" s="4">
        <f t="shared" si="108"/>
        <v>25055387116.720001</v>
      </c>
      <c r="F420" s="2">
        <f t="shared" si="109"/>
        <v>98148649</v>
      </c>
      <c r="G420" s="2">
        <f t="shared" si="110"/>
        <v>6396139223156.2813</v>
      </c>
      <c r="H420" s="42">
        <f t="shared" si="111"/>
        <v>4882.5190000000002</v>
      </c>
      <c r="I420" s="2">
        <f t="shared" si="112"/>
        <v>23838991.785361003</v>
      </c>
      <c r="J420" s="4">
        <f t="shared" si="113"/>
        <v>1239957.0631900008</v>
      </c>
      <c r="K420" s="2">
        <f t="shared" si="114"/>
        <v>1537493518554.7717</v>
      </c>
      <c r="L420" s="2">
        <f t="shared" si="115"/>
        <v>6054113920.2093801</v>
      </c>
      <c r="N420" s="42">
        <f t="shared" si="116"/>
        <v>2525528.2876622123</v>
      </c>
      <c r="O420" s="42">
        <f t="shared" si="117"/>
        <v>1528750219995.8298</v>
      </c>
      <c r="P420" s="4">
        <f t="shared" si="118"/>
        <v>3530.6723377876915</v>
      </c>
      <c r="Q420" s="4">
        <f t="shared" si="119"/>
        <v>12465647.156819202</v>
      </c>
      <c r="R420" s="43">
        <f t="shared" si="120"/>
        <v>4.0031459519162295E-3</v>
      </c>
      <c r="S420" s="4">
        <f t="shared" si="121"/>
        <v>2.9073443279074656E-3</v>
      </c>
      <c r="T420" s="30">
        <f t="shared" si="122"/>
        <v>2374296.7001764346</v>
      </c>
      <c r="U420" s="31">
        <f t="shared" si="123"/>
        <v>2676759.87514799</v>
      </c>
      <c r="V420" s="31">
        <f t="shared" si="124"/>
        <v>4913374.6758876834</v>
      </c>
      <c r="W420" s="42">
        <f t="shared" si="125"/>
        <v>4920549.341881603</v>
      </c>
    </row>
    <row r="421" spans="2:23" x14ac:dyDescent="0.3">
      <c r="B421" s="2">
        <v>413</v>
      </c>
      <c r="C421" s="2">
        <v>314</v>
      </c>
      <c r="D421" s="4">
        <v>2929.62</v>
      </c>
      <c r="E421" s="4">
        <f t="shared" si="108"/>
        <v>919900.67999999993</v>
      </c>
      <c r="F421" s="2">
        <f t="shared" si="109"/>
        <v>98596</v>
      </c>
      <c r="G421" s="2">
        <f t="shared" si="110"/>
        <v>8582673.3443999998</v>
      </c>
      <c r="H421" s="42">
        <f t="shared" si="111"/>
        <v>-4710.4809999999998</v>
      </c>
      <c r="I421" s="2">
        <f t="shared" si="112"/>
        <v>22188631.251360998</v>
      </c>
      <c r="J421" s="4">
        <f t="shared" si="113"/>
        <v>-1286172.276809999</v>
      </c>
      <c r="K421" s="2">
        <f t="shared" si="114"/>
        <v>1654239125634.6167</v>
      </c>
      <c r="L421" s="2">
        <f t="shared" si="115"/>
        <v>6058490072.6402407</v>
      </c>
      <c r="N421" s="42">
        <f t="shared" si="116"/>
        <v>96241.608502278919</v>
      </c>
      <c r="O421" s="42">
        <f t="shared" si="117"/>
        <v>1422915667421.5776</v>
      </c>
      <c r="P421" s="4">
        <f t="shared" si="118"/>
        <v>-93311.988502278924</v>
      </c>
      <c r="Q421" s="4">
        <f t="shared" si="119"/>
        <v>8707127198.2494335</v>
      </c>
      <c r="R421" s="43">
        <f t="shared" si="120"/>
        <v>3.7952397786388866E-3</v>
      </c>
      <c r="S421" s="4">
        <f t="shared" si="121"/>
        <v>-7.6830060732979572E-2</v>
      </c>
      <c r="T421" s="30">
        <f t="shared" si="122"/>
        <v>-51010.46142942147</v>
      </c>
      <c r="U421" s="31">
        <f t="shared" si="123"/>
        <v>243493.67843397931</v>
      </c>
      <c r="V421" s="31">
        <f t="shared" si="124"/>
        <v>2484336.7060048315</v>
      </c>
      <c r="W421" s="42">
        <f t="shared" si="125"/>
        <v>2491014.6727402797</v>
      </c>
    </row>
    <row r="422" spans="2:23" x14ac:dyDescent="0.3">
      <c r="B422" s="2">
        <v>414</v>
      </c>
      <c r="C422" s="2">
        <v>7489</v>
      </c>
      <c r="D422" s="4">
        <v>3159534.21</v>
      </c>
      <c r="E422" s="4">
        <f t="shared" si="108"/>
        <v>23661751698.689999</v>
      </c>
      <c r="F422" s="2">
        <f t="shared" si="109"/>
        <v>56085121</v>
      </c>
      <c r="G422" s="2">
        <f t="shared" si="110"/>
        <v>9982656424160.3242</v>
      </c>
      <c r="H422" s="42">
        <f t="shared" si="111"/>
        <v>2464.5190000000002</v>
      </c>
      <c r="I422" s="2">
        <f t="shared" si="112"/>
        <v>6073853.9013610007</v>
      </c>
      <c r="J422" s="4">
        <f t="shared" si="113"/>
        <v>1870432.3131900008</v>
      </c>
      <c r="K422" s="2">
        <f t="shared" si="114"/>
        <v>3498517038225.2974</v>
      </c>
      <c r="L422" s="2">
        <f t="shared" si="115"/>
        <v>4609715974.0707083</v>
      </c>
      <c r="N422" s="42">
        <f t="shared" si="116"/>
        <v>1913205.2197784721</v>
      </c>
      <c r="O422" s="42">
        <f t="shared" si="117"/>
        <v>389504957740.29004</v>
      </c>
      <c r="P422" s="4">
        <f t="shared" si="118"/>
        <v>1246328.9902215279</v>
      </c>
      <c r="Q422" s="4">
        <f t="shared" si="119"/>
        <v>1553335951866.6133</v>
      </c>
      <c r="R422" s="43">
        <f t="shared" si="120"/>
        <v>1.7651611242889928E-3</v>
      </c>
      <c r="S422" s="4">
        <f t="shared" si="121"/>
        <v>1.0251428191977843</v>
      </c>
      <c r="T422" s="30">
        <f t="shared" si="122"/>
        <v>1812782.0383565046</v>
      </c>
      <c r="U422" s="31">
        <f t="shared" si="123"/>
        <v>2013628.4012004395</v>
      </c>
      <c r="V422" s="31">
        <f t="shared" si="124"/>
        <v>4303727.4538202276</v>
      </c>
      <c r="W422" s="42">
        <f t="shared" si="125"/>
        <v>4305555.4601211362</v>
      </c>
    </row>
    <row r="423" spans="2:23" x14ac:dyDescent="0.3">
      <c r="B423" s="2">
        <v>415</v>
      </c>
      <c r="C423" s="2">
        <v>3000</v>
      </c>
      <c r="D423" s="4">
        <v>2004810</v>
      </c>
      <c r="E423" s="4">
        <f t="shared" si="108"/>
        <v>6014430000</v>
      </c>
      <c r="F423" s="2">
        <f t="shared" si="109"/>
        <v>9000000</v>
      </c>
      <c r="G423" s="2">
        <f t="shared" si="110"/>
        <v>4019263136100</v>
      </c>
      <c r="H423" s="42">
        <f t="shared" si="111"/>
        <v>-2024.4809999999998</v>
      </c>
      <c r="I423" s="2">
        <f t="shared" si="112"/>
        <v>4098523.3193609989</v>
      </c>
      <c r="J423" s="4">
        <f t="shared" si="113"/>
        <v>715708.10319000087</v>
      </c>
      <c r="K423" s="2">
        <f t="shared" si="114"/>
        <v>512238088971.82892</v>
      </c>
      <c r="L423" s="2">
        <f t="shared" si="115"/>
        <v>-1448937456.454196</v>
      </c>
      <c r="N423" s="42">
        <f t="shared" si="116"/>
        <v>776431.74925319944</v>
      </c>
      <c r="O423" s="42">
        <f t="shared" si="117"/>
        <v>262830680195.91077</v>
      </c>
      <c r="P423" s="4">
        <f t="shared" si="118"/>
        <v>1228378.2507468006</v>
      </c>
      <c r="Q423" s="4">
        <f t="shared" si="119"/>
        <v>1508913126907.7695</v>
      </c>
      <c r="R423" s="43">
        <f t="shared" si="120"/>
        <v>1.5163164544119525E-3</v>
      </c>
      <c r="S423" s="4">
        <f t="shared" si="121"/>
        <v>1.0102518875143822</v>
      </c>
      <c r="T423" s="30">
        <f t="shared" si="122"/>
        <v>683355.96105846646</v>
      </c>
      <c r="U423" s="31">
        <f t="shared" si="123"/>
        <v>869507.53744793241</v>
      </c>
      <c r="V423" s="31">
        <f t="shared" si="124"/>
        <v>3167251.3293275353</v>
      </c>
      <c r="W423" s="42">
        <f t="shared" si="125"/>
        <v>3168484.8338332144</v>
      </c>
    </row>
    <row r="424" spans="2:23" x14ac:dyDescent="0.3">
      <c r="B424" s="2">
        <v>416</v>
      </c>
      <c r="C424" s="2">
        <v>445</v>
      </c>
      <c r="D424" s="4">
        <v>4151.8500000000004</v>
      </c>
      <c r="E424" s="4">
        <f t="shared" si="108"/>
        <v>1847573.2500000002</v>
      </c>
      <c r="F424" s="2">
        <f t="shared" si="109"/>
        <v>198025</v>
      </c>
      <c r="G424" s="2">
        <f t="shared" si="110"/>
        <v>17237858.422500003</v>
      </c>
      <c r="H424" s="42">
        <f t="shared" si="111"/>
        <v>-4579.4809999999998</v>
      </c>
      <c r="I424" s="2">
        <f t="shared" si="112"/>
        <v>20971646.229360998</v>
      </c>
      <c r="J424" s="4">
        <f t="shared" si="113"/>
        <v>-1284950.046809999</v>
      </c>
      <c r="K424" s="2">
        <f t="shared" si="114"/>
        <v>1651096622797.0188</v>
      </c>
      <c r="L424" s="2">
        <f t="shared" si="115"/>
        <v>5884404325.3155012</v>
      </c>
      <c r="N424" s="42">
        <f t="shared" si="116"/>
        <v>129415.43889631116</v>
      </c>
      <c r="O424" s="42">
        <f t="shared" si="117"/>
        <v>1344872680668.3958</v>
      </c>
      <c r="P424" s="4">
        <f t="shared" si="118"/>
        <v>-125263.58889631115</v>
      </c>
      <c r="Q424" s="4">
        <f t="shared" si="119"/>
        <v>15690966703.184046</v>
      </c>
      <c r="R424" s="43">
        <f t="shared" si="120"/>
        <v>3.641928611989368E-3</v>
      </c>
      <c r="S424" s="4">
        <f t="shared" si="121"/>
        <v>-0.10313003546360293</v>
      </c>
      <c r="T424" s="30">
        <f t="shared" si="122"/>
        <v>-14831.801395010349</v>
      </c>
      <c r="U424" s="31">
        <f t="shared" si="123"/>
        <v>273662.67918763263</v>
      </c>
      <c r="V424" s="31">
        <f t="shared" si="124"/>
        <v>2517693.9194096769</v>
      </c>
      <c r="W424" s="42">
        <f t="shared" si="125"/>
        <v>2524005.6174931321</v>
      </c>
    </row>
    <row r="425" spans="2:23" x14ac:dyDescent="0.3">
      <c r="B425" s="2">
        <v>417</v>
      </c>
      <c r="C425" s="2">
        <v>455</v>
      </c>
      <c r="D425" s="4">
        <v>93593.5</v>
      </c>
      <c r="E425" s="4">
        <f t="shared" si="108"/>
        <v>42585042.5</v>
      </c>
      <c r="F425" s="2">
        <f t="shared" si="109"/>
        <v>207025</v>
      </c>
      <c r="G425" s="2">
        <f t="shared" si="110"/>
        <v>8759743242.25</v>
      </c>
      <c r="H425" s="42">
        <f t="shared" si="111"/>
        <v>-4569.4809999999998</v>
      </c>
      <c r="I425" s="2">
        <f t="shared" si="112"/>
        <v>20880156.609360997</v>
      </c>
      <c r="J425" s="4">
        <f t="shared" si="113"/>
        <v>-1195508.3968099991</v>
      </c>
      <c r="K425" s="2">
        <f t="shared" si="114"/>
        <v>1429240326843.2144</v>
      </c>
      <c r="L425" s="2">
        <f t="shared" si="115"/>
        <v>5462852904.5637512</v>
      </c>
      <c r="N425" s="42">
        <f t="shared" si="116"/>
        <v>131947.79236150446</v>
      </c>
      <c r="O425" s="42">
        <f t="shared" si="117"/>
        <v>1339005621441.9978</v>
      </c>
      <c r="P425" s="4">
        <f t="shared" si="118"/>
        <v>-38354.292361504456</v>
      </c>
      <c r="Q425" s="4">
        <f t="shared" si="119"/>
        <v>1471051742.551759</v>
      </c>
      <c r="R425" s="43">
        <f t="shared" si="120"/>
        <v>3.6304030959600337E-3</v>
      </c>
      <c r="S425" s="4">
        <f t="shared" si="121"/>
        <v>-3.157706631817301E-2</v>
      </c>
      <c r="T425" s="30">
        <f t="shared" si="122"/>
        <v>-12071.019330673676</v>
      </c>
      <c r="U425" s="31">
        <f t="shared" si="123"/>
        <v>275966.60405368259</v>
      </c>
      <c r="V425" s="31">
        <f t="shared" si="124"/>
        <v>2520240.0585411834</v>
      </c>
      <c r="W425" s="42">
        <f t="shared" si="125"/>
        <v>2526524.2215493307</v>
      </c>
    </row>
    <row r="426" spans="2:23" x14ac:dyDescent="0.3">
      <c r="B426" s="2">
        <v>418</v>
      </c>
      <c r="C426" s="2">
        <v>5690</v>
      </c>
      <c r="D426" s="4">
        <v>465043.7</v>
      </c>
      <c r="E426" s="4">
        <f t="shared" si="108"/>
        <v>2646098653</v>
      </c>
      <c r="F426" s="2">
        <f t="shared" si="109"/>
        <v>32376100</v>
      </c>
      <c r="G426" s="2">
        <f t="shared" si="110"/>
        <v>216265642909.69</v>
      </c>
      <c r="H426" s="42">
        <f t="shared" si="111"/>
        <v>665.51900000000023</v>
      </c>
      <c r="I426" s="2">
        <f t="shared" si="112"/>
        <v>442915.53936100029</v>
      </c>
      <c r="J426" s="4">
        <f t="shared" si="113"/>
        <v>-824058.19680999918</v>
      </c>
      <c r="K426" s="2">
        <f t="shared" si="114"/>
        <v>679071911729.74731</v>
      </c>
      <c r="L426" s="2">
        <f t="shared" si="115"/>
        <v>-548426387.08279407</v>
      </c>
      <c r="N426" s="42">
        <f t="shared" si="116"/>
        <v>1457634.8313901974</v>
      </c>
      <c r="O426" s="42">
        <f t="shared" si="117"/>
        <v>28403350038.213387</v>
      </c>
      <c r="P426" s="4">
        <f t="shared" si="118"/>
        <v>-992591.13139019744</v>
      </c>
      <c r="Q426" s="4">
        <f t="shared" si="119"/>
        <v>985237154114.47217</v>
      </c>
      <c r="R426" s="43">
        <f t="shared" si="120"/>
        <v>1.0557968231647108E-3</v>
      </c>
      <c r="S426" s="4">
        <f t="shared" si="121"/>
        <v>-0.8161459190316751</v>
      </c>
      <c r="T426" s="30">
        <f t="shared" si="122"/>
        <v>1379968.6461609919</v>
      </c>
      <c r="U426" s="31">
        <f t="shared" si="123"/>
        <v>1535301.0166194029</v>
      </c>
      <c r="V426" s="31">
        <f t="shared" si="124"/>
        <v>3849004.5916921957</v>
      </c>
      <c r="W426" s="42">
        <f t="shared" si="125"/>
        <v>3849137.8929455765</v>
      </c>
    </row>
    <row r="427" spans="2:23" x14ac:dyDescent="0.3">
      <c r="B427" s="2">
        <v>419</v>
      </c>
      <c r="C427" s="2">
        <v>5843</v>
      </c>
      <c r="D427" s="4">
        <v>900172.58</v>
      </c>
      <c r="E427" s="4">
        <f t="shared" si="108"/>
        <v>5259708384.9399996</v>
      </c>
      <c r="F427" s="2">
        <f t="shared" si="109"/>
        <v>34140649</v>
      </c>
      <c r="G427" s="2">
        <f t="shared" si="110"/>
        <v>810310673783.85632</v>
      </c>
      <c r="H427" s="42">
        <f t="shared" si="111"/>
        <v>818.51900000000023</v>
      </c>
      <c r="I427" s="2">
        <f t="shared" si="112"/>
        <v>669973.35336100042</v>
      </c>
      <c r="J427" s="4">
        <f t="shared" si="113"/>
        <v>-388929.31680999917</v>
      </c>
      <c r="K427" s="2">
        <f t="shared" si="114"/>
        <v>151266013474.29269</v>
      </c>
      <c r="L427" s="2">
        <f t="shared" si="115"/>
        <v>-318346035.46600378</v>
      </c>
      <c r="N427" s="42">
        <f t="shared" si="116"/>
        <v>1496379.8394076547</v>
      </c>
      <c r="O427" s="42">
        <f t="shared" si="117"/>
        <v>42964145487.516998</v>
      </c>
      <c r="P427" s="4">
        <f t="shared" si="118"/>
        <v>-596207.25940765475</v>
      </c>
      <c r="Q427" s="4">
        <f t="shared" si="119"/>
        <v>355463096170.38654</v>
      </c>
      <c r="R427" s="43">
        <f t="shared" si="120"/>
        <v>1.0844007071336536E-3</v>
      </c>
      <c r="S427" s="4">
        <f t="shared" si="121"/>
        <v>-0.49023114653290062</v>
      </c>
      <c r="T427" s="30">
        <f t="shared" si="122"/>
        <v>1417668.6101765293</v>
      </c>
      <c r="U427" s="31">
        <f t="shared" si="123"/>
        <v>1575091.0686387802</v>
      </c>
      <c r="V427" s="31">
        <f t="shared" si="124"/>
        <v>3887715.4304964123</v>
      </c>
      <c r="W427" s="42">
        <f t="shared" si="125"/>
        <v>3887917.0677835308</v>
      </c>
    </row>
    <row r="428" spans="2:23" x14ac:dyDescent="0.3">
      <c r="B428" s="2">
        <v>420</v>
      </c>
      <c r="C428" s="2">
        <v>2637</v>
      </c>
      <c r="D428" s="4">
        <v>215522.01</v>
      </c>
      <c r="E428" s="4">
        <f t="shared" si="108"/>
        <v>568331540.37</v>
      </c>
      <c r="F428" s="2">
        <f t="shared" si="109"/>
        <v>6953769</v>
      </c>
      <c r="G428" s="2">
        <f t="shared" si="110"/>
        <v>46449736794.440102</v>
      </c>
      <c r="H428" s="42">
        <f t="shared" si="111"/>
        <v>-2387.4809999999998</v>
      </c>
      <c r="I428" s="2">
        <f t="shared" si="112"/>
        <v>5700065.5253609987</v>
      </c>
      <c r="J428" s="4">
        <f t="shared" si="113"/>
        <v>-1073579.8868099991</v>
      </c>
      <c r="K428" s="2">
        <f t="shared" si="114"/>
        <v>1152573773362.9705</v>
      </c>
      <c r="L428" s="2">
        <f t="shared" si="115"/>
        <v>2563151581.7410231</v>
      </c>
      <c r="N428" s="42">
        <f t="shared" si="116"/>
        <v>684507.31846668269</v>
      </c>
      <c r="O428" s="42">
        <f t="shared" si="117"/>
        <v>365534604162.13263</v>
      </c>
      <c r="P428" s="4">
        <f t="shared" si="118"/>
        <v>-468985.30846668268</v>
      </c>
      <c r="Q428" s="4">
        <f t="shared" si="119"/>
        <v>219947219557.58951</v>
      </c>
      <c r="R428" s="43">
        <f t="shared" si="120"/>
        <v>1.718072679510591E-3</v>
      </c>
      <c r="S428" s="4">
        <f t="shared" si="121"/>
        <v>-0.38574532560999564</v>
      </c>
      <c r="T428" s="30">
        <f t="shared" si="122"/>
        <v>585432.66438671178</v>
      </c>
      <c r="U428" s="31">
        <f t="shared" si="123"/>
        <v>783581.97254665359</v>
      </c>
      <c r="V428" s="31">
        <f t="shared" si="124"/>
        <v>3075085.8216189696</v>
      </c>
      <c r="W428" s="42">
        <f t="shared" si="125"/>
        <v>3076801.3313718187</v>
      </c>
    </row>
    <row r="429" spans="2:23" x14ac:dyDescent="0.3">
      <c r="B429" s="2">
        <v>421</v>
      </c>
      <c r="C429" s="2">
        <v>4827</v>
      </c>
      <c r="D429" s="4">
        <v>229041.15000000002</v>
      </c>
      <c r="E429" s="4">
        <f t="shared" si="108"/>
        <v>1105581631.0500002</v>
      </c>
      <c r="F429" s="2">
        <f t="shared" si="109"/>
        <v>23299929</v>
      </c>
      <c r="G429" s="2">
        <f t="shared" si="110"/>
        <v>52459848393.32251</v>
      </c>
      <c r="H429" s="42">
        <f t="shared" si="111"/>
        <v>-197.48099999999977</v>
      </c>
      <c r="I429" s="2">
        <f t="shared" si="112"/>
        <v>38998.745360999907</v>
      </c>
      <c r="J429" s="4">
        <f t="shared" si="113"/>
        <v>-1060060.746809999</v>
      </c>
      <c r="K429" s="2">
        <f t="shared" si="114"/>
        <v>1123728786927.3728</v>
      </c>
      <c r="L429" s="2">
        <f t="shared" si="115"/>
        <v>209341856.34078518</v>
      </c>
      <c r="N429" s="42">
        <f t="shared" si="116"/>
        <v>1239092.7273440154</v>
      </c>
      <c r="O429" s="42">
        <f t="shared" si="117"/>
        <v>2500917030.6774817</v>
      </c>
      <c r="P429" s="4">
        <f t="shared" si="118"/>
        <v>-1010051.5773440154</v>
      </c>
      <c r="Q429" s="4">
        <f t="shared" si="119"/>
        <v>1020204188895.1334</v>
      </c>
      <c r="R429" s="43">
        <f t="shared" si="120"/>
        <v>1.0049129143260421E-3</v>
      </c>
      <c r="S429" s="4">
        <f t="shared" si="121"/>
        <v>-0.83048140605481136</v>
      </c>
      <c r="T429" s="30">
        <f t="shared" si="122"/>
        <v>1163321.2050633032</v>
      </c>
      <c r="U429" s="31">
        <f t="shared" si="123"/>
        <v>1314864.2496247275</v>
      </c>
      <c r="V429" s="31">
        <f t="shared" si="124"/>
        <v>3630523.2706017867</v>
      </c>
      <c r="W429" s="42">
        <f t="shared" si="125"/>
        <v>3630535.0077868095</v>
      </c>
    </row>
    <row r="430" spans="2:23" x14ac:dyDescent="0.3">
      <c r="B430" s="2">
        <v>422</v>
      </c>
      <c r="C430" s="2">
        <v>3200</v>
      </c>
      <c r="D430" s="4">
        <v>492992</v>
      </c>
      <c r="E430" s="4">
        <f t="shared" si="108"/>
        <v>1577574400</v>
      </c>
      <c r="F430" s="2">
        <f t="shared" si="109"/>
        <v>10240000</v>
      </c>
      <c r="G430" s="2">
        <f t="shared" si="110"/>
        <v>243041112064</v>
      </c>
      <c r="H430" s="42">
        <f t="shared" si="111"/>
        <v>-1824.4809999999998</v>
      </c>
      <c r="I430" s="2">
        <f t="shared" si="112"/>
        <v>3328730.919360999</v>
      </c>
      <c r="J430" s="4">
        <f t="shared" si="113"/>
        <v>-796109.89680999913</v>
      </c>
      <c r="K430" s="2">
        <f t="shared" si="114"/>
        <v>633790967798.82751</v>
      </c>
      <c r="L430" s="2">
        <f t="shared" si="115"/>
        <v>1452487380.6418037</v>
      </c>
      <c r="N430" s="42">
        <f t="shared" si="116"/>
        <v>827078.81855706545</v>
      </c>
      <c r="O430" s="42">
        <f t="shared" si="117"/>
        <v>213465324838.3165</v>
      </c>
      <c r="P430" s="4">
        <f t="shared" si="118"/>
        <v>-334086.81855706545</v>
      </c>
      <c r="Q430" s="4">
        <f t="shared" si="119"/>
        <v>111614002333.58157</v>
      </c>
      <c r="R430" s="43">
        <f t="shared" si="120"/>
        <v>1.4193409216087783E-3</v>
      </c>
      <c r="S430" s="4">
        <f t="shared" si="121"/>
        <v>-0.27474879987646184</v>
      </c>
      <c r="T430" s="30">
        <f t="shared" si="122"/>
        <v>737028.51920018869</v>
      </c>
      <c r="U430" s="31">
        <f t="shared" si="123"/>
        <v>917129.1179139422</v>
      </c>
      <c r="V430" s="31">
        <f t="shared" si="124"/>
        <v>3218014.2652809271</v>
      </c>
      <c r="W430" s="42">
        <f t="shared" si="125"/>
        <v>3219016.0906264978</v>
      </c>
    </row>
    <row r="431" spans="2:23" x14ac:dyDescent="0.3">
      <c r="B431" s="2">
        <v>423</v>
      </c>
      <c r="C431" s="2">
        <v>5572</v>
      </c>
      <c r="D431" s="4">
        <v>1146160.3999999999</v>
      </c>
      <c r="E431" s="4">
        <f t="shared" si="108"/>
        <v>6386405748.7999992</v>
      </c>
      <c r="F431" s="2">
        <f t="shared" si="109"/>
        <v>31047184</v>
      </c>
      <c r="G431" s="2">
        <f t="shared" si="110"/>
        <v>1313683662528.1597</v>
      </c>
      <c r="H431" s="42">
        <f t="shared" si="111"/>
        <v>547.51900000000023</v>
      </c>
      <c r="I431" s="2">
        <f t="shared" si="112"/>
        <v>299777.05536100024</v>
      </c>
      <c r="J431" s="4">
        <f t="shared" si="113"/>
        <v>-142941.49680999923</v>
      </c>
      <c r="K431" s="2">
        <f t="shared" si="114"/>
        <v>20432271510.28302</v>
      </c>
      <c r="L431" s="2">
        <f t="shared" si="115"/>
        <v>-78263185.391913995</v>
      </c>
      <c r="N431" s="42">
        <f t="shared" si="116"/>
        <v>1427753.0605009163</v>
      </c>
      <c r="O431" s="42">
        <f t="shared" si="117"/>
        <v>19224145192.845516</v>
      </c>
      <c r="P431" s="4">
        <f t="shared" si="118"/>
        <v>-281592.66050091642</v>
      </c>
      <c r="Q431" s="4">
        <f t="shared" si="119"/>
        <v>79294426447.984375</v>
      </c>
      <c r="R431" s="43">
        <f t="shared" si="120"/>
        <v>1.0377647787452821E-3</v>
      </c>
      <c r="S431" s="4">
        <f t="shared" si="121"/>
        <v>-0.23153403168609935</v>
      </c>
      <c r="T431" s="30">
        <f t="shared" si="122"/>
        <v>1350752.9652886731</v>
      </c>
      <c r="U431" s="31">
        <f t="shared" si="123"/>
        <v>1504753.1557131596</v>
      </c>
      <c r="V431" s="31">
        <f t="shared" si="124"/>
        <v>3819144.3610103503</v>
      </c>
      <c r="W431" s="42">
        <f t="shared" si="125"/>
        <v>3819234.5828554984</v>
      </c>
    </row>
    <row r="432" spans="2:23" x14ac:dyDescent="0.3">
      <c r="B432" s="2">
        <v>424</v>
      </c>
      <c r="C432" s="2">
        <v>1793</v>
      </c>
      <c r="D432" s="4">
        <v>16728.689999999999</v>
      </c>
      <c r="E432" s="4">
        <f t="shared" si="108"/>
        <v>29994541.169999998</v>
      </c>
      <c r="F432" s="2">
        <f t="shared" si="109"/>
        <v>3214849</v>
      </c>
      <c r="G432" s="2">
        <f t="shared" si="110"/>
        <v>279849069.11609995</v>
      </c>
      <c r="H432" s="42">
        <f t="shared" si="111"/>
        <v>-3231.4809999999998</v>
      </c>
      <c r="I432" s="2">
        <f t="shared" si="112"/>
        <v>10442469.453360999</v>
      </c>
      <c r="J432" s="4">
        <f t="shared" si="113"/>
        <v>-1272373.2068099992</v>
      </c>
      <c r="K432" s="2">
        <f t="shared" si="114"/>
        <v>1618933577407.9609</v>
      </c>
      <c r="L432" s="2">
        <f t="shared" si="115"/>
        <v>4111649842.7155828</v>
      </c>
      <c r="N432" s="42">
        <f t="shared" si="116"/>
        <v>470776.68600436806</v>
      </c>
      <c r="O432" s="42">
        <f t="shared" si="117"/>
        <v>669656150640.08044</v>
      </c>
      <c r="P432" s="4">
        <f t="shared" si="118"/>
        <v>-454047.99600436806</v>
      </c>
      <c r="Q432" s="4">
        <f t="shared" si="119"/>
        <v>206159582675.58264</v>
      </c>
      <c r="R432" s="43">
        <f t="shared" si="120"/>
        <v>2.3155027758400256E-3</v>
      </c>
      <c r="S432" s="4">
        <f t="shared" si="121"/>
        <v>-0.37357102981359891</v>
      </c>
      <c r="T432" s="30">
        <f t="shared" si="122"/>
        <v>355759.04613683221</v>
      </c>
      <c r="U432" s="31">
        <f t="shared" si="123"/>
        <v>585794.32587190391</v>
      </c>
      <c r="V432" s="31">
        <f t="shared" si="124"/>
        <v>2860641.1820237963</v>
      </c>
      <c r="W432" s="42">
        <f t="shared" si="125"/>
        <v>2863783.9811418885</v>
      </c>
    </row>
    <row r="433" spans="2:23" x14ac:dyDescent="0.3">
      <c r="B433" s="2">
        <v>425</v>
      </c>
      <c r="C433" s="2">
        <v>8743</v>
      </c>
      <c r="D433" s="4">
        <v>414855.35000000003</v>
      </c>
      <c r="E433" s="4">
        <f t="shared" si="108"/>
        <v>3627080325.0500002</v>
      </c>
      <c r="F433" s="2">
        <f t="shared" si="109"/>
        <v>76440049</v>
      </c>
      <c r="G433" s="2">
        <f t="shared" si="110"/>
        <v>172104961423.62253</v>
      </c>
      <c r="H433" s="42">
        <f t="shared" si="111"/>
        <v>3718.5190000000002</v>
      </c>
      <c r="I433" s="2">
        <f t="shared" si="112"/>
        <v>13827383.553361002</v>
      </c>
      <c r="J433" s="4">
        <f t="shared" si="113"/>
        <v>-874246.54680999904</v>
      </c>
      <c r="K433" s="2">
        <f t="shared" si="114"/>
        <v>764307024609.20789</v>
      </c>
      <c r="L433" s="2">
        <f t="shared" si="115"/>
        <v>-3250902394.9973712</v>
      </c>
      <c r="N433" s="42">
        <f t="shared" si="116"/>
        <v>2230762.3443137119</v>
      </c>
      <c r="O433" s="42">
        <f t="shared" si="117"/>
        <v>886724398392.89246</v>
      </c>
      <c r="P433" s="4">
        <f t="shared" si="118"/>
        <v>-1815906.9943137118</v>
      </c>
      <c r="Q433" s="4">
        <f t="shared" si="119"/>
        <v>3297518211997.459</v>
      </c>
      <c r="R433" s="43">
        <f t="shared" si="120"/>
        <v>2.741921441886193E-3</v>
      </c>
      <c r="S433" s="4">
        <f t="shared" si="121"/>
        <v>-1.4943690290841281</v>
      </c>
      <c r="T433" s="30">
        <f t="shared" si="122"/>
        <v>2105601.2641184498</v>
      </c>
      <c r="U433" s="31">
        <f t="shared" si="123"/>
        <v>2355923.424508974</v>
      </c>
      <c r="V433" s="31">
        <f t="shared" si="124"/>
        <v>4620117.0837400807</v>
      </c>
      <c r="W433" s="42">
        <f t="shared" si="125"/>
        <v>4624278.6181452349</v>
      </c>
    </row>
    <row r="434" spans="2:23" x14ac:dyDescent="0.3">
      <c r="B434" s="2">
        <v>426</v>
      </c>
      <c r="C434" s="2">
        <v>5331</v>
      </c>
      <c r="D434" s="4">
        <v>252955.95</v>
      </c>
      <c r="E434" s="4">
        <f t="shared" si="108"/>
        <v>1348508169.45</v>
      </c>
      <c r="F434" s="2">
        <f t="shared" si="109"/>
        <v>28419561</v>
      </c>
      <c r="G434" s="2">
        <f t="shared" si="110"/>
        <v>63986712640.402504</v>
      </c>
      <c r="H434" s="42">
        <f t="shared" si="111"/>
        <v>306.51900000000023</v>
      </c>
      <c r="I434" s="2">
        <f t="shared" si="112"/>
        <v>93953.897361000141</v>
      </c>
      <c r="J434" s="4">
        <f t="shared" si="113"/>
        <v>-1036145.9468099992</v>
      </c>
      <c r="K434" s="2">
        <f t="shared" si="114"/>
        <v>1073598423090.7897</v>
      </c>
      <c r="L434" s="2">
        <f t="shared" si="115"/>
        <v>-317598419.47025436</v>
      </c>
      <c r="N434" s="42">
        <f t="shared" si="116"/>
        <v>1366723.3419897577</v>
      </c>
      <c r="O434" s="42">
        <f t="shared" si="117"/>
        <v>6025088751.7942686</v>
      </c>
      <c r="P434" s="4">
        <f t="shared" si="118"/>
        <v>-1113767.3919897578</v>
      </c>
      <c r="Q434" s="4">
        <f t="shared" si="119"/>
        <v>1240477803459.6667</v>
      </c>
      <c r="R434" s="43">
        <f t="shared" si="120"/>
        <v>1.0118359563637128E-3</v>
      </c>
      <c r="S434" s="4">
        <f t="shared" si="121"/>
        <v>-0.91576146751490894</v>
      </c>
      <c r="T434" s="30">
        <f t="shared" si="122"/>
        <v>1290691.265257078</v>
      </c>
      <c r="U434" s="31">
        <f t="shared" si="123"/>
        <v>1442755.4187224375</v>
      </c>
      <c r="V434" s="31">
        <f t="shared" si="124"/>
        <v>3758145.615475269</v>
      </c>
      <c r="W434" s="42">
        <f t="shared" si="125"/>
        <v>3758173.8921356266</v>
      </c>
    </row>
    <row r="435" spans="2:23" x14ac:dyDescent="0.3">
      <c r="B435" s="2">
        <v>427</v>
      </c>
      <c r="C435" s="2">
        <v>7502</v>
      </c>
      <c r="D435" s="4">
        <v>69993.66</v>
      </c>
      <c r="E435" s="4">
        <f t="shared" si="108"/>
        <v>525092437.32000005</v>
      </c>
      <c r="F435" s="2">
        <f t="shared" si="109"/>
        <v>56280004</v>
      </c>
      <c r="G435" s="2">
        <f t="shared" si="110"/>
        <v>4899112440.1956005</v>
      </c>
      <c r="H435" s="42">
        <f t="shared" si="111"/>
        <v>2477.5190000000002</v>
      </c>
      <c r="I435" s="2">
        <f t="shared" si="112"/>
        <v>6138100.3953610016</v>
      </c>
      <c r="J435" s="4">
        <f t="shared" si="113"/>
        <v>-1219108.2368099992</v>
      </c>
      <c r="K435" s="2">
        <f t="shared" si="114"/>
        <v>1486224893057.9851</v>
      </c>
      <c r="L435" s="2">
        <f t="shared" si="115"/>
        <v>-3020363819.7532725</v>
      </c>
      <c r="N435" s="42">
        <f t="shared" si="116"/>
        <v>1916497.2792832232</v>
      </c>
      <c r="O435" s="42">
        <f t="shared" si="117"/>
        <v>393624965948.72314</v>
      </c>
      <c r="P435" s="4">
        <f t="shared" si="118"/>
        <v>-1846503.6192832233</v>
      </c>
      <c r="Q435" s="4">
        <f t="shared" si="119"/>
        <v>3409575616026.043</v>
      </c>
      <c r="R435" s="43">
        <f t="shared" si="120"/>
        <v>1.7732546544230732E-3</v>
      </c>
      <c r="S435" s="4">
        <f t="shared" si="121"/>
        <v>-1.5188105344715539</v>
      </c>
      <c r="T435" s="30">
        <f t="shared" si="122"/>
        <v>1815844.1334443621</v>
      </c>
      <c r="U435" s="31">
        <f t="shared" si="123"/>
        <v>2017150.4251220843</v>
      </c>
      <c r="V435" s="31">
        <f t="shared" si="124"/>
        <v>4307009.8416948151</v>
      </c>
      <c r="W435" s="42">
        <f t="shared" si="125"/>
        <v>4308857.1838268414</v>
      </c>
    </row>
    <row r="436" spans="2:23" x14ac:dyDescent="0.3">
      <c r="B436" s="2">
        <v>428</v>
      </c>
      <c r="C436" s="2">
        <v>3228</v>
      </c>
      <c r="D436" s="4">
        <v>2102105.88</v>
      </c>
      <c r="E436" s="4">
        <f t="shared" si="108"/>
        <v>6785597780.6399994</v>
      </c>
      <c r="F436" s="2">
        <f t="shared" si="109"/>
        <v>10419984</v>
      </c>
      <c r="G436" s="2">
        <f t="shared" si="110"/>
        <v>4418849130730.5742</v>
      </c>
      <c r="H436" s="42">
        <f t="shared" si="111"/>
        <v>-1796.4809999999998</v>
      </c>
      <c r="I436" s="2">
        <f t="shared" si="112"/>
        <v>3227343.9833609993</v>
      </c>
      <c r="J436" s="4">
        <f t="shared" si="113"/>
        <v>813003.98319000076</v>
      </c>
      <c r="K436" s="2">
        <f t="shared" si="114"/>
        <v>660975476682.80701</v>
      </c>
      <c r="L436" s="2">
        <f t="shared" si="115"/>
        <v>-1460546208.7251556</v>
      </c>
      <c r="N436" s="42">
        <f t="shared" si="116"/>
        <v>834169.40825960669</v>
      </c>
      <c r="O436" s="42">
        <f t="shared" si="117"/>
        <v>206963569138.65295</v>
      </c>
      <c r="P436" s="4">
        <f t="shared" si="118"/>
        <v>1267936.4717403932</v>
      </c>
      <c r="Q436" s="4">
        <f t="shared" si="119"/>
        <v>1607662896369.4768</v>
      </c>
      <c r="R436" s="43">
        <f t="shared" si="120"/>
        <v>1.4065685791721924E-3</v>
      </c>
      <c r="S436" s="4">
        <f t="shared" si="121"/>
        <v>1.0427283470261182</v>
      </c>
      <c r="T436" s="30">
        <f t="shared" si="122"/>
        <v>744525.19613857369</v>
      </c>
      <c r="U436" s="31">
        <f t="shared" si="123"/>
        <v>923813.62038063968</v>
      </c>
      <c r="V436" s="31">
        <f t="shared" si="124"/>
        <v>3225120.1149970116</v>
      </c>
      <c r="W436" s="42">
        <f t="shared" si="125"/>
        <v>3226091.4266095972</v>
      </c>
    </row>
    <row r="437" spans="2:23" x14ac:dyDescent="0.3">
      <c r="B437" s="2">
        <v>429</v>
      </c>
      <c r="C437" s="2">
        <v>7514</v>
      </c>
      <c r="D437" s="4">
        <v>4893191.9400000004</v>
      </c>
      <c r="E437" s="4">
        <f t="shared" si="108"/>
        <v>36767444237.160004</v>
      </c>
      <c r="F437" s="2">
        <f t="shared" si="109"/>
        <v>56460196</v>
      </c>
      <c r="G437" s="2">
        <f t="shared" si="110"/>
        <v>23943327361680.969</v>
      </c>
      <c r="H437" s="42">
        <f t="shared" si="111"/>
        <v>2489.5190000000002</v>
      </c>
      <c r="I437" s="2">
        <f t="shared" si="112"/>
        <v>6197704.8513610009</v>
      </c>
      <c r="J437" s="4">
        <f t="shared" si="113"/>
        <v>3604090.0431900015</v>
      </c>
      <c r="K437" s="2">
        <f t="shared" si="114"/>
        <v>12989465039421.307</v>
      </c>
      <c r="L437" s="2">
        <f t="shared" si="115"/>
        <v>8972450640.2323303</v>
      </c>
      <c r="N437" s="42">
        <f t="shared" si="116"/>
        <v>1919536.1034414554</v>
      </c>
      <c r="O437" s="42">
        <f t="shared" si="117"/>
        <v>397447288891.03369</v>
      </c>
      <c r="P437" s="4">
        <f t="shared" si="118"/>
        <v>2973655.836558545</v>
      </c>
      <c r="Q437" s="4">
        <f t="shared" si="119"/>
        <v>8842629034298.6992</v>
      </c>
      <c r="R437" s="43">
        <f t="shared" si="120"/>
        <v>1.7807633981805372E-3</v>
      </c>
      <c r="S437" s="4">
        <f t="shared" si="121"/>
        <v>2.445939856184943</v>
      </c>
      <c r="T437" s="30">
        <f t="shared" si="122"/>
        <v>1818670.0777737307</v>
      </c>
      <c r="U437" s="31">
        <f t="shared" si="123"/>
        <v>2020402.1291091801</v>
      </c>
      <c r="V437" s="31">
        <f t="shared" si="124"/>
        <v>4310039.6929976167</v>
      </c>
      <c r="W437" s="42">
        <f t="shared" si="125"/>
        <v>4311904.9738781806</v>
      </c>
    </row>
    <row r="438" spans="2:23" x14ac:dyDescent="0.3">
      <c r="B438" s="2">
        <v>430</v>
      </c>
      <c r="C438" s="2">
        <v>7397</v>
      </c>
      <c r="D438" s="4">
        <v>808344.16</v>
      </c>
      <c r="E438" s="4">
        <f t="shared" si="108"/>
        <v>5979321751.5200005</v>
      </c>
      <c r="F438" s="2">
        <f t="shared" si="109"/>
        <v>54715609</v>
      </c>
      <c r="G438" s="2">
        <f t="shared" si="110"/>
        <v>653420281006.10571</v>
      </c>
      <c r="H438" s="42">
        <f t="shared" si="111"/>
        <v>2372.5190000000002</v>
      </c>
      <c r="I438" s="2">
        <f t="shared" si="112"/>
        <v>5628846.4053610014</v>
      </c>
      <c r="J438" s="4">
        <f t="shared" si="113"/>
        <v>-480757.7368099991</v>
      </c>
      <c r="K438" s="2">
        <f t="shared" si="114"/>
        <v>231128001502.67236</v>
      </c>
      <c r="L438" s="2">
        <f t="shared" si="115"/>
        <v>-1140606864.9787223</v>
      </c>
      <c r="N438" s="42">
        <f t="shared" si="116"/>
        <v>1889907.5678986937</v>
      </c>
      <c r="O438" s="42">
        <f t="shared" si="117"/>
        <v>360967454412.33667</v>
      </c>
      <c r="P438" s="4">
        <f t="shared" si="118"/>
        <v>-1081563.4078986938</v>
      </c>
      <c r="Q438" s="4">
        <f t="shared" si="119"/>
        <v>1169779405305.4363</v>
      </c>
      <c r="R438" s="43">
        <f t="shared" si="120"/>
        <v>1.7091007643451868E-3</v>
      </c>
      <c r="S438" s="4">
        <f t="shared" si="121"/>
        <v>-0.88959322739947388</v>
      </c>
      <c r="T438" s="30">
        <f t="shared" si="122"/>
        <v>1791091.9403736426</v>
      </c>
      <c r="U438" s="31">
        <f t="shared" si="123"/>
        <v>1988723.1954237449</v>
      </c>
      <c r="V438" s="31">
        <f t="shared" si="124"/>
        <v>4280496.7920381576</v>
      </c>
      <c r="W438" s="42">
        <f t="shared" si="125"/>
        <v>4282190.867456642</v>
      </c>
    </row>
    <row r="439" spans="2:23" x14ac:dyDescent="0.3">
      <c r="B439" s="2">
        <v>431</v>
      </c>
      <c r="C439" s="2">
        <v>6944</v>
      </c>
      <c r="D439" s="4">
        <v>329492.80000000005</v>
      </c>
      <c r="E439" s="4">
        <f t="shared" si="108"/>
        <v>2287998003.2000003</v>
      </c>
      <c r="F439" s="2">
        <f t="shared" si="109"/>
        <v>48219136</v>
      </c>
      <c r="G439" s="2">
        <f t="shared" si="110"/>
        <v>108565505251.84003</v>
      </c>
      <c r="H439" s="42">
        <f t="shared" si="111"/>
        <v>1919.5190000000002</v>
      </c>
      <c r="I439" s="2">
        <f t="shared" si="112"/>
        <v>3684553.1913610008</v>
      </c>
      <c r="J439" s="4">
        <f t="shared" si="113"/>
        <v>-959609.09680999909</v>
      </c>
      <c r="K439" s="2">
        <f t="shared" si="114"/>
        <v>920849618680.5022</v>
      </c>
      <c r="L439" s="2">
        <f t="shared" si="115"/>
        <v>-1841987893.8996329</v>
      </c>
      <c r="N439" s="42">
        <f t="shared" si="116"/>
        <v>1775191.9559254372</v>
      </c>
      <c r="O439" s="42">
        <f t="shared" si="117"/>
        <v>236283545570.85004</v>
      </c>
      <c r="P439" s="4">
        <f t="shared" si="118"/>
        <v>-1445699.1559254371</v>
      </c>
      <c r="Q439" s="4">
        <f t="shared" si="119"/>
        <v>2090046049443.5212</v>
      </c>
      <c r="R439" s="43">
        <f t="shared" si="120"/>
        <v>1.4641660646089378E-3</v>
      </c>
      <c r="S439" s="4">
        <f t="shared" si="121"/>
        <v>-1.1889514980195282</v>
      </c>
      <c r="T439" s="30">
        <f t="shared" si="122"/>
        <v>1683730.7407562244</v>
      </c>
      <c r="U439" s="31">
        <f t="shared" si="123"/>
        <v>1866653.1710946499</v>
      </c>
      <c r="V439" s="31">
        <f t="shared" si="124"/>
        <v>4166073.8461355465</v>
      </c>
      <c r="W439" s="42">
        <f t="shared" si="125"/>
        <v>4167182.7608786924</v>
      </c>
    </row>
    <row r="440" spans="2:23" x14ac:dyDescent="0.3">
      <c r="B440" s="2">
        <v>432</v>
      </c>
      <c r="C440" s="2">
        <v>2253</v>
      </c>
      <c r="D440" s="4">
        <v>347097.18</v>
      </c>
      <c r="E440" s="4">
        <f t="shared" si="108"/>
        <v>782009946.53999996</v>
      </c>
      <c r="F440" s="2">
        <f t="shared" si="109"/>
        <v>5076009</v>
      </c>
      <c r="G440" s="2">
        <f t="shared" si="110"/>
        <v>120476452363.95239</v>
      </c>
      <c r="H440" s="42">
        <f t="shared" si="111"/>
        <v>-2771.4809999999998</v>
      </c>
      <c r="I440" s="2">
        <f t="shared" si="112"/>
        <v>7681106.9333609985</v>
      </c>
      <c r="J440" s="4">
        <f t="shared" si="113"/>
        <v>-942004.7168099992</v>
      </c>
      <c r="K440" s="2">
        <f t="shared" si="114"/>
        <v>887372886492.28674</v>
      </c>
      <c r="L440" s="2">
        <f t="shared" si="115"/>
        <v>2610748174.549293</v>
      </c>
      <c r="N440" s="42">
        <f t="shared" si="116"/>
        <v>587264.94540325995</v>
      </c>
      <c r="O440" s="42">
        <f t="shared" si="117"/>
        <v>492575106359.90558</v>
      </c>
      <c r="P440" s="4">
        <f t="shared" si="118"/>
        <v>-240167.76540325995</v>
      </c>
      <c r="Q440" s="4">
        <f t="shared" si="119"/>
        <v>57680555538.795311</v>
      </c>
      <c r="R440" s="43">
        <f t="shared" si="120"/>
        <v>1.9676367776310069E-3</v>
      </c>
      <c r="S440" s="4">
        <f t="shared" si="121"/>
        <v>-0.1975651977116421</v>
      </c>
      <c r="T440" s="30">
        <f t="shared" si="122"/>
        <v>481238.48466439388</v>
      </c>
      <c r="U440" s="31">
        <f t="shared" si="123"/>
        <v>693291.40614212607</v>
      </c>
      <c r="V440" s="31">
        <f t="shared" si="124"/>
        <v>2977545.2127439091</v>
      </c>
      <c r="W440" s="42">
        <f t="shared" si="125"/>
        <v>2979856.94310732</v>
      </c>
    </row>
    <row r="441" spans="2:23" x14ac:dyDescent="0.3">
      <c r="B441" s="2">
        <v>433</v>
      </c>
      <c r="C441" s="2">
        <v>6454</v>
      </c>
      <c r="D441" s="4">
        <v>527485.42000000004</v>
      </c>
      <c r="E441" s="4">
        <f t="shared" si="108"/>
        <v>3404390900.6800003</v>
      </c>
      <c r="F441" s="2">
        <f t="shared" si="109"/>
        <v>41654116</v>
      </c>
      <c r="G441" s="2">
        <f t="shared" si="110"/>
        <v>278240868312.57642</v>
      </c>
      <c r="H441" s="42">
        <f t="shared" si="111"/>
        <v>1429.5190000000002</v>
      </c>
      <c r="I441" s="2">
        <f t="shared" si="112"/>
        <v>2043524.5713610006</v>
      </c>
      <c r="J441" s="4">
        <f t="shared" si="113"/>
        <v>-761616.47680999909</v>
      </c>
      <c r="K441" s="2">
        <f t="shared" si="114"/>
        <v>580059657748.47583</v>
      </c>
      <c r="L441" s="2">
        <f t="shared" si="115"/>
        <v>-1088745224.3129532</v>
      </c>
      <c r="N441" s="42">
        <f t="shared" si="116"/>
        <v>1651106.6361309653</v>
      </c>
      <c r="O441" s="42">
        <f t="shared" si="117"/>
        <v>131047431290.84068</v>
      </c>
      <c r="P441" s="4">
        <f t="shared" si="118"/>
        <v>-1123621.2161309654</v>
      </c>
      <c r="Q441" s="4">
        <f t="shared" si="119"/>
        <v>1262524637339.6296</v>
      </c>
      <c r="R441" s="43">
        <f t="shared" si="120"/>
        <v>1.2574354905349955E-3</v>
      </c>
      <c r="S441" s="4">
        <f t="shared" si="121"/>
        <v>-0.92397706171019189</v>
      </c>
      <c r="T441" s="30">
        <f t="shared" si="122"/>
        <v>1566347.8641731918</v>
      </c>
      <c r="U441" s="31">
        <f t="shared" si="123"/>
        <v>1735865.4080887388</v>
      </c>
      <c r="V441" s="31">
        <f t="shared" si="124"/>
        <v>4042235.5154244062</v>
      </c>
      <c r="W441" s="42">
        <f t="shared" si="125"/>
        <v>4042850.5410096804</v>
      </c>
    </row>
    <row r="442" spans="2:23" x14ac:dyDescent="0.3">
      <c r="B442" s="2">
        <v>434</v>
      </c>
      <c r="C442" s="2">
        <v>4709</v>
      </c>
      <c r="D442" s="4">
        <v>718499.22000000009</v>
      </c>
      <c r="E442" s="4">
        <f t="shared" si="108"/>
        <v>3383412826.9800005</v>
      </c>
      <c r="F442" s="2">
        <f t="shared" si="109"/>
        <v>22174681</v>
      </c>
      <c r="G442" s="2">
        <f t="shared" si="110"/>
        <v>516241129140.60852</v>
      </c>
      <c r="H442" s="42">
        <f t="shared" si="111"/>
        <v>-315.48099999999977</v>
      </c>
      <c r="I442" s="2">
        <f t="shared" si="112"/>
        <v>99528.261360999852</v>
      </c>
      <c r="J442" s="4">
        <f t="shared" si="113"/>
        <v>-570602.67680999904</v>
      </c>
      <c r="K442" s="2">
        <f t="shared" si="114"/>
        <v>325587414782.73621</v>
      </c>
      <c r="L442" s="2">
        <f t="shared" si="115"/>
        <v>180014303.08269519</v>
      </c>
      <c r="N442" s="42">
        <f t="shared" si="116"/>
        <v>1209210.9564547346</v>
      </c>
      <c r="O442" s="42">
        <f t="shared" si="117"/>
        <v>6382562350.848443</v>
      </c>
      <c r="P442" s="4">
        <f t="shared" si="118"/>
        <v>-490711.73645473446</v>
      </c>
      <c r="Q442" s="4">
        <f t="shared" si="119"/>
        <v>240798008294.42078</v>
      </c>
      <c r="R442" s="43">
        <f t="shared" si="120"/>
        <v>1.0125381936408524E-3</v>
      </c>
      <c r="S442" s="4">
        <f t="shared" si="121"/>
        <v>-0.4034729882364062</v>
      </c>
      <c r="T442" s="30">
        <f t="shared" si="122"/>
        <v>1133152.5002988372</v>
      </c>
      <c r="U442" s="31">
        <f t="shared" si="123"/>
        <v>1285269.4126106319</v>
      </c>
      <c r="V442" s="31">
        <f t="shared" si="124"/>
        <v>3600632.3910960816</v>
      </c>
      <c r="W442" s="42">
        <f t="shared" si="125"/>
        <v>3600662.3454345549</v>
      </c>
    </row>
    <row r="443" spans="2:23" x14ac:dyDescent="0.3">
      <c r="B443" s="2">
        <v>435</v>
      </c>
      <c r="C443" s="2">
        <v>9210</v>
      </c>
      <c r="D443" s="4">
        <v>1418892.6</v>
      </c>
      <c r="E443" s="4">
        <f t="shared" si="108"/>
        <v>13068000846</v>
      </c>
      <c r="F443" s="2">
        <f t="shared" si="109"/>
        <v>84824100</v>
      </c>
      <c r="G443" s="2">
        <f t="shared" si="110"/>
        <v>2013256210334.7603</v>
      </c>
      <c r="H443" s="42">
        <f t="shared" si="111"/>
        <v>4185.5190000000002</v>
      </c>
      <c r="I443" s="2">
        <f t="shared" si="112"/>
        <v>17518569.299361002</v>
      </c>
      <c r="J443" s="4">
        <f t="shared" si="113"/>
        <v>129790.70319000096</v>
      </c>
      <c r="K443" s="2">
        <f t="shared" si="114"/>
        <v>16845626634.554926</v>
      </c>
      <c r="L443" s="2">
        <f t="shared" si="115"/>
        <v>543241454.2251097</v>
      </c>
      <c r="N443" s="42">
        <f t="shared" si="116"/>
        <v>2349023.2511382392</v>
      </c>
      <c r="O443" s="42">
        <f t="shared" si="117"/>
        <v>1123433277361.0105</v>
      </c>
      <c r="P443" s="4">
        <f t="shared" si="118"/>
        <v>-930130.65113823907</v>
      </c>
      <c r="Q443" s="4">
        <f t="shared" si="119"/>
        <v>865143028186.8446</v>
      </c>
      <c r="R443" s="43">
        <f t="shared" si="120"/>
        <v>3.2069230506236038E-3</v>
      </c>
      <c r="S443" s="4">
        <f t="shared" si="121"/>
        <v>-0.76561333304728429</v>
      </c>
      <c r="T443" s="30">
        <f t="shared" si="122"/>
        <v>2213664.5842737807</v>
      </c>
      <c r="U443" s="31">
        <f t="shared" si="123"/>
        <v>2484381.9180026976</v>
      </c>
      <c r="V443" s="31">
        <f t="shared" si="124"/>
        <v>4737821.9865112239</v>
      </c>
      <c r="W443" s="42">
        <f t="shared" si="125"/>
        <v>4743094.4334124876</v>
      </c>
    </row>
    <row r="444" spans="2:23" x14ac:dyDescent="0.3">
      <c r="B444" s="2">
        <v>436</v>
      </c>
      <c r="C444" s="2">
        <v>4180</v>
      </c>
      <c r="D444" s="4">
        <v>38999.4</v>
      </c>
      <c r="E444" s="4">
        <f t="shared" si="108"/>
        <v>163017492</v>
      </c>
      <c r="F444" s="2">
        <f t="shared" si="109"/>
        <v>17472400</v>
      </c>
      <c r="G444" s="2">
        <f t="shared" si="110"/>
        <v>1520953200.3600001</v>
      </c>
      <c r="H444" s="42">
        <f t="shared" si="111"/>
        <v>-844.48099999999977</v>
      </c>
      <c r="I444" s="2">
        <f t="shared" si="112"/>
        <v>713148.15936099959</v>
      </c>
      <c r="J444" s="4">
        <f t="shared" si="113"/>
        <v>-1250102.4968099992</v>
      </c>
      <c r="K444" s="2">
        <f t="shared" si="114"/>
        <v>1562756252530.5942</v>
      </c>
      <c r="L444" s="2">
        <f t="shared" si="115"/>
        <v>1055687806.6086047</v>
      </c>
      <c r="N444" s="42">
        <f t="shared" si="116"/>
        <v>1075249.4581460089</v>
      </c>
      <c r="O444" s="42">
        <f t="shared" si="117"/>
        <v>45732865522.535706</v>
      </c>
      <c r="P444" s="4">
        <f t="shared" si="118"/>
        <v>-1036250.0581460089</v>
      </c>
      <c r="Q444" s="4">
        <f t="shared" si="119"/>
        <v>1073814183007.6068</v>
      </c>
      <c r="R444" s="43">
        <f t="shared" si="120"/>
        <v>1.0898397057721484E-3</v>
      </c>
      <c r="S444" s="4">
        <f t="shared" si="121"/>
        <v>-0.85205845635130595</v>
      </c>
      <c r="T444" s="30">
        <f t="shared" si="122"/>
        <v>996341.08094520774</v>
      </c>
      <c r="U444" s="31">
        <f t="shared" si="123"/>
        <v>1154157.8353468101</v>
      </c>
      <c r="V444" s="31">
        <f t="shared" si="124"/>
        <v>3466578.5519393394</v>
      </c>
      <c r="W444" s="42">
        <f t="shared" si="125"/>
        <v>3466793.1832518578</v>
      </c>
    </row>
    <row r="445" spans="2:23" x14ac:dyDescent="0.3">
      <c r="B445" s="2">
        <v>437</v>
      </c>
      <c r="C445" s="2">
        <v>875</v>
      </c>
      <c r="D445" s="4">
        <v>584736.25</v>
      </c>
      <c r="E445" s="4">
        <f t="shared" si="108"/>
        <v>511644218.75</v>
      </c>
      <c r="F445" s="2">
        <f t="shared" si="109"/>
        <v>765625</v>
      </c>
      <c r="G445" s="2">
        <f t="shared" si="110"/>
        <v>341916482064.0625</v>
      </c>
      <c r="H445" s="42">
        <f t="shared" si="111"/>
        <v>-4149.4809999999998</v>
      </c>
      <c r="I445" s="2">
        <f t="shared" si="112"/>
        <v>17218192.569360998</v>
      </c>
      <c r="J445" s="4">
        <f t="shared" si="113"/>
        <v>-704365.64680999913</v>
      </c>
      <c r="K445" s="2">
        <f t="shared" si="114"/>
        <v>496130964406.06842</v>
      </c>
      <c r="L445" s="2">
        <f t="shared" si="115"/>
        <v>2922751868.4908018</v>
      </c>
      <c r="N445" s="42">
        <f t="shared" si="116"/>
        <v>238306.63789962308</v>
      </c>
      <c r="O445" s="42">
        <f t="shared" si="117"/>
        <v>1104170676148.5244</v>
      </c>
      <c r="P445" s="4">
        <f t="shared" si="118"/>
        <v>346429.61210037692</v>
      </c>
      <c r="Q445" s="4">
        <f t="shared" si="119"/>
        <v>120013476140.01762</v>
      </c>
      <c r="R445" s="43">
        <f t="shared" si="120"/>
        <v>3.1690827271371345E-3</v>
      </c>
      <c r="S445" s="4">
        <f t="shared" si="121"/>
        <v>0.28514929106413689</v>
      </c>
      <c r="T445" s="30">
        <f t="shared" si="122"/>
        <v>103748.92803738534</v>
      </c>
      <c r="U445" s="31">
        <f t="shared" si="123"/>
        <v>372864.34776186082</v>
      </c>
      <c r="V445" s="31">
        <f t="shared" si="124"/>
        <v>2627150.6239170283</v>
      </c>
      <c r="W445" s="42">
        <f t="shared" si="125"/>
        <v>2632332.6683312189</v>
      </c>
    </row>
    <row r="446" spans="2:23" x14ac:dyDescent="0.3">
      <c r="B446" s="2">
        <v>438</v>
      </c>
      <c r="C446" s="2">
        <v>2580</v>
      </c>
      <c r="D446" s="4">
        <v>1088476.2</v>
      </c>
      <c r="E446" s="4">
        <f t="shared" si="108"/>
        <v>2808268596</v>
      </c>
      <c r="F446" s="2">
        <f t="shared" si="109"/>
        <v>6656400</v>
      </c>
      <c r="G446" s="2">
        <f t="shared" si="110"/>
        <v>1184780437966.4399</v>
      </c>
      <c r="H446" s="42">
        <f t="shared" si="111"/>
        <v>-2444.4809999999998</v>
      </c>
      <c r="I446" s="2">
        <f t="shared" si="112"/>
        <v>5975487.3593609985</v>
      </c>
      <c r="J446" s="4">
        <f t="shared" si="113"/>
        <v>-200625.69680999918</v>
      </c>
      <c r="K446" s="2">
        <f t="shared" si="114"/>
        <v>40250670220.497711</v>
      </c>
      <c r="L446" s="2">
        <f t="shared" si="115"/>
        <v>490425703.96380353</v>
      </c>
      <c r="N446" s="42">
        <f t="shared" si="116"/>
        <v>670072.90371508081</v>
      </c>
      <c r="O446" s="42">
        <f t="shared" si="117"/>
        <v>383196894292.10846</v>
      </c>
      <c r="P446" s="4">
        <f t="shared" si="118"/>
        <v>418403.29628491914</v>
      </c>
      <c r="Q446" s="4">
        <f t="shared" si="119"/>
        <v>175061318342.08582</v>
      </c>
      <c r="R446" s="43">
        <f t="shared" si="120"/>
        <v>1.7527692796560034E-3</v>
      </c>
      <c r="S446" s="4">
        <f t="shared" si="121"/>
        <v>0.34414707178555759</v>
      </c>
      <c r="T446" s="30">
        <f t="shared" si="122"/>
        <v>570002.8402576634</v>
      </c>
      <c r="U446" s="31">
        <f t="shared" si="123"/>
        <v>770142.96717249823</v>
      </c>
      <c r="V446" s="31">
        <f t="shared" si="124"/>
        <v>3060609.9457235336</v>
      </c>
      <c r="W446" s="42">
        <f t="shared" si="125"/>
        <v>3062408.3473142991</v>
      </c>
    </row>
    <row r="447" spans="2:23" x14ac:dyDescent="0.3">
      <c r="B447" s="2">
        <v>439</v>
      </c>
      <c r="C447" s="2">
        <v>9614</v>
      </c>
      <c r="D447" s="4">
        <v>1466904.12</v>
      </c>
      <c r="E447" s="4">
        <f t="shared" si="108"/>
        <v>14102816209.68</v>
      </c>
      <c r="F447" s="2">
        <f t="shared" si="109"/>
        <v>92428996</v>
      </c>
      <c r="G447" s="2">
        <f t="shared" si="110"/>
        <v>2151807697272.9746</v>
      </c>
      <c r="H447" s="42">
        <f t="shared" si="111"/>
        <v>4589.5190000000002</v>
      </c>
      <c r="I447" s="2">
        <f t="shared" si="112"/>
        <v>21063684.651361004</v>
      </c>
      <c r="J447" s="4">
        <f t="shared" si="113"/>
        <v>177802.22319000098</v>
      </c>
      <c r="K447" s="2">
        <f t="shared" si="114"/>
        <v>31613630571.306923</v>
      </c>
      <c r="L447" s="2">
        <f t="shared" si="115"/>
        <v>816026681.57275009</v>
      </c>
      <c r="N447" s="42">
        <f t="shared" si="116"/>
        <v>2451330.3311320483</v>
      </c>
      <c r="O447" s="42">
        <f t="shared" si="117"/>
        <v>1350774933546.6816</v>
      </c>
      <c r="P447" s="4">
        <f t="shared" si="118"/>
        <v>-984426.21113204816</v>
      </c>
      <c r="Q447" s="4">
        <f t="shared" si="119"/>
        <v>969094965163.79993</v>
      </c>
      <c r="R447" s="43">
        <f t="shared" si="120"/>
        <v>3.6535232640173875E-3</v>
      </c>
      <c r="S447" s="4">
        <f t="shared" si="121"/>
        <v>-0.81048692348342544</v>
      </c>
      <c r="T447" s="30">
        <f t="shared" si="122"/>
        <v>2306853.6564275213</v>
      </c>
      <c r="U447" s="31">
        <f t="shared" si="123"/>
        <v>2595807.0058365753</v>
      </c>
      <c r="V447" s="31">
        <f t="shared" si="124"/>
        <v>4839594.9432052616</v>
      </c>
      <c r="W447" s="42">
        <f t="shared" si="125"/>
        <v>4845934.3415342635</v>
      </c>
    </row>
    <row r="448" spans="2:23" x14ac:dyDescent="0.3">
      <c r="B448" s="2">
        <v>440</v>
      </c>
      <c r="C448" s="2">
        <v>4323</v>
      </c>
      <c r="D448" s="4">
        <v>666001.38</v>
      </c>
      <c r="E448" s="4">
        <f t="shared" si="108"/>
        <v>2879123965.7400002</v>
      </c>
      <c r="F448" s="2">
        <f t="shared" si="109"/>
        <v>18688329</v>
      </c>
      <c r="G448" s="2">
        <f t="shared" si="110"/>
        <v>443557838161.90442</v>
      </c>
      <c r="H448" s="42">
        <f t="shared" si="111"/>
        <v>-701.48099999999977</v>
      </c>
      <c r="I448" s="2">
        <f t="shared" si="112"/>
        <v>492075.59336099966</v>
      </c>
      <c r="J448" s="4">
        <f t="shared" si="113"/>
        <v>-623100.51680999913</v>
      </c>
      <c r="K448" s="2">
        <f t="shared" si="114"/>
        <v>388254254048.888</v>
      </c>
      <c r="L448" s="2">
        <f t="shared" si="115"/>
        <v>437093173.63239485</v>
      </c>
      <c r="N448" s="42">
        <f t="shared" si="116"/>
        <v>1111462.112698273</v>
      </c>
      <c r="O448" s="42">
        <f t="shared" si="117"/>
        <v>31555892899.260654</v>
      </c>
      <c r="P448" s="4">
        <f t="shared" si="118"/>
        <v>-445460.73269827303</v>
      </c>
      <c r="Q448" s="4">
        <f t="shared" si="119"/>
        <v>198435264376.08224</v>
      </c>
      <c r="R448" s="43">
        <f t="shared" si="120"/>
        <v>1.0619898206914243E-3</v>
      </c>
      <c r="S448" s="4">
        <f t="shared" si="121"/>
        <v>-0.36627577513461801</v>
      </c>
      <c r="T448" s="30">
        <f t="shared" si="122"/>
        <v>1033568.476878286</v>
      </c>
      <c r="U448" s="31">
        <f t="shared" si="123"/>
        <v>1189355.7485182602</v>
      </c>
      <c r="V448" s="31">
        <f t="shared" si="124"/>
        <v>3502824.4751004325</v>
      </c>
      <c r="W448" s="42">
        <f t="shared" si="125"/>
        <v>3502972.5717182523</v>
      </c>
    </row>
    <row r="449" spans="2:23" x14ac:dyDescent="0.3">
      <c r="B449" s="2">
        <v>441</v>
      </c>
      <c r="C449" s="2">
        <v>6090</v>
      </c>
      <c r="D449" s="4">
        <v>929212.20000000007</v>
      </c>
      <c r="E449" s="4">
        <f t="shared" si="108"/>
        <v>5658902298</v>
      </c>
      <c r="F449" s="2">
        <f t="shared" si="109"/>
        <v>37088100</v>
      </c>
      <c r="G449" s="2">
        <f t="shared" si="110"/>
        <v>863435312628.84009</v>
      </c>
      <c r="H449" s="42">
        <f t="shared" si="111"/>
        <v>1065.5190000000002</v>
      </c>
      <c r="I449" s="2">
        <f t="shared" si="112"/>
        <v>1135330.7393610005</v>
      </c>
      <c r="J449" s="4">
        <f t="shared" si="113"/>
        <v>-359889.69680999906</v>
      </c>
      <c r="K449" s="2">
        <f t="shared" si="114"/>
        <v>129520593869.99304</v>
      </c>
      <c r="L449" s="2">
        <f t="shared" si="115"/>
        <v>-383469309.85529345</v>
      </c>
      <c r="N449" s="42">
        <f t="shared" si="116"/>
        <v>1558928.9699979294</v>
      </c>
      <c r="O449" s="42">
        <f t="shared" si="117"/>
        <v>72806649425.164688</v>
      </c>
      <c r="P449" s="4">
        <f t="shared" si="118"/>
        <v>-629716.76999792934</v>
      </c>
      <c r="Q449" s="4">
        <f t="shared" si="119"/>
        <v>396543210416.62506</v>
      </c>
      <c r="R449" s="43">
        <f t="shared" si="120"/>
        <v>1.1430246691930901E-3</v>
      </c>
      <c r="S449" s="4">
        <f t="shared" si="121"/>
        <v>-0.51779952072846258</v>
      </c>
      <c r="T449" s="30">
        <f t="shared" si="122"/>
        <v>1478118.1338244723</v>
      </c>
      <c r="U449" s="31">
        <f t="shared" si="123"/>
        <v>1639739.8061713865</v>
      </c>
      <c r="V449" s="31">
        <f t="shared" si="124"/>
        <v>3950194.5293977717</v>
      </c>
      <c r="W449" s="42">
        <f t="shared" si="125"/>
        <v>3950536.2221076372</v>
      </c>
    </row>
    <row r="450" spans="2:23" x14ac:dyDescent="0.3">
      <c r="B450" s="2">
        <v>442</v>
      </c>
      <c r="C450" s="2">
        <v>6323</v>
      </c>
      <c r="D450" s="4">
        <v>1614135.44</v>
      </c>
      <c r="E450" s="4">
        <f t="shared" si="108"/>
        <v>10206178387.119999</v>
      </c>
      <c r="F450" s="2">
        <f t="shared" si="109"/>
        <v>39980329</v>
      </c>
      <c r="G450" s="2">
        <f t="shared" si="110"/>
        <v>2605433218663.9937</v>
      </c>
      <c r="H450" s="42">
        <f t="shared" si="111"/>
        <v>1298.5190000000002</v>
      </c>
      <c r="I450" s="2">
        <f t="shared" si="112"/>
        <v>1686151.5933610005</v>
      </c>
      <c r="J450" s="4">
        <f t="shared" si="113"/>
        <v>325033.54319000081</v>
      </c>
      <c r="K450" s="2">
        <f t="shared" si="114"/>
        <v>105646804198.64612</v>
      </c>
      <c r="L450" s="2">
        <f t="shared" si="115"/>
        <v>422062231.46953672</v>
      </c>
      <c r="N450" s="42">
        <f t="shared" si="116"/>
        <v>1617932.8057369331</v>
      </c>
      <c r="O450" s="42">
        <f t="shared" si="117"/>
        <v>108129766665.71356</v>
      </c>
      <c r="P450" s="4">
        <f t="shared" si="118"/>
        <v>-3797.3657369331922</v>
      </c>
      <c r="Q450" s="4">
        <f t="shared" si="119"/>
        <v>14419986.540034166</v>
      </c>
      <c r="R450" s="43">
        <f t="shared" si="120"/>
        <v>1.2124149954625485E-3</v>
      </c>
      <c r="S450" s="4">
        <f t="shared" si="121"/>
        <v>-3.1225823324495046E-3</v>
      </c>
      <c r="T450" s="30">
        <f t="shared" si="122"/>
        <v>1534705.1909588552</v>
      </c>
      <c r="U450" s="31">
        <f t="shared" si="123"/>
        <v>1701160.4205150111</v>
      </c>
      <c r="V450" s="31">
        <f t="shared" si="124"/>
        <v>4009115.4693896379</v>
      </c>
      <c r="W450" s="42">
        <f t="shared" si="125"/>
        <v>4009622.9388775835</v>
      </c>
    </row>
    <row r="451" spans="2:23" x14ac:dyDescent="0.3">
      <c r="B451" s="2">
        <v>443</v>
      </c>
      <c r="C451" s="2">
        <v>3467</v>
      </c>
      <c r="D451" s="4">
        <v>1462692.63</v>
      </c>
      <c r="E451" s="4">
        <f t="shared" si="108"/>
        <v>5071155348.21</v>
      </c>
      <c r="F451" s="2">
        <f t="shared" si="109"/>
        <v>12020089</v>
      </c>
      <c r="G451" s="2">
        <f t="shared" si="110"/>
        <v>2139469729856.3167</v>
      </c>
      <c r="H451" s="42">
        <f t="shared" si="111"/>
        <v>-1557.4809999999998</v>
      </c>
      <c r="I451" s="2">
        <f t="shared" si="112"/>
        <v>2425747.0653609992</v>
      </c>
      <c r="J451" s="4">
        <f t="shared" si="113"/>
        <v>173590.73319000076</v>
      </c>
      <c r="K451" s="2">
        <f t="shared" si="114"/>
        <v>30133742649.442028</v>
      </c>
      <c r="L451" s="2">
        <f t="shared" si="115"/>
        <v>-270364268.71949553</v>
      </c>
      <c r="N451" s="42">
        <f t="shared" si="116"/>
        <v>894692.65607772651</v>
      </c>
      <c r="O451" s="42">
        <f t="shared" si="117"/>
        <v>155558649175.00778</v>
      </c>
      <c r="P451" s="4">
        <f t="shared" si="118"/>
        <v>567999.97392227338</v>
      </c>
      <c r="Q451" s="4">
        <f t="shared" si="119"/>
        <v>322623970375.70325</v>
      </c>
      <c r="R451" s="43">
        <f t="shared" si="120"/>
        <v>1.3055864335749735E-3</v>
      </c>
      <c r="S451" s="4">
        <f t="shared" si="121"/>
        <v>0.46708943463390951</v>
      </c>
      <c r="T451" s="30">
        <f t="shared" si="122"/>
        <v>808326.29669522739</v>
      </c>
      <c r="U451" s="31">
        <f t="shared" si="123"/>
        <v>981059.01546022564</v>
      </c>
      <c r="V451" s="31">
        <f t="shared" si="124"/>
        <v>3285764.0098398654</v>
      </c>
      <c r="W451" s="42">
        <f t="shared" si="125"/>
        <v>3286494.0703121275</v>
      </c>
    </row>
    <row r="452" spans="2:23" x14ac:dyDescent="0.3">
      <c r="B452" s="2">
        <v>444</v>
      </c>
      <c r="C452" s="2">
        <v>7994</v>
      </c>
      <c r="D452" s="4">
        <v>873584.32000000007</v>
      </c>
      <c r="E452" s="4">
        <f t="shared" si="108"/>
        <v>6983433054.0800009</v>
      </c>
      <c r="F452" s="2">
        <f t="shared" si="109"/>
        <v>63904036</v>
      </c>
      <c r="G452" s="2">
        <f t="shared" si="110"/>
        <v>763149564149.86255</v>
      </c>
      <c r="H452" s="42">
        <f t="shared" si="111"/>
        <v>2969.5190000000002</v>
      </c>
      <c r="I452" s="2">
        <f t="shared" si="112"/>
        <v>8818043.0913610011</v>
      </c>
      <c r="J452" s="4">
        <f t="shared" si="113"/>
        <v>-415517.57680999907</v>
      </c>
      <c r="K452" s="2">
        <f t="shared" si="114"/>
        <v>172654856638.05347</v>
      </c>
      <c r="L452" s="2">
        <f t="shared" si="115"/>
        <v>-1233887339.1712518</v>
      </c>
      <c r="N452" s="42">
        <f t="shared" si="116"/>
        <v>2041089.0697707338</v>
      </c>
      <c r="O452" s="42">
        <f t="shared" si="117"/>
        <v>565484708297.47791</v>
      </c>
      <c r="P452" s="4">
        <f t="shared" si="118"/>
        <v>-1167504.7497707338</v>
      </c>
      <c r="Q452" s="4">
        <f t="shared" si="119"/>
        <v>1363067340737.2236</v>
      </c>
      <c r="R452" s="43">
        <f t="shared" si="120"/>
        <v>2.1108636913875524E-3</v>
      </c>
      <c r="S452" s="4">
        <f t="shared" si="121"/>
        <v>-0.96047385425224729</v>
      </c>
      <c r="T452" s="30">
        <f t="shared" si="122"/>
        <v>1931271.4835766391</v>
      </c>
      <c r="U452" s="31">
        <f t="shared" si="123"/>
        <v>2150906.6559648286</v>
      </c>
      <c r="V452" s="31">
        <f t="shared" si="124"/>
        <v>4431198.1602888629</v>
      </c>
      <c r="W452" s="42">
        <f t="shared" si="125"/>
        <v>4433852.066671636</v>
      </c>
    </row>
    <row r="453" spans="2:23" x14ac:dyDescent="0.3">
      <c r="B453" s="2">
        <v>445</v>
      </c>
      <c r="C453" s="2">
        <v>7410</v>
      </c>
      <c r="D453" s="4">
        <v>1141584.6000000001</v>
      </c>
      <c r="E453" s="4">
        <f t="shared" si="108"/>
        <v>8459141886.000001</v>
      </c>
      <c r="F453" s="2">
        <f t="shared" si="109"/>
        <v>54908100</v>
      </c>
      <c r="G453" s="2">
        <f t="shared" si="110"/>
        <v>1303215398957.1602</v>
      </c>
      <c r="H453" s="42">
        <f t="shared" si="111"/>
        <v>2385.5190000000002</v>
      </c>
      <c r="I453" s="2">
        <f t="shared" si="112"/>
        <v>5690700.8993610013</v>
      </c>
      <c r="J453" s="4">
        <f t="shared" si="113"/>
        <v>-147517.29680999904</v>
      </c>
      <c r="K453" s="2">
        <f t="shared" si="114"/>
        <v>21761352858.129353</v>
      </c>
      <c r="L453" s="2">
        <f t="shared" si="115"/>
        <v>-351905314.36889213</v>
      </c>
      <c r="N453" s="42">
        <f t="shared" si="116"/>
        <v>1893199.6274034451</v>
      </c>
      <c r="O453" s="42">
        <f t="shared" si="117"/>
        <v>364934068108.15161</v>
      </c>
      <c r="P453" s="4">
        <f t="shared" si="118"/>
        <v>-751615.02740344498</v>
      </c>
      <c r="Q453" s="4">
        <f t="shared" si="119"/>
        <v>564925149418.6814</v>
      </c>
      <c r="R453" s="43">
        <f t="shared" si="120"/>
        <v>1.7168929593732497E-3</v>
      </c>
      <c r="S453" s="4">
        <f t="shared" si="121"/>
        <v>-0.61821086275291659</v>
      </c>
      <c r="T453" s="30">
        <f t="shared" si="122"/>
        <v>1794158.9941297164</v>
      </c>
      <c r="U453" s="31">
        <f t="shared" si="123"/>
        <v>1992240.2606771737</v>
      </c>
      <c r="V453" s="31">
        <f t="shared" si="124"/>
        <v>4283779.540264681</v>
      </c>
      <c r="W453" s="42">
        <f t="shared" si="125"/>
        <v>4285492.2316097021</v>
      </c>
    </row>
    <row r="454" spans="2:23" x14ac:dyDescent="0.3">
      <c r="B454" s="2">
        <v>446</v>
      </c>
      <c r="C454" s="2">
        <v>1250</v>
      </c>
      <c r="D454" s="4">
        <v>527362.5</v>
      </c>
      <c r="E454" s="4">
        <f t="shared" si="108"/>
        <v>659203125</v>
      </c>
      <c r="F454" s="2">
        <f t="shared" si="109"/>
        <v>1562500</v>
      </c>
      <c r="G454" s="2">
        <f t="shared" si="110"/>
        <v>278111206406.25</v>
      </c>
      <c r="H454" s="42">
        <f t="shared" si="111"/>
        <v>-3774.4809999999998</v>
      </c>
      <c r="I454" s="2">
        <f t="shared" si="112"/>
        <v>14246706.819360998</v>
      </c>
      <c r="J454" s="4">
        <f t="shared" si="113"/>
        <v>-761739.39680999913</v>
      </c>
      <c r="K454" s="2">
        <f t="shared" si="114"/>
        <v>580246908652.4613</v>
      </c>
      <c r="L454" s="2">
        <f t="shared" si="115"/>
        <v>2875170880.2108021</v>
      </c>
      <c r="N454" s="42">
        <f t="shared" si="116"/>
        <v>333269.89284437185</v>
      </c>
      <c r="O454" s="42">
        <f t="shared" si="117"/>
        <v>913614819804.9469</v>
      </c>
      <c r="P454" s="4">
        <f t="shared" si="118"/>
        <v>194092.60715562815</v>
      </c>
      <c r="Q454" s="4">
        <f t="shared" si="119"/>
        <v>37671940152.468994</v>
      </c>
      <c r="R454" s="43">
        <f t="shared" si="120"/>
        <v>2.7947461997522315E-3</v>
      </c>
      <c r="S454" s="4">
        <f t="shared" si="121"/>
        <v>0.15972936058314549</v>
      </c>
      <c r="T454" s="30">
        <f t="shared" si="122"/>
        <v>206908.91271166576</v>
      </c>
      <c r="U454" s="31">
        <f t="shared" si="123"/>
        <v>459630.87297707796</v>
      </c>
      <c r="V454" s="31">
        <f t="shared" si="124"/>
        <v>2722561.4760369295</v>
      </c>
      <c r="W454" s="42">
        <f t="shared" si="125"/>
        <v>2726849.2114383457</v>
      </c>
    </row>
    <row r="455" spans="2:23" x14ac:dyDescent="0.3">
      <c r="B455" s="2">
        <v>447</v>
      </c>
      <c r="C455" s="2">
        <v>6083</v>
      </c>
      <c r="D455" s="4">
        <v>497163.59</v>
      </c>
      <c r="E455" s="4">
        <f t="shared" si="108"/>
        <v>3024246117.9700003</v>
      </c>
      <c r="F455" s="2">
        <f t="shared" si="109"/>
        <v>37002889</v>
      </c>
      <c r="G455" s="2">
        <f t="shared" si="110"/>
        <v>247171635221.68811</v>
      </c>
      <c r="H455" s="42">
        <f t="shared" si="111"/>
        <v>1058.5190000000002</v>
      </c>
      <c r="I455" s="2">
        <f t="shared" si="112"/>
        <v>1120462.4733610004</v>
      </c>
      <c r="J455" s="4">
        <f t="shared" si="113"/>
        <v>-791938.30680999905</v>
      </c>
      <c r="K455" s="2">
        <f t="shared" si="114"/>
        <v>627166281793.08813</v>
      </c>
      <c r="L455" s="2">
        <f t="shared" si="115"/>
        <v>-838281744.58621359</v>
      </c>
      <c r="N455" s="42">
        <f t="shared" si="116"/>
        <v>1557156.3225722939</v>
      </c>
      <c r="O455" s="42">
        <f t="shared" si="117"/>
        <v>71853175170.753616</v>
      </c>
      <c r="P455" s="4">
        <f t="shared" si="118"/>
        <v>-1059992.7325722938</v>
      </c>
      <c r="Q455" s="4">
        <f t="shared" si="119"/>
        <v>1123584593106.0784</v>
      </c>
      <c r="R455" s="43">
        <f t="shared" si="120"/>
        <v>1.1411516213204308E-3</v>
      </c>
      <c r="S455" s="4">
        <f t="shared" si="121"/>
        <v>-0.87160329919732238</v>
      </c>
      <c r="T455" s="30">
        <f t="shared" si="122"/>
        <v>1476411.7249623158</v>
      </c>
      <c r="U455" s="31">
        <f t="shared" si="123"/>
        <v>1637900.9201822721</v>
      </c>
      <c r="V455" s="31">
        <f t="shared" si="124"/>
        <v>3948424.1195309907</v>
      </c>
      <c r="W455" s="42">
        <f t="shared" si="125"/>
        <v>3948761.3374407385</v>
      </c>
    </row>
    <row r="456" spans="2:23" x14ac:dyDescent="0.3">
      <c r="B456" s="2">
        <v>448</v>
      </c>
      <c r="C456" s="2">
        <v>505</v>
      </c>
      <c r="D456" s="4">
        <v>77052.900000000009</v>
      </c>
      <c r="E456" s="4">
        <f t="shared" si="108"/>
        <v>38911714.500000007</v>
      </c>
      <c r="F456" s="2">
        <f t="shared" si="109"/>
        <v>255025</v>
      </c>
      <c r="G456" s="2">
        <f t="shared" si="110"/>
        <v>5937149398.4100018</v>
      </c>
      <c r="H456" s="42">
        <f t="shared" si="111"/>
        <v>-4519.4809999999998</v>
      </c>
      <c r="I456" s="2">
        <f t="shared" si="112"/>
        <v>20425708.509360999</v>
      </c>
      <c r="J456" s="4">
        <f t="shared" si="113"/>
        <v>-1212048.9968099992</v>
      </c>
      <c r="K456" s="2">
        <f t="shared" si="114"/>
        <v>1469062770668.1255</v>
      </c>
      <c r="L456" s="2">
        <f t="shared" si="115"/>
        <v>5477832412.1518517</v>
      </c>
      <c r="N456" s="42">
        <f t="shared" si="116"/>
        <v>144609.55968747096</v>
      </c>
      <c r="O456" s="42">
        <f t="shared" si="117"/>
        <v>1309862709732.1865</v>
      </c>
      <c r="P456" s="4">
        <f t="shared" si="118"/>
        <v>-67556.65968747095</v>
      </c>
      <c r="Q456" s="4">
        <f t="shared" si="119"/>
        <v>4563902268.1287622</v>
      </c>
      <c r="R456" s="43">
        <f t="shared" si="120"/>
        <v>3.5731534444580311E-3</v>
      </c>
      <c r="S456" s="4">
        <f t="shared" si="121"/>
        <v>-5.5617760316668242E-2</v>
      </c>
      <c r="T456" s="30">
        <f t="shared" si="122"/>
        <v>1730.8129414418654</v>
      </c>
      <c r="U456" s="31">
        <f t="shared" si="123"/>
        <v>287488.30643350002</v>
      </c>
      <c r="V456" s="31">
        <f t="shared" si="124"/>
        <v>2532970.3009791165</v>
      </c>
      <c r="W456" s="42">
        <f t="shared" si="125"/>
        <v>2539117.6915117102</v>
      </c>
    </row>
    <row r="457" spans="2:23" x14ac:dyDescent="0.3">
      <c r="B457" s="2">
        <v>449</v>
      </c>
      <c r="C457" s="2">
        <v>149</v>
      </c>
      <c r="D457" s="4">
        <v>22954.94</v>
      </c>
      <c r="E457" s="4">
        <f t="shared" si="108"/>
        <v>3420286.0599999996</v>
      </c>
      <c r="F457" s="2">
        <f t="shared" si="109"/>
        <v>22201</v>
      </c>
      <c r="G457" s="2">
        <f t="shared" si="110"/>
        <v>526929270.40359992</v>
      </c>
      <c r="H457" s="42">
        <f t="shared" si="111"/>
        <v>-4875.4809999999998</v>
      </c>
      <c r="I457" s="2">
        <f t="shared" si="112"/>
        <v>23770314.981360998</v>
      </c>
      <c r="J457" s="4">
        <f t="shared" si="113"/>
        <v>-1266146.9568099992</v>
      </c>
      <c r="K457" s="2">
        <f t="shared" si="114"/>
        <v>1603128116239.2219</v>
      </c>
      <c r="L457" s="2">
        <f t="shared" si="115"/>
        <v>6173075431.1349716</v>
      </c>
      <c r="N457" s="42">
        <f t="shared" si="116"/>
        <v>54457.776326589461</v>
      </c>
      <c r="O457" s="42">
        <f t="shared" si="117"/>
        <v>1524346104244.252</v>
      </c>
      <c r="P457" s="4">
        <f t="shared" si="118"/>
        <v>-31502.836326589462</v>
      </c>
      <c r="Q457" s="4">
        <f t="shared" si="119"/>
        <v>992428696.61988461</v>
      </c>
      <c r="R457" s="43">
        <f t="shared" si="120"/>
        <v>3.9944943080975591E-3</v>
      </c>
      <c r="S457" s="4">
        <f t="shared" si="121"/>
        <v>-2.5941006684976054E-2</v>
      </c>
      <c r="T457" s="30">
        <f t="shared" si="122"/>
        <v>-96610.301067012973</v>
      </c>
      <c r="U457" s="31">
        <f t="shared" si="123"/>
        <v>205525.8537201919</v>
      </c>
      <c r="V457" s="31">
        <f t="shared" si="124"/>
        <v>2442314.5146606741</v>
      </c>
      <c r="W457" s="42">
        <f t="shared" si="125"/>
        <v>2449468.511398166</v>
      </c>
    </row>
    <row r="458" spans="2:23" x14ac:dyDescent="0.3">
      <c r="B458" s="2">
        <v>450</v>
      </c>
      <c r="C458" s="2">
        <v>2674</v>
      </c>
      <c r="D458" s="4">
        <v>1169072.8</v>
      </c>
      <c r="E458" s="4">
        <f t="shared" ref="E458:E521" si="126">C458*D458</f>
        <v>3126100667.2000003</v>
      </c>
      <c r="F458" s="2">
        <f t="shared" ref="F458:F521" si="127">POWER(C458,2)</f>
        <v>7150276</v>
      </c>
      <c r="G458" s="2">
        <f t="shared" ref="G458:G521" si="128">POWER(D458,2)</f>
        <v>1366731211699.8401</v>
      </c>
      <c r="H458" s="42">
        <f t="shared" ref="H458:H521" si="129">C458-$AG$9</f>
        <v>-2350.4809999999998</v>
      </c>
      <c r="I458" s="2">
        <f t="shared" ref="I458:I521" si="130">POWER(H458,2)</f>
        <v>5524760.9313609991</v>
      </c>
      <c r="J458" s="4">
        <f t="shared" ref="J458:J521" si="131">D458-$AG$10</f>
        <v>-120029.09680999909</v>
      </c>
      <c r="K458" s="2">
        <f t="shared" ref="K458:K521" si="132">POWER(J458,2)</f>
        <v>14406984081.024134</v>
      </c>
      <c r="L458" s="2">
        <f t="shared" ref="L458:L521" si="133">H458*J458</f>
        <v>282126111.49906343</v>
      </c>
      <c r="N458" s="42">
        <f t="shared" ref="N458:N521" si="134">$AG$18+$AG$17*C458</f>
        <v>693877.02628789784</v>
      </c>
      <c r="O458" s="42">
        <f t="shared" ref="O458:O521" si="135">(N458-$AG$10)^2</f>
        <v>354292646488.05225</v>
      </c>
      <c r="P458" s="4">
        <f t="shared" ref="P458:P521" si="136">D458-N458</f>
        <v>475195.77371210221</v>
      </c>
      <c r="Q458" s="4">
        <f t="shared" ref="Q458:Q521" si="137">P458^2</f>
        <v>225811023353.84344</v>
      </c>
      <c r="R458" s="43">
        <f t="shared" ref="R458:R521" si="138">(1/$AG$8)+((I458)/($I$1009))</f>
        <v>1.6959884703056233E-3</v>
      </c>
      <c r="S458" s="4">
        <f t="shared" ref="S458:S521" si="139">P458 / ($AG$19*SQRT(1-R458))</f>
        <v>0.39084917508509021</v>
      </c>
      <c r="T458" s="30">
        <f t="shared" ref="T458:T521" si="140">N458-$AK$16*SQRT($AG$25*((1/$AG$8)+((C458-$AG$9)^2)/$I$1009))</f>
        <v>595441.18746097269</v>
      </c>
      <c r="U458" s="31">
        <f t="shared" ref="U458:U521" si="141">N458+$AK$16*SQRT($AG$25*((1/$AG$8)+((C458-$AG$9)^2)/$I$1009))</f>
        <v>792312.86511482298</v>
      </c>
      <c r="V458" s="31">
        <f t="shared" ref="V458:V521" si="142">N458+$AK$16*SQRT($AG$25*(1+(1/$AG$8)-((C458-$AG$9)^2)/$I$1009))</f>
        <v>3084481.9188724784</v>
      </c>
      <c r="W458" s="42">
        <f t="shared" ref="W458:W521" si="143">N458+$AK$16*SQRT($AG$25*(1+(1/$AG$8)+((C458-$AG$9)^2)/$I$1009))</f>
        <v>3086144.6683936585</v>
      </c>
    </row>
    <row r="459" spans="2:23" x14ac:dyDescent="0.3">
      <c r="B459" s="2">
        <v>451</v>
      </c>
      <c r="C459" s="2">
        <v>2773</v>
      </c>
      <c r="D459" s="4">
        <v>427208.38</v>
      </c>
      <c r="E459" s="4">
        <f t="shared" si="126"/>
        <v>1184648837.74</v>
      </c>
      <c r="F459" s="2">
        <f t="shared" si="127"/>
        <v>7689529</v>
      </c>
      <c r="G459" s="2">
        <f t="shared" si="128"/>
        <v>182506999942.2244</v>
      </c>
      <c r="H459" s="42">
        <f t="shared" si="129"/>
        <v>-2251.4809999999998</v>
      </c>
      <c r="I459" s="2">
        <f t="shared" si="130"/>
        <v>5069166.6933609992</v>
      </c>
      <c r="J459" s="4">
        <f t="shared" si="131"/>
        <v>-861893.51680999913</v>
      </c>
      <c r="K459" s="2">
        <f t="shared" si="132"/>
        <v>742860434319.10828</v>
      </c>
      <c r="L459" s="2">
        <f t="shared" si="133"/>
        <v>1940536877.1208935</v>
      </c>
      <c r="N459" s="42">
        <f t="shared" si="134"/>
        <v>718947.32559331157</v>
      </c>
      <c r="O459" s="42">
        <f t="shared" si="135"/>
        <v>325076235079.28485</v>
      </c>
      <c r="P459" s="4">
        <f t="shared" si="136"/>
        <v>-291738.94559331157</v>
      </c>
      <c r="Q459" s="4">
        <f t="shared" si="137"/>
        <v>85111612375.897202</v>
      </c>
      <c r="R459" s="43">
        <f t="shared" si="138"/>
        <v>1.638594432676639E-3</v>
      </c>
      <c r="S459" s="4">
        <f t="shared" si="139"/>
        <v>-0.23994878513491943</v>
      </c>
      <c r="T459" s="30">
        <f t="shared" si="140"/>
        <v>622191.40793806966</v>
      </c>
      <c r="U459" s="31">
        <f t="shared" si="141"/>
        <v>815703.24324855348</v>
      </c>
      <c r="V459" s="31">
        <f t="shared" si="142"/>
        <v>3109620.7995779095</v>
      </c>
      <c r="W459" s="42">
        <f t="shared" si="143"/>
        <v>3111146.4320018897</v>
      </c>
    </row>
    <row r="460" spans="2:23" x14ac:dyDescent="0.3">
      <c r="B460" s="2">
        <v>452</v>
      </c>
      <c r="C460" s="2">
        <v>7169</v>
      </c>
      <c r="D460" s="4">
        <v>783428.32000000007</v>
      </c>
      <c r="E460" s="4">
        <f t="shared" si="126"/>
        <v>5616397626.0800009</v>
      </c>
      <c r="F460" s="2">
        <f t="shared" si="127"/>
        <v>51394561</v>
      </c>
      <c r="G460" s="2">
        <f t="shared" si="128"/>
        <v>613759932578.02246</v>
      </c>
      <c r="H460" s="42">
        <f t="shared" si="129"/>
        <v>2144.5190000000002</v>
      </c>
      <c r="I460" s="2">
        <f t="shared" si="130"/>
        <v>4598961.7413610006</v>
      </c>
      <c r="J460" s="4">
        <f t="shared" si="131"/>
        <v>-505673.57680999907</v>
      </c>
      <c r="K460" s="2">
        <f t="shared" si="132"/>
        <v>255705766283.81802</v>
      </c>
      <c r="L460" s="2">
        <f t="shared" si="133"/>
        <v>-1084426593.2670026</v>
      </c>
      <c r="N460" s="42">
        <f t="shared" si="134"/>
        <v>1832169.9088922865</v>
      </c>
      <c r="O460" s="42">
        <f t="shared" si="135"/>
        <v>294922865747.00739</v>
      </c>
      <c r="P460" s="4">
        <f t="shared" si="136"/>
        <v>-1048741.5888922864</v>
      </c>
      <c r="Q460" s="4">
        <f t="shared" si="137"/>
        <v>1099858920272.3174</v>
      </c>
      <c r="R460" s="43">
        <f t="shared" si="138"/>
        <v>1.5793597926010926E-3</v>
      </c>
      <c r="S460" s="4">
        <f t="shared" si="139"/>
        <v>-0.8625410115683112</v>
      </c>
      <c r="T460" s="30">
        <f t="shared" si="140"/>
        <v>1737178.935604359</v>
      </c>
      <c r="U460" s="31">
        <f t="shared" si="141"/>
        <v>1927160.8821802139</v>
      </c>
      <c r="V460" s="31">
        <f t="shared" si="142"/>
        <v>4222914.1615903266</v>
      </c>
      <c r="W460" s="42">
        <f t="shared" si="143"/>
        <v>4224298.2796338908</v>
      </c>
    </row>
    <row r="461" spans="2:23" x14ac:dyDescent="0.3">
      <c r="B461" s="2">
        <v>453</v>
      </c>
      <c r="C461" s="2">
        <v>9619</v>
      </c>
      <c r="D461" s="4">
        <v>4205426.8</v>
      </c>
      <c r="E461" s="4">
        <f t="shared" si="126"/>
        <v>40452000389.199997</v>
      </c>
      <c r="F461" s="2">
        <f t="shared" si="127"/>
        <v>92525161</v>
      </c>
      <c r="G461" s="2">
        <f t="shared" si="128"/>
        <v>17685614570158.238</v>
      </c>
      <c r="H461" s="42">
        <f t="shared" si="129"/>
        <v>4594.5190000000002</v>
      </c>
      <c r="I461" s="2">
        <f t="shared" si="130"/>
        <v>21109604.841361001</v>
      </c>
      <c r="J461" s="4">
        <f t="shared" si="131"/>
        <v>2916324.9031900009</v>
      </c>
      <c r="K461" s="2">
        <f t="shared" si="132"/>
        <v>8504950940966.168</v>
      </c>
      <c r="L461" s="2">
        <f t="shared" si="133"/>
        <v>13399110177.87962</v>
      </c>
      <c r="N461" s="42">
        <f t="shared" si="134"/>
        <v>2452596.5078646452</v>
      </c>
      <c r="O461" s="42">
        <f t="shared" si="135"/>
        <v>1353719709953.2021</v>
      </c>
      <c r="P461" s="4">
        <f t="shared" si="136"/>
        <v>1752830.2921353546</v>
      </c>
      <c r="Q461" s="4">
        <f t="shared" si="137"/>
        <v>3072414033027.3125</v>
      </c>
      <c r="R461" s="43">
        <f t="shared" si="138"/>
        <v>3.659308115740622E-3</v>
      </c>
      <c r="S461" s="4">
        <f t="shared" si="139"/>
        <v>1.4431250803721702</v>
      </c>
      <c r="T461" s="30">
        <f t="shared" si="140"/>
        <v>2308005.4989260426</v>
      </c>
      <c r="U461" s="31">
        <f t="shared" si="141"/>
        <v>2597187.5168032479</v>
      </c>
      <c r="V461" s="31">
        <f t="shared" si="142"/>
        <v>4840854.2006082516</v>
      </c>
      <c r="W461" s="42">
        <f t="shared" si="143"/>
        <v>4847207.4192585144</v>
      </c>
    </row>
    <row r="462" spans="2:23" x14ac:dyDescent="0.3">
      <c r="B462" s="2">
        <v>454</v>
      </c>
      <c r="C462" s="2">
        <v>5906</v>
      </c>
      <c r="D462" s="4">
        <v>909878.36</v>
      </c>
      <c r="E462" s="4">
        <f t="shared" si="126"/>
        <v>5373741594.1599998</v>
      </c>
      <c r="F462" s="2">
        <f t="shared" si="127"/>
        <v>34880836</v>
      </c>
      <c r="G462" s="2">
        <f t="shared" si="128"/>
        <v>827878629996.28955</v>
      </c>
      <c r="H462" s="42">
        <f t="shared" si="129"/>
        <v>881.51900000000023</v>
      </c>
      <c r="I462" s="2">
        <f t="shared" si="130"/>
        <v>777075.74736100039</v>
      </c>
      <c r="J462" s="4">
        <f t="shared" si="131"/>
        <v>-379223.53680999915</v>
      </c>
      <c r="K462" s="2">
        <f t="shared" si="132"/>
        <v>143810490870.68478</v>
      </c>
      <c r="L462" s="2">
        <f t="shared" si="133"/>
        <v>-334292752.94521374</v>
      </c>
      <c r="N462" s="42">
        <f t="shared" si="134"/>
        <v>1512333.6662383727</v>
      </c>
      <c r="O462" s="42">
        <f t="shared" si="135"/>
        <v>49832422882.122528</v>
      </c>
      <c r="P462" s="4">
        <f t="shared" si="136"/>
        <v>-602455.30623837269</v>
      </c>
      <c r="Q462" s="4">
        <f t="shared" si="137"/>
        <v>362952396014.77142</v>
      </c>
      <c r="R462" s="43">
        <f t="shared" si="138"/>
        <v>1.097893061335443E-3</v>
      </c>
      <c r="S462" s="4">
        <f t="shared" si="139"/>
        <v>-0.49537194568962484</v>
      </c>
      <c r="T462" s="30">
        <f t="shared" si="140"/>
        <v>1433134.2794651669</v>
      </c>
      <c r="U462" s="31">
        <f t="shared" si="141"/>
        <v>1591533.0530115785</v>
      </c>
      <c r="V462" s="31">
        <f t="shared" si="142"/>
        <v>3903653.1396566872</v>
      </c>
      <c r="W462" s="42">
        <f t="shared" si="143"/>
        <v>3903887.0108171515</v>
      </c>
    </row>
    <row r="463" spans="2:23" x14ac:dyDescent="0.3">
      <c r="B463" s="2">
        <v>455</v>
      </c>
      <c r="C463" s="2">
        <v>8850</v>
      </c>
      <c r="D463" s="4">
        <v>2259228</v>
      </c>
      <c r="E463" s="4">
        <f t="shared" si="126"/>
        <v>19994167800</v>
      </c>
      <c r="F463" s="2">
        <f t="shared" si="127"/>
        <v>78322500</v>
      </c>
      <c r="G463" s="2">
        <f t="shared" si="128"/>
        <v>5104111155984</v>
      </c>
      <c r="H463" s="42">
        <f t="shared" si="129"/>
        <v>3825.5190000000002</v>
      </c>
      <c r="I463" s="2">
        <f t="shared" si="130"/>
        <v>14634595.619361002</v>
      </c>
      <c r="J463" s="4">
        <f t="shared" si="131"/>
        <v>970126.10319000087</v>
      </c>
      <c r="K463" s="2">
        <f t="shared" si="132"/>
        <v>941144656090.61621</v>
      </c>
      <c r="L463" s="2">
        <f t="shared" si="133"/>
        <v>3711235840.1493092</v>
      </c>
      <c r="N463" s="42">
        <f t="shared" si="134"/>
        <v>2257858.5263912803</v>
      </c>
      <c r="O463" s="42">
        <f t="shared" si="135"/>
        <v>938489407357.68372</v>
      </c>
      <c r="P463" s="4">
        <f t="shared" si="136"/>
        <v>1369.4736087196507</v>
      </c>
      <c r="Q463" s="4">
        <f t="shared" si="137"/>
        <v>1875457.9649796227</v>
      </c>
      <c r="R463" s="43">
        <f t="shared" si="138"/>
        <v>2.8436109625744992E-3</v>
      </c>
      <c r="S463" s="4">
        <f t="shared" si="139"/>
        <v>1.1270419141772216E-3</v>
      </c>
      <c r="T463" s="30">
        <f t="shared" si="140"/>
        <v>2130397.6534002582</v>
      </c>
      <c r="U463" s="31">
        <f t="shared" si="141"/>
        <v>2385319.3993823025</v>
      </c>
      <c r="V463" s="31">
        <f t="shared" si="142"/>
        <v>4647091.6863552183</v>
      </c>
      <c r="W463" s="42">
        <f t="shared" si="143"/>
        <v>4651496.1621340681</v>
      </c>
    </row>
    <row r="464" spans="2:23" x14ac:dyDescent="0.3">
      <c r="B464" s="2">
        <v>456</v>
      </c>
      <c r="C464" s="2">
        <v>3299</v>
      </c>
      <c r="D464" s="4">
        <v>2204622.73</v>
      </c>
      <c r="E464" s="4">
        <f t="shared" si="126"/>
        <v>7273050386.2699995</v>
      </c>
      <c r="F464" s="2">
        <f t="shared" si="127"/>
        <v>10883401</v>
      </c>
      <c r="G464" s="2">
        <f t="shared" si="128"/>
        <v>4860361381632.6523</v>
      </c>
      <c r="H464" s="42">
        <f t="shared" si="129"/>
        <v>-1725.4809999999998</v>
      </c>
      <c r="I464" s="2">
        <f t="shared" si="130"/>
        <v>2977284.6813609991</v>
      </c>
      <c r="J464" s="4">
        <f t="shared" si="131"/>
        <v>915520.83319000085</v>
      </c>
      <c r="K464" s="2">
        <f t="shared" si="132"/>
        <v>838178396004.91333</v>
      </c>
      <c r="L464" s="2">
        <f t="shared" si="133"/>
        <v>-1579713802.7735157</v>
      </c>
      <c r="N464" s="42">
        <f t="shared" si="134"/>
        <v>852149.11786247906</v>
      </c>
      <c r="O464" s="42">
        <f t="shared" si="135"/>
        <v>190927731029.96033</v>
      </c>
      <c r="P464" s="4">
        <f t="shared" si="136"/>
        <v>1352473.6121375209</v>
      </c>
      <c r="Q464" s="4">
        <f t="shared" si="137"/>
        <v>1829184871528.3135</v>
      </c>
      <c r="R464" s="43">
        <f t="shared" si="138"/>
        <v>1.3750670548081691E-3</v>
      </c>
      <c r="S464" s="4">
        <f t="shared" si="139"/>
        <v>1.1122326409406134</v>
      </c>
      <c r="T464" s="30">
        <f t="shared" si="140"/>
        <v>763514.42640522902</v>
      </c>
      <c r="U464" s="31">
        <f t="shared" si="141"/>
        <v>940783.8093197291</v>
      </c>
      <c r="V464" s="31">
        <f t="shared" si="142"/>
        <v>3243137.4612646746</v>
      </c>
      <c r="W464" s="42">
        <f t="shared" si="143"/>
        <v>3244033.5142391967</v>
      </c>
    </row>
    <row r="465" spans="2:23" x14ac:dyDescent="0.3">
      <c r="B465" s="2">
        <v>457</v>
      </c>
      <c r="C465" s="2">
        <v>1132</v>
      </c>
      <c r="D465" s="4">
        <v>53713.4</v>
      </c>
      <c r="E465" s="4">
        <f t="shared" si="126"/>
        <v>60803568.800000004</v>
      </c>
      <c r="F465" s="2">
        <f t="shared" si="127"/>
        <v>1281424</v>
      </c>
      <c r="G465" s="2">
        <f t="shared" si="128"/>
        <v>2885129339.5599999</v>
      </c>
      <c r="H465" s="42">
        <f t="shared" si="129"/>
        <v>-3892.4809999999998</v>
      </c>
      <c r="I465" s="2">
        <f t="shared" si="130"/>
        <v>15151408.335360998</v>
      </c>
      <c r="J465" s="4">
        <f t="shared" si="131"/>
        <v>-1235388.4968099992</v>
      </c>
      <c r="K465" s="2">
        <f t="shared" si="132"/>
        <v>1526184738050.4695</v>
      </c>
      <c r="L465" s="2">
        <f t="shared" si="133"/>
        <v>4808726251.4514828</v>
      </c>
      <c r="N465" s="42">
        <f t="shared" si="134"/>
        <v>303388.1219550909</v>
      </c>
      <c r="O465" s="42">
        <f t="shared" si="135"/>
        <v>971631645938.71277</v>
      </c>
      <c r="P465" s="4">
        <f t="shared" si="136"/>
        <v>-249674.72195509091</v>
      </c>
      <c r="Q465" s="4">
        <f t="shared" si="137"/>
        <v>62337466783.351952</v>
      </c>
      <c r="R465" s="43">
        <f t="shared" si="138"/>
        <v>2.9087170723432572E-3</v>
      </c>
      <c r="S465" s="4">
        <f t="shared" si="139"/>
        <v>-0.20548264790557821</v>
      </c>
      <c r="T465" s="30">
        <f t="shared" si="140"/>
        <v>174476.36166342156</v>
      </c>
      <c r="U465" s="31">
        <f t="shared" si="141"/>
        <v>432299.88224676024</v>
      </c>
      <c r="V465" s="31">
        <f t="shared" si="142"/>
        <v>2692543.4381439313</v>
      </c>
      <c r="W465" s="42">
        <f t="shared" si="143"/>
        <v>2697103.4557076637</v>
      </c>
    </row>
    <row r="466" spans="2:23" x14ac:dyDescent="0.3">
      <c r="B466" s="2">
        <v>458</v>
      </c>
      <c r="C466" s="2">
        <v>6261</v>
      </c>
      <c r="D466" s="4">
        <v>2737309.1999999997</v>
      </c>
      <c r="E466" s="4">
        <f t="shared" si="126"/>
        <v>17138292901.199999</v>
      </c>
      <c r="F466" s="2">
        <f t="shared" si="127"/>
        <v>39200121</v>
      </c>
      <c r="G466" s="2">
        <f t="shared" si="128"/>
        <v>7492861656404.6387</v>
      </c>
      <c r="H466" s="42">
        <f t="shared" si="129"/>
        <v>1236.5190000000002</v>
      </c>
      <c r="I466" s="2">
        <f t="shared" si="130"/>
        <v>1528979.2373610006</v>
      </c>
      <c r="J466" s="4">
        <f t="shared" si="131"/>
        <v>1448207.3031900006</v>
      </c>
      <c r="K466" s="2">
        <f t="shared" si="132"/>
        <v>2097304393012.8542</v>
      </c>
      <c r="L466" s="2">
        <f t="shared" si="133"/>
        <v>1790735846.3331966</v>
      </c>
      <c r="N466" s="42">
        <f t="shared" si="134"/>
        <v>1602232.2142527348</v>
      </c>
      <c r="O466" s="42">
        <f t="shared" si="135"/>
        <v>98050595701.788406</v>
      </c>
      <c r="P466" s="4">
        <f t="shared" si="136"/>
        <v>1135076.9857472649</v>
      </c>
      <c r="Q466" s="4">
        <f t="shared" si="137"/>
        <v>1288399763573.0967</v>
      </c>
      <c r="R466" s="43">
        <f t="shared" si="138"/>
        <v>1.1926150169683076E-3</v>
      </c>
      <c r="S466" s="4">
        <f t="shared" si="139"/>
        <v>0.93336709073925184</v>
      </c>
      <c r="T466" s="30">
        <f t="shared" si="140"/>
        <v>1519686.9930806682</v>
      </c>
      <c r="U466" s="31">
        <f t="shared" si="141"/>
        <v>1684777.4354248014</v>
      </c>
      <c r="V466" s="31">
        <f t="shared" si="142"/>
        <v>3993438.5318415267</v>
      </c>
      <c r="W466" s="42">
        <f t="shared" si="143"/>
        <v>3993898.6982423058</v>
      </c>
    </row>
    <row r="467" spans="2:23" x14ac:dyDescent="0.3">
      <c r="B467" s="2">
        <v>459</v>
      </c>
      <c r="C467" s="2">
        <v>9627</v>
      </c>
      <c r="D467" s="4">
        <v>1052038.56</v>
      </c>
      <c r="E467" s="4">
        <f t="shared" si="126"/>
        <v>10127975217.120001</v>
      </c>
      <c r="F467" s="2">
        <f t="shared" si="127"/>
        <v>92679129</v>
      </c>
      <c r="G467" s="2">
        <f t="shared" si="128"/>
        <v>1106785131726.8738</v>
      </c>
      <c r="H467" s="42">
        <f t="shared" si="129"/>
        <v>4602.5190000000002</v>
      </c>
      <c r="I467" s="2">
        <f t="shared" si="130"/>
        <v>21183181.145361003</v>
      </c>
      <c r="J467" s="4">
        <f t="shared" si="131"/>
        <v>-237063.33680999908</v>
      </c>
      <c r="K467" s="2">
        <f t="shared" si="132"/>
        <v>56199025659.491066</v>
      </c>
      <c r="L467" s="2">
        <f t="shared" si="133"/>
        <v>-1091088511.8714201</v>
      </c>
      <c r="N467" s="42">
        <f t="shared" si="134"/>
        <v>2454622.3906367999</v>
      </c>
      <c r="O467" s="42">
        <f t="shared" si="135"/>
        <v>1358438021530.2695</v>
      </c>
      <c r="P467" s="4">
        <f t="shared" si="136"/>
        <v>-1402583.8306367998</v>
      </c>
      <c r="Q467" s="4">
        <f t="shared" si="137"/>
        <v>1967241401963.7991</v>
      </c>
      <c r="R467" s="43">
        <f t="shared" si="138"/>
        <v>3.6685769800241463E-3</v>
      </c>
      <c r="S467" s="4">
        <f t="shared" si="139"/>
        <v>-1.1547685634420159</v>
      </c>
      <c r="T467" s="30">
        <f t="shared" si="140"/>
        <v>2309848.3762220205</v>
      </c>
      <c r="U467" s="31">
        <f t="shared" si="141"/>
        <v>2599396.4050515792</v>
      </c>
      <c r="V467" s="31">
        <f t="shared" si="142"/>
        <v>4842868.9967403496</v>
      </c>
      <c r="W467" s="42">
        <f t="shared" si="143"/>
        <v>4849244.3592052134</v>
      </c>
    </row>
    <row r="468" spans="2:23" x14ac:dyDescent="0.3">
      <c r="B468" s="2">
        <v>460</v>
      </c>
      <c r="C468" s="2">
        <v>4206</v>
      </c>
      <c r="D468" s="4">
        <v>199574.7</v>
      </c>
      <c r="E468" s="4">
        <f t="shared" si="126"/>
        <v>839411188.20000005</v>
      </c>
      <c r="F468" s="2">
        <f t="shared" si="127"/>
        <v>17690436</v>
      </c>
      <c r="G468" s="2">
        <f t="shared" si="128"/>
        <v>39830060880.090004</v>
      </c>
      <c r="H468" s="42">
        <f t="shared" si="129"/>
        <v>-818.48099999999977</v>
      </c>
      <c r="I468" s="2">
        <f t="shared" si="130"/>
        <v>669911.1473609996</v>
      </c>
      <c r="J468" s="4">
        <f t="shared" si="131"/>
        <v>-1089527.1968099992</v>
      </c>
      <c r="K468" s="2">
        <f t="shared" si="132"/>
        <v>1187069512588.6548</v>
      </c>
      <c r="L468" s="2">
        <f t="shared" si="133"/>
        <v>891757309.57224464</v>
      </c>
      <c r="N468" s="42">
        <f t="shared" si="134"/>
        <v>1081833.5771555114</v>
      </c>
      <c r="O468" s="42">
        <f t="shared" si="135"/>
        <v>42960156332.39492</v>
      </c>
      <c r="P468" s="4">
        <f t="shared" si="136"/>
        <v>-882258.87715551141</v>
      </c>
      <c r="Q468" s="4">
        <f t="shared" si="137"/>
        <v>778380726319.70374</v>
      </c>
      <c r="R468" s="43">
        <f t="shared" si="138"/>
        <v>1.0843928706572301E-3</v>
      </c>
      <c r="S468" s="4">
        <f t="shared" si="139"/>
        <v>-0.72543695563177968</v>
      </c>
      <c r="T468" s="30">
        <f t="shared" si="140"/>
        <v>1003122.6323302344</v>
      </c>
      <c r="U468" s="31">
        <f t="shared" si="141"/>
        <v>1160544.5219807883</v>
      </c>
      <c r="V468" s="31">
        <f t="shared" si="142"/>
        <v>3473169.1776055209</v>
      </c>
      <c r="W468" s="42">
        <f t="shared" si="143"/>
        <v>3473370.7961709253</v>
      </c>
    </row>
    <row r="469" spans="2:23" x14ac:dyDescent="0.3">
      <c r="B469" s="2">
        <v>461</v>
      </c>
      <c r="C469" s="2">
        <v>1</v>
      </c>
      <c r="D469" s="4">
        <v>47.45</v>
      </c>
      <c r="E469" s="4">
        <f t="shared" si="126"/>
        <v>47.45</v>
      </c>
      <c r="F469" s="2">
        <f t="shared" si="127"/>
        <v>1</v>
      </c>
      <c r="G469" s="2">
        <f t="shared" si="128"/>
        <v>2251.5025000000001</v>
      </c>
      <c r="H469" s="42">
        <f t="shared" si="129"/>
        <v>-5023.4809999999998</v>
      </c>
      <c r="I469" s="2">
        <f t="shared" si="130"/>
        <v>25235361.357360996</v>
      </c>
      <c r="J469" s="4">
        <f t="shared" si="131"/>
        <v>-1289054.4468099992</v>
      </c>
      <c r="K469" s="2">
        <f t="shared" si="132"/>
        <v>1661661366840.6331</v>
      </c>
      <c r="L469" s="2">
        <f t="shared" si="133"/>
        <v>6475540521.5155411</v>
      </c>
      <c r="N469" s="42">
        <f t="shared" si="134"/>
        <v>16978.945041728613</v>
      </c>
      <c r="O469" s="42">
        <f t="shared" si="135"/>
        <v>1618296804415.6174</v>
      </c>
      <c r="P469" s="4">
        <f t="shared" si="136"/>
        <v>-16931.495041728613</v>
      </c>
      <c r="Q469" s="4">
        <f t="shared" si="137"/>
        <v>286675524.34808058</v>
      </c>
      <c r="R469" s="43">
        <f t="shared" si="138"/>
        <v>4.1790553051845132E-3</v>
      </c>
      <c r="S469" s="4">
        <f t="shared" si="139"/>
        <v>-1.394352943847897E-2</v>
      </c>
      <c r="T469" s="30">
        <f t="shared" si="140"/>
        <v>-137539.68820500266</v>
      </c>
      <c r="U469" s="31">
        <f t="shared" si="141"/>
        <v>171497.57828845989</v>
      </c>
      <c r="V469" s="31">
        <f t="shared" si="142"/>
        <v>2404614.8801864604</v>
      </c>
      <c r="W469" s="42">
        <f t="shared" si="143"/>
        <v>2412209.8034604178</v>
      </c>
    </row>
    <row r="470" spans="2:23" x14ac:dyDescent="0.3">
      <c r="B470" s="2">
        <v>462</v>
      </c>
      <c r="C470" s="2">
        <v>9049</v>
      </c>
      <c r="D470" s="4">
        <v>1380696.4200000002</v>
      </c>
      <c r="E470" s="4">
        <f t="shared" si="126"/>
        <v>12493921904.580002</v>
      </c>
      <c r="F470" s="2">
        <f t="shared" si="127"/>
        <v>81884401</v>
      </c>
      <c r="G470" s="2">
        <f t="shared" si="128"/>
        <v>1906322604200.8169</v>
      </c>
      <c r="H470" s="42">
        <f t="shared" si="129"/>
        <v>4024.5190000000002</v>
      </c>
      <c r="I470" s="2">
        <f t="shared" si="130"/>
        <v>16196753.181361001</v>
      </c>
      <c r="J470" s="4">
        <f t="shared" si="131"/>
        <v>91594.523190001026</v>
      </c>
      <c r="K470" s="2">
        <f t="shared" si="132"/>
        <v>8389556678.403636</v>
      </c>
      <c r="L470" s="2">
        <f t="shared" si="133"/>
        <v>368623898.87409973</v>
      </c>
      <c r="N470" s="42">
        <f t="shared" si="134"/>
        <v>2308252.360348627</v>
      </c>
      <c r="O470" s="42">
        <f t="shared" si="135"/>
        <v>1038667667331</v>
      </c>
      <c r="P470" s="4">
        <f t="shared" si="136"/>
        <v>-927555.94034862681</v>
      </c>
      <c r="Q470" s="4">
        <f t="shared" si="137"/>
        <v>860360022476.02539</v>
      </c>
      <c r="R470" s="43">
        <f t="shared" si="138"/>
        <v>3.0404056592972231E-3</v>
      </c>
      <c r="S470" s="4">
        <f t="shared" si="139"/>
        <v>-0.76343026145980009</v>
      </c>
      <c r="T470" s="30">
        <f t="shared" si="140"/>
        <v>2176454.7412482188</v>
      </c>
      <c r="U470" s="31">
        <f t="shared" si="141"/>
        <v>2440049.9794490351</v>
      </c>
      <c r="V470" s="31">
        <f t="shared" si="142"/>
        <v>4697250.2160224989</v>
      </c>
      <c r="W470" s="42">
        <f t="shared" si="143"/>
        <v>4702124.8443170674</v>
      </c>
    </row>
    <row r="471" spans="2:23" x14ac:dyDescent="0.3">
      <c r="B471" s="2">
        <v>463</v>
      </c>
      <c r="C471" s="2">
        <v>417</v>
      </c>
      <c r="D471" s="4">
        <v>45569.760000000002</v>
      </c>
      <c r="E471" s="4">
        <f t="shared" si="126"/>
        <v>19002589.920000002</v>
      </c>
      <c r="F471" s="2">
        <f t="shared" si="127"/>
        <v>173889</v>
      </c>
      <c r="G471" s="2">
        <f t="shared" si="128"/>
        <v>2076603026.4576001</v>
      </c>
      <c r="H471" s="42">
        <f t="shared" si="129"/>
        <v>-4607.4809999999998</v>
      </c>
      <c r="I471" s="2">
        <f t="shared" si="130"/>
        <v>21228881.165360998</v>
      </c>
      <c r="J471" s="4">
        <f t="shared" si="131"/>
        <v>-1243532.1368099991</v>
      </c>
      <c r="K471" s="2">
        <f t="shared" si="132"/>
        <v>1546372175279.2424</v>
      </c>
      <c r="L471" s="2">
        <f t="shared" si="133"/>
        <v>5729550693.2414713</v>
      </c>
      <c r="N471" s="42">
        <f t="shared" si="134"/>
        <v>122324.84919376991</v>
      </c>
      <c r="O471" s="42">
        <f t="shared" si="135"/>
        <v>1361368678844.0442</v>
      </c>
      <c r="P471" s="4">
        <f t="shared" si="136"/>
        <v>-76755.089193769905</v>
      </c>
      <c r="Q471" s="4">
        <f t="shared" si="137"/>
        <v>5891343717.1435738</v>
      </c>
      <c r="R471" s="43">
        <f t="shared" si="138"/>
        <v>3.6743340955641482E-3</v>
      </c>
      <c r="S471" s="4">
        <f t="shared" si="139"/>
        <v>-6.3193812896447613E-2</v>
      </c>
      <c r="T471" s="30">
        <f t="shared" si="140"/>
        <v>-22562.717968124809</v>
      </c>
      <c r="U471" s="31">
        <f t="shared" si="141"/>
        <v>267212.41635566461</v>
      </c>
      <c r="V471" s="31">
        <f t="shared" si="142"/>
        <v>2510564.5690914192</v>
      </c>
      <c r="W471" s="42">
        <f t="shared" si="143"/>
        <v>2516953.685614727</v>
      </c>
    </row>
    <row r="472" spans="2:23" x14ac:dyDescent="0.3">
      <c r="B472" s="2">
        <v>464</v>
      </c>
      <c r="C472" s="2">
        <v>5203</v>
      </c>
      <c r="D472" s="4">
        <v>425241.19</v>
      </c>
      <c r="E472" s="4">
        <f t="shared" si="126"/>
        <v>2212529911.5700002</v>
      </c>
      <c r="F472" s="2">
        <f t="shared" si="127"/>
        <v>27071209</v>
      </c>
      <c r="G472" s="2">
        <f t="shared" si="128"/>
        <v>180830069672.61609</v>
      </c>
      <c r="H472" s="42">
        <f t="shared" si="129"/>
        <v>178.51900000000023</v>
      </c>
      <c r="I472" s="2">
        <f t="shared" si="130"/>
        <v>31869.033361000082</v>
      </c>
      <c r="J472" s="4">
        <f t="shared" si="131"/>
        <v>-863860.70680999919</v>
      </c>
      <c r="K472" s="2">
        <f t="shared" si="132"/>
        <v>746255320770.27136</v>
      </c>
      <c r="L472" s="2">
        <f t="shared" si="133"/>
        <v>-154215549.51901445</v>
      </c>
      <c r="N472" s="42">
        <f t="shared" si="134"/>
        <v>1334309.2176352835</v>
      </c>
      <c r="O472" s="42">
        <f t="shared" si="135"/>
        <v>2043701856.2001879</v>
      </c>
      <c r="P472" s="4">
        <f t="shared" si="136"/>
        <v>-909068.02763528354</v>
      </c>
      <c r="Q472" s="4">
        <f t="shared" si="137"/>
        <v>826404678868.70459</v>
      </c>
      <c r="R472" s="43">
        <f t="shared" si="138"/>
        <v>1.0040147401950254E-3</v>
      </c>
      <c r="S472" s="4">
        <f t="shared" si="139"/>
        <v>-0.74745069592367575</v>
      </c>
      <c r="T472" s="30">
        <f t="shared" si="140"/>
        <v>1258571.5645753958</v>
      </c>
      <c r="U472" s="31">
        <f t="shared" si="141"/>
        <v>1410046.8706951712</v>
      </c>
      <c r="V472" s="31">
        <f t="shared" si="142"/>
        <v>3725740.8337857174</v>
      </c>
      <c r="W472" s="42">
        <f t="shared" si="143"/>
        <v>3725750.4251901992</v>
      </c>
    </row>
    <row r="473" spans="2:23" x14ac:dyDescent="0.3">
      <c r="B473" s="2">
        <v>465</v>
      </c>
      <c r="C473" s="2">
        <v>1539</v>
      </c>
      <c r="D473" s="4">
        <v>237098.34</v>
      </c>
      <c r="E473" s="4">
        <f t="shared" si="126"/>
        <v>364894345.25999999</v>
      </c>
      <c r="F473" s="2">
        <f t="shared" si="127"/>
        <v>2368521</v>
      </c>
      <c r="G473" s="2">
        <f t="shared" si="128"/>
        <v>56215622830.7556</v>
      </c>
      <c r="H473" s="42">
        <f t="shared" si="129"/>
        <v>-3485.4809999999998</v>
      </c>
      <c r="I473" s="2">
        <f t="shared" si="130"/>
        <v>12148577.801360998</v>
      </c>
      <c r="J473" s="4">
        <f t="shared" si="131"/>
        <v>-1052003.556809999</v>
      </c>
      <c r="K473" s="2">
        <f t="shared" si="132"/>
        <v>1106711483540.8889</v>
      </c>
      <c r="L473" s="2">
        <f t="shared" si="133"/>
        <v>3666738409.1936722</v>
      </c>
      <c r="N473" s="42">
        <f t="shared" si="134"/>
        <v>406454.90798845823</v>
      </c>
      <c r="O473" s="42">
        <f t="shared" si="135"/>
        <v>779065706875.7334</v>
      </c>
      <c r="P473" s="4">
        <f t="shared" si="136"/>
        <v>-169356.56798845824</v>
      </c>
      <c r="Q473" s="4">
        <f t="shared" si="137"/>
        <v>28681647120.829277</v>
      </c>
      <c r="R473" s="43">
        <f t="shared" si="138"/>
        <v>2.5304318477134859E-3</v>
      </c>
      <c r="S473" s="4">
        <f t="shared" si="139"/>
        <v>-0.13935426182704239</v>
      </c>
      <c r="T473" s="30">
        <f t="shared" si="140"/>
        <v>286217.63404850499</v>
      </c>
      <c r="U473" s="31">
        <f t="shared" si="141"/>
        <v>526692.18192841148</v>
      </c>
      <c r="V473" s="31">
        <f t="shared" si="142"/>
        <v>2796062.4834640604</v>
      </c>
      <c r="W473" s="42">
        <f t="shared" si="143"/>
        <v>2799718.7587047149</v>
      </c>
    </row>
    <row r="474" spans="2:23" x14ac:dyDescent="0.3">
      <c r="B474" s="2">
        <v>466</v>
      </c>
      <c r="C474" s="2">
        <v>9584</v>
      </c>
      <c r="D474" s="4">
        <v>783300.32000000007</v>
      </c>
      <c r="E474" s="4">
        <f t="shared" si="126"/>
        <v>7507150266.8800011</v>
      </c>
      <c r="F474" s="2">
        <f t="shared" si="127"/>
        <v>91853056</v>
      </c>
      <c r="G474" s="2">
        <f t="shared" si="128"/>
        <v>613559391312.10254</v>
      </c>
      <c r="H474" s="42">
        <f t="shared" si="129"/>
        <v>4559.5190000000002</v>
      </c>
      <c r="I474" s="2">
        <f t="shared" si="130"/>
        <v>20789213.511361003</v>
      </c>
      <c r="J474" s="4">
        <f t="shared" si="131"/>
        <v>-505801.57680999907</v>
      </c>
      <c r="K474" s="2">
        <f t="shared" si="132"/>
        <v>255835235103.48138</v>
      </c>
      <c r="L474" s="2">
        <f t="shared" si="133"/>
        <v>-2306211899.6951504</v>
      </c>
      <c r="N474" s="42">
        <f t="shared" si="134"/>
        <v>2443733.2707364685</v>
      </c>
      <c r="O474" s="42">
        <f t="shared" si="135"/>
        <v>1333173609655.3264</v>
      </c>
      <c r="P474" s="4">
        <f t="shared" si="136"/>
        <v>-1660432.9507364684</v>
      </c>
      <c r="Q474" s="4">
        <f t="shared" si="137"/>
        <v>2757037583891.4155</v>
      </c>
      <c r="R474" s="43">
        <f t="shared" si="138"/>
        <v>3.6189464287036139E-3</v>
      </c>
      <c r="S474" s="4">
        <f t="shared" si="139"/>
        <v>-1.3670256113877541</v>
      </c>
      <c r="T474" s="30">
        <f t="shared" si="140"/>
        <v>2299941.8827419919</v>
      </c>
      <c r="U474" s="31">
        <f t="shared" si="141"/>
        <v>2587524.6587309451</v>
      </c>
      <c r="V474" s="31">
        <f t="shared" si="142"/>
        <v>4832039.2401536023</v>
      </c>
      <c r="W474" s="42">
        <f t="shared" si="143"/>
        <v>4838296.0325704683</v>
      </c>
    </row>
    <row r="475" spans="2:23" x14ac:dyDescent="0.3">
      <c r="B475" s="2">
        <v>467</v>
      </c>
      <c r="C475" s="2">
        <v>6531</v>
      </c>
      <c r="D475" s="4">
        <v>1006165.86</v>
      </c>
      <c r="E475" s="4">
        <f t="shared" si="126"/>
        <v>6571269231.6599998</v>
      </c>
      <c r="F475" s="2">
        <f t="shared" si="127"/>
        <v>42653961</v>
      </c>
      <c r="G475" s="2">
        <f t="shared" si="128"/>
        <v>1012369737829.5396</v>
      </c>
      <c r="H475" s="42">
        <f t="shared" si="129"/>
        <v>1506.5190000000002</v>
      </c>
      <c r="I475" s="2">
        <f t="shared" si="130"/>
        <v>2269599.4973610006</v>
      </c>
      <c r="J475" s="4">
        <f t="shared" si="131"/>
        <v>-282936.03680999915</v>
      </c>
      <c r="K475" s="2">
        <f t="shared" si="132"/>
        <v>80052800925.749191</v>
      </c>
      <c r="L475" s="2">
        <f t="shared" si="133"/>
        <v>-426248515.23896319</v>
      </c>
      <c r="N475" s="42">
        <f t="shared" si="134"/>
        <v>1670605.7578129538</v>
      </c>
      <c r="O475" s="42">
        <f t="shared" si="135"/>
        <v>145545195960.16174</v>
      </c>
      <c r="P475" s="4">
        <f t="shared" si="136"/>
        <v>-664439.8978129538</v>
      </c>
      <c r="Q475" s="4">
        <f t="shared" si="137"/>
        <v>441480377805.68848</v>
      </c>
      <c r="R475" s="43">
        <f t="shared" si="138"/>
        <v>1.2859155539940376E-3</v>
      </c>
      <c r="S475" s="4">
        <f t="shared" si="139"/>
        <v>-0.54639051771857583</v>
      </c>
      <c r="T475" s="30">
        <f t="shared" si="140"/>
        <v>1584892.4958013038</v>
      </c>
      <c r="U475" s="31">
        <f t="shared" si="141"/>
        <v>1756319.0198246038</v>
      </c>
      <c r="V475" s="31">
        <f t="shared" si="142"/>
        <v>4061700.6123785805</v>
      </c>
      <c r="W475" s="42">
        <f t="shared" si="143"/>
        <v>4062383.6781862844</v>
      </c>
    </row>
    <row r="476" spans="2:23" x14ac:dyDescent="0.3">
      <c r="B476" s="2">
        <v>468</v>
      </c>
      <c r="C476" s="2">
        <v>1604</v>
      </c>
      <c r="D476" s="4">
        <v>409469.12</v>
      </c>
      <c r="E476" s="4">
        <f t="shared" si="126"/>
        <v>656788468.48000002</v>
      </c>
      <c r="F476" s="2">
        <f t="shared" si="127"/>
        <v>2572816</v>
      </c>
      <c r="G476" s="2">
        <f t="shared" si="128"/>
        <v>167664960233.5744</v>
      </c>
      <c r="H476" s="42">
        <f t="shared" si="129"/>
        <v>-3420.4809999999998</v>
      </c>
      <c r="I476" s="2">
        <f t="shared" si="130"/>
        <v>11699690.271360999</v>
      </c>
      <c r="J476" s="4">
        <f t="shared" si="131"/>
        <v>-879632.77680999914</v>
      </c>
      <c r="K476" s="2">
        <f t="shared" si="132"/>
        <v>773753822038.46973</v>
      </c>
      <c r="L476" s="2">
        <f t="shared" si="133"/>
        <v>3008767200.0558424</v>
      </c>
      <c r="N476" s="42">
        <f t="shared" si="134"/>
        <v>422915.20551221468</v>
      </c>
      <c r="O476" s="42">
        <f t="shared" si="135"/>
        <v>750279384181.40332</v>
      </c>
      <c r="P476" s="4">
        <f t="shared" si="136"/>
        <v>-13446.08551221469</v>
      </c>
      <c r="Q476" s="4">
        <f t="shared" si="137"/>
        <v>180797215.60178977</v>
      </c>
      <c r="R476" s="43">
        <f t="shared" si="138"/>
        <v>2.4738826957727148E-3</v>
      </c>
      <c r="S476" s="4">
        <f t="shared" si="139"/>
        <v>-1.1063735118725807E-2</v>
      </c>
      <c r="T476" s="30">
        <f t="shared" si="140"/>
        <v>304029.03168396489</v>
      </c>
      <c r="U476" s="31">
        <f t="shared" si="141"/>
        <v>541801.37934046448</v>
      </c>
      <c r="V476" s="31">
        <f t="shared" si="142"/>
        <v>2812590.381030296</v>
      </c>
      <c r="W476" s="42">
        <f t="shared" si="143"/>
        <v>2816111.5575544396</v>
      </c>
    </row>
    <row r="477" spans="2:23" x14ac:dyDescent="0.3">
      <c r="B477" s="2">
        <v>469</v>
      </c>
      <c r="C477" s="2">
        <v>1057</v>
      </c>
      <c r="D477" s="4">
        <v>162841.42000000001</v>
      </c>
      <c r="E477" s="4">
        <f t="shared" si="126"/>
        <v>172123380.94000003</v>
      </c>
      <c r="F477" s="2">
        <f t="shared" si="127"/>
        <v>1117249</v>
      </c>
      <c r="G477" s="2">
        <f t="shared" si="128"/>
        <v>26517328067.616405</v>
      </c>
      <c r="H477" s="42">
        <f t="shared" si="129"/>
        <v>-3967.4809999999998</v>
      </c>
      <c r="I477" s="2">
        <f t="shared" si="130"/>
        <v>15740905.485360999</v>
      </c>
      <c r="J477" s="4">
        <f t="shared" si="131"/>
        <v>-1126260.4768099992</v>
      </c>
      <c r="K477" s="2">
        <f t="shared" si="132"/>
        <v>1268462661624.2869</v>
      </c>
      <c r="L477" s="2">
        <f t="shared" si="133"/>
        <v>4468417042.7946119</v>
      </c>
      <c r="N477" s="42">
        <f t="shared" si="134"/>
        <v>284395.47096614115</v>
      </c>
      <c r="O477" s="42">
        <f t="shared" si="135"/>
        <v>1009435002131.9396</v>
      </c>
      <c r="P477" s="4">
        <f t="shared" si="136"/>
        <v>-121554.05096614113</v>
      </c>
      <c r="Q477" s="4">
        <f t="shared" si="137"/>
        <v>14775387306.279236</v>
      </c>
      <c r="R477" s="43">
        <f t="shared" si="138"/>
        <v>2.9829796919887651E-3</v>
      </c>
      <c r="S477" s="4">
        <f t="shared" si="139"/>
        <v>-0.10004288081711912</v>
      </c>
      <c r="T477" s="30">
        <f t="shared" si="140"/>
        <v>153848.45562726966</v>
      </c>
      <c r="U477" s="31">
        <f t="shared" si="141"/>
        <v>414942.4863050126</v>
      </c>
      <c r="V477" s="31">
        <f t="shared" si="142"/>
        <v>2673461.9923508023</v>
      </c>
      <c r="W477" s="42">
        <f t="shared" si="143"/>
        <v>2678199.4270817172</v>
      </c>
    </row>
    <row r="478" spans="2:23" x14ac:dyDescent="0.3">
      <c r="B478" s="2">
        <v>470</v>
      </c>
      <c r="C478" s="2">
        <v>3178</v>
      </c>
      <c r="D478" s="4">
        <v>2123762.06</v>
      </c>
      <c r="E478" s="4">
        <f t="shared" si="126"/>
        <v>6749315826.6800003</v>
      </c>
      <c r="F478" s="2">
        <f t="shared" si="127"/>
        <v>10099684</v>
      </c>
      <c r="G478" s="2">
        <f t="shared" si="128"/>
        <v>4510365287495.4434</v>
      </c>
      <c r="H478" s="42">
        <f t="shared" si="129"/>
        <v>-1846.4809999999998</v>
      </c>
      <c r="I478" s="2">
        <f t="shared" si="130"/>
        <v>3409492.0833609994</v>
      </c>
      <c r="J478" s="4">
        <f t="shared" si="131"/>
        <v>834660.16319000092</v>
      </c>
      <c r="K478" s="2">
        <f t="shared" si="132"/>
        <v>696657588016.35901</v>
      </c>
      <c r="L478" s="2">
        <f t="shared" si="133"/>
        <v>-1541184132.787236</v>
      </c>
      <c r="N478" s="42">
        <f t="shared" si="134"/>
        <v>821507.64093364018</v>
      </c>
      <c r="O478" s="42">
        <f t="shared" si="135"/>
        <v>218644388128.56586</v>
      </c>
      <c r="P478" s="4">
        <f t="shared" si="136"/>
        <v>1302254.4190663598</v>
      </c>
      <c r="Q478" s="4">
        <f t="shared" si="137"/>
        <v>1695866571977.8621</v>
      </c>
      <c r="R478" s="43">
        <f t="shared" si="138"/>
        <v>1.4295149073596178E-3</v>
      </c>
      <c r="S478" s="4">
        <f t="shared" si="139"/>
        <v>1.0709631197309133</v>
      </c>
      <c r="T478" s="30">
        <f t="shared" si="140"/>
        <v>731135.17284866318</v>
      </c>
      <c r="U478" s="31">
        <f t="shared" si="141"/>
        <v>911880.10901861719</v>
      </c>
      <c r="V478" s="31">
        <f t="shared" si="142"/>
        <v>3212430.9320132863</v>
      </c>
      <c r="W478" s="42">
        <f t="shared" si="143"/>
        <v>3213457.0634943396</v>
      </c>
    </row>
    <row r="479" spans="2:23" x14ac:dyDescent="0.3">
      <c r="B479" s="2">
        <v>471</v>
      </c>
      <c r="C479" s="2">
        <v>3282</v>
      </c>
      <c r="D479" s="4">
        <v>2193262.14</v>
      </c>
      <c r="E479" s="4">
        <f t="shared" si="126"/>
        <v>7198286343.4800005</v>
      </c>
      <c r="F479" s="2">
        <f t="shared" si="127"/>
        <v>10771524</v>
      </c>
      <c r="G479" s="2">
        <f t="shared" si="128"/>
        <v>4810398814757.3799</v>
      </c>
      <c r="H479" s="42">
        <f t="shared" si="129"/>
        <v>-1742.4809999999998</v>
      </c>
      <c r="I479" s="2">
        <f t="shared" si="130"/>
        <v>3036240.0353609994</v>
      </c>
      <c r="J479" s="4">
        <f t="shared" si="131"/>
        <v>904160.243190001</v>
      </c>
      <c r="K479" s="2">
        <f t="shared" si="132"/>
        <v>817505745365.40173</v>
      </c>
      <c r="L479" s="2">
        <f t="shared" si="133"/>
        <v>-1575482044.7139559</v>
      </c>
      <c r="N479" s="42">
        <f t="shared" si="134"/>
        <v>847844.11697165051</v>
      </c>
      <c r="O479" s="42">
        <f t="shared" si="135"/>
        <v>194708428267.86853</v>
      </c>
      <c r="P479" s="4">
        <f t="shared" si="136"/>
        <v>1345418.0230283495</v>
      </c>
      <c r="Q479" s="4">
        <f t="shared" si="137"/>
        <v>1810149656689.5125</v>
      </c>
      <c r="R479" s="43">
        <f t="shared" si="138"/>
        <v>1.3824940271525957E-3</v>
      </c>
      <c r="S479" s="4">
        <f t="shared" si="139"/>
        <v>1.1064344561714303</v>
      </c>
      <c r="T479" s="30">
        <f t="shared" si="140"/>
        <v>758970.38229406276</v>
      </c>
      <c r="U479" s="31">
        <f t="shared" si="141"/>
        <v>936717.85164923826</v>
      </c>
      <c r="V479" s="31">
        <f t="shared" si="142"/>
        <v>3238823.5870004823</v>
      </c>
      <c r="W479" s="42">
        <f t="shared" si="143"/>
        <v>3239737.3833646635</v>
      </c>
    </row>
    <row r="480" spans="2:23" x14ac:dyDescent="0.3">
      <c r="B480" s="2">
        <v>472</v>
      </c>
      <c r="C480" s="2">
        <v>8719</v>
      </c>
      <c r="D480" s="4">
        <v>1343249.1400000001</v>
      </c>
      <c r="E480" s="4">
        <f t="shared" si="126"/>
        <v>11711789251.660002</v>
      </c>
      <c r="F480" s="2">
        <f t="shared" si="127"/>
        <v>76020961</v>
      </c>
      <c r="G480" s="2">
        <f t="shared" si="128"/>
        <v>1804318252110.74</v>
      </c>
      <c r="H480" s="42">
        <f t="shared" si="129"/>
        <v>3694.5190000000002</v>
      </c>
      <c r="I480" s="2">
        <f t="shared" si="130"/>
        <v>13649470.641361002</v>
      </c>
      <c r="J480" s="4">
        <f t="shared" si="131"/>
        <v>54147.243190000998</v>
      </c>
      <c r="K480" s="2">
        <f t="shared" si="132"/>
        <v>2931923945.0771093</v>
      </c>
      <c r="L480" s="2">
        <f t="shared" si="133"/>
        <v>200048018.76307932</v>
      </c>
      <c r="N480" s="42">
        <f t="shared" si="134"/>
        <v>2224684.6959972479</v>
      </c>
      <c r="O480" s="42">
        <f t="shared" si="135"/>
        <v>875315174135.04797</v>
      </c>
      <c r="P480" s="4">
        <f t="shared" si="136"/>
        <v>-881435.55599724781</v>
      </c>
      <c r="Q480" s="4">
        <f t="shared" si="137"/>
        <v>776928639376.17737</v>
      </c>
      <c r="R480" s="43">
        <f t="shared" si="138"/>
        <v>2.7195086466523556E-3</v>
      </c>
      <c r="S480" s="4">
        <f t="shared" si="139"/>
        <v>-0.72535388588204319</v>
      </c>
      <c r="T480" s="30">
        <f t="shared" si="140"/>
        <v>2100036.2062975573</v>
      </c>
      <c r="U480" s="31">
        <f t="shared" si="141"/>
        <v>2349333.1856969385</v>
      </c>
      <c r="V480" s="31">
        <f t="shared" si="142"/>
        <v>4614066.231213104</v>
      </c>
      <c r="W480" s="42">
        <f t="shared" si="143"/>
        <v>4618174.2203288479</v>
      </c>
    </row>
    <row r="481" spans="2:23" x14ac:dyDescent="0.3">
      <c r="B481" s="2">
        <v>473</v>
      </c>
      <c r="C481" s="2">
        <v>3869</v>
      </c>
      <c r="D481" s="4">
        <v>36097.769999999997</v>
      </c>
      <c r="E481" s="4">
        <f t="shared" si="126"/>
        <v>139662272.13</v>
      </c>
      <c r="F481" s="2">
        <f t="shared" si="127"/>
        <v>14969161</v>
      </c>
      <c r="G481" s="2">
        <f t="shared" si="128"/>
        <v>1303048998.9728997</v>
      </c>
      <c r="H481" s="42">
        <f t="shared" si="129"/>
        <v>-1155.4809999999998</v>
      </c>
      <c r="I481" s="2">
        <f t="shared" si="130"/>
        <v>1335136.3413609995</v>
      </c>
      <c r="J481" s="4">
        <f t="shared" si="131"/>
        <v>-1253004.1268099991</v>
      </c>
      <c r="K481" s="2">
        <f t="shared" si="132"/>
        <v>1570019341802.8884</v>
      </c>
      <c r="L481" s="2">
        <f t="shared" si="133"/>
        <v>1447822461.4505444</v>
      </c>
      <c r="N481" s="42">
        <f t="shared" si="134"/>
        <v>996493.26537849731</v>
      </c>
      <c r="O481" s="42">
        <f t="shared" si="135"/>
        <v>85619811188.216476</v>
      </c>
      <c r="P481" s="4">
        <f t="shared" si="136"/>
        <v>-960395.49537849729</v>
      </c>
      <c r="Q481" s="4">
        <f t="shared" si="137"/>
        <v>922359507543.3092</v>
      </c>
      <c r="R481" s="43">
        <f t="shared" si="138"/>
        <v>1.1681954226468901E-3</v>
      </c>
      <c r="S481" s="4">
        <f t="shared" si="139"/>
        <v>-0.78971788080224381</v>
      </c>
      <c r="T481" s="30">
        <f t="shared" si="140"/>
        <v>914797.49943876127</v>
      </c>
      <c r="U481" s="31">
        <f t="shared" si="141"/>
        <v>1078189.0313182333</v>
      </c>
      <c r="V481" s="31">
        <f t="shared" si="142"/>
        <v>3387728.7553799348</v>
      </c>
      <c r="W481" s="42">
        <f t="shared" si="143"/>
        <v>3388130.5822125478</v>
      </c>
    </row>
    <row r="482" spans="2:23" x14ac:dyDescent="0.3">
      <c r="B482" s="2">
        <v>474</v>
      </c>
      <c r="C482" s="2">
        <v>5143</v>
      </c>
      <c r="D482" s="4">
        <v>792330.58</v>
      </c>
      <c r="E482" s="4">
        <f t="shared" si="126"/>
        <v>4074956172.9399996</v>
      </c>
      <c r="F482" s="2">
        <f t="shared" si="127"/>
        <v>26450449</v>
      </c>
      <c r="G482" s="2">
        <f t="shared" si="128"/>
        <v>627787748003.13635</v>
      </c>
      <c r="H482" s="42">
        <f t="shared" si="129"/>
        <v>118.51900000000023</v>
      </c>
      <c r="I482" s="2">
        <f t="shared" si="130"/>
        <v>14046.753361000056</v>
      </c>
      <c r="J482" s="4">
        <f t="shared" si="131"/>
        <v>-496771.31680999917</v>
      </c>
      <c r="K482" s="2">
        <f t="shared" si="132"/>
        <v>246781741205.14056</v>
      </c>
      <c r="L482" s="2">
        <f t="shared" si="133"/>
        <v>-58876839.697004408</v>
      </c>
      <c r="N482" s="42">
        <f t="shared" si="134"/>
        <v>1319115.0968441237</v>
      </c>
      <c r="O482" s="42">
        <f t="shared" si="135"/>
        <v>900792176.28837347</v>
      </c>
      <c r="P482" s="4">
        <f t="shared" si="136"/>
        <v>-526784.51684412372</v>
      </c>
      <c r="Q482" s="4">
        <f t="shared" si="137"/>
        <v>277501927186.69684</v>
      </c>
      <c r="R482" s="43">
        <f t="shared" si="138"/>
        <v>1.0017695568199138E-3</v>
      </c>
      <c r="S482" s="4">
        <f t="shared" si="139"/>
        <v>-0.43313041410368891</v>
      </c>
      <c r="T482" s="30">
        <f t="shared" si="140"/>
        <v>1243462.1736607002</v>
      </c>
      <c r="U482" s="31">
        <f t="shared" si="141"/>
        <v>1394768.0200275471</v>
      </c>
      <c r="V482" s="31">
        <f t="shared" si="142"/>
        <v>3710549.3949231445</v>
      </c>
      <c r="W482" s="42">
        <f t="shared" si="143"/>
        <v>3710553.6224782011</v>
      </c>
    </row>
    <row r="483" spans="2:23" x14ac:dyDescent="0.3">
      <c r="B483" s="2">
        <v>475</v>
      </c>
      <c r="C483" s="2">
        <v>5983</v>
      </c>
      <c r="D483" s="4">
        <v>283893.35000000003</v>
      </c>
      <c r="E483" s="4">
        <f t="shared" si="126"/>
        <v>1698533913.0500002</v>
      </c>
      <c r="F483" s="2">
        <f t="shared" si="127"/>
        <v>35796289</v>
      </c>
      <c r="G483" s="2">
        <f t="shared" si="128"/>
        <v>80595434174.222519</v>
      </c>
      <c r="H483" s="42">
        <f t="shared" si="129"/>
        <v>958.51900000000023</v>
      </c>
      <c r="I483" s="2">
        <f t="shared" si="130"/>
        <v>918758.67336100049</v>
      </c>
      <c r="J483" s="4">
        <f t="shared" si="131"/>
        <v>-1005208.546809999</v>
      </c>
      <c r="K483" s="2">
        <f t="shared" si="132"/>
        <v>1010444222579.87</v>
      </c>
      <c r="L483" s="2">
        <f t="shared" si="133"/>
        <v>-963511491.07977366</v>
      </c>
      <c r="N483" s="42">
        <f t="shared" si="134"/>
        <v>1531832.7879203609</v>
      </c>
      <c r="O483" s="42">
        <f t="shared" si="135"/>
        <v>58918285499.230309</v>
      </c>
      <c r="P483" s="4">
        <f t="shared" si="136"/>
        <v>-1247939.4379203608</v>
      </c>
      <c r="Q483" s="4">
        <f t="shared" si="137"/>
        <v>1557352840716.9861</v>
      </c>
      <c r="R483" s="43">
        <f t="shared" si="138"/>
        <v>1.1157417400674788E-3</v>
      </c>
      <c r="S483" s="4">
        <f t="shared" si="139"/>
        <v>-1.0261337300484641</v>
      </c>
      <c r="T483" s="30">
        <f t="shared" si="140"/>
        <v>1451992.2160554845</v>
      </c>
      <c r="U483" s="31">
        <f t="shared" si="141"/>
        <v>1611673.3597852373</v>
      </c>
      <c r="V483" s="31">
        <f t="shared" si="142"/>
        <v>3923130.9395315698</v>
      </c>
      <c r="W483" s="42">
        <f t="shared" si="143"/>
        <v>3923407.452031102</v>
      </c>
    </row>
    <row r="484" spans="2:23" x14ac:dyDescent="0.3">
      <c r="B484" s="2">
        <v>476</v>
      </c>
      <c r="C484" s="2">
        <v>1863</v>
      </c>
      <c r="D484" s="4">
        <v>284256.54000000004</v>
      </c>
      <c r="E484" s="4">
        <f t="shared" si="126"/>
        <v>529569934.02000004</v>
      </c>
      <c r="F484" s="2">
        <f t="shared" si="127"/>
        <v>3470769</v>
      </c>
      <c r="G484" s="2">
        <f t="shared" si="128"/>
        <v>80801780532.771622</v>
      </c>
      <c r="H484" s="42">
        <f t="shared" si="129"/>
        <v>-3161.4809999999998</v>
      </c>
      <c r="I484" s="2">
        <f t="shared" si="130"/>
        <v>9994962.1133609992</v>
      </c>
      <c r="J484" s="4">
        <f t="shared" si="131"/>
        <v>-1004845.3568099991</v>
      </c>
      <c r="K484" s="2">
        <f t="shared" si="132"/>
        <v>1009714191102.6144</v>
      </c>
      <c r="L484" s="2">
        <f t="shared" si="133"/>
        <v>3176799503.4930325</v>
      </c>
      <c r="N484" s="42">
        <f t="shared" si="134"/>
        <v>488503.16026072117</v>
      </c>
      <c r="O484" s="42">
        <f t="shared" si="135"/>
        <v>640958336964.30029</v>
      </c>
      <c r="P484" s="4">
        <f t="shared" si="136"/>
        <v>-204246.62026072113</v>
      </c>
      <c r="Q484" s="4">
        <f t="shared" si="137"/>
        <v>41716681887.927223</v>
      </c>
      <c r="R484" s="43">
        <f t="shared" si="138"/>
        <v>2.2591274950112838E-3</v>
      </c>
      <c r="S484" s="4">
        <f t="shared" si="139"/>
        <v>-0.16804052722066865</v>
      </c>
      <c r="T484" s="30">
        <f t="shared" si="140"/>
        <v>374894.30878477788</v>
      </c>
      <c r="U484" s="31">
        <f t="shared" si="141"/>
        <v>602112.01173666446</v>
      </c>
      <c r="V484" s="31">
        <f t="shared" si="142"/>
        <v>2878435.0412316434</v>
      </c>
      <c r="W484" s="42">
        <f t="shared" si="143"/>
        <v>2881443.1570501048</v>
      </c>
    </row>
    <row r="485" spans="2:23" x14ac:dyDescent="0.3">
      <c r="B485" s="2">
        <v>477</v>
      </c>
      <c r="C485" s="2">
        <v>5287</v>
      </c>
      <c r="D485" s="4">
        <v>2311476.4</v>
      </c>
      <c r="E485" s="4">
        <f t="shared" si="126"/>
        <v>12220775726.799999</v>
      </c>
      <c r="F485" s="2">
        <f t="shared" si="127"/>
        <v>27952369</v>
      </c>
      <c r="G485" s="2">
        <f t="shared" si="128"/>
        <v>5342923147756.96</v>
      </c>
      <c r="H485" s="42">
        <f t="shared" si="129"/>
        <v>262.51900000000023</v>
      </c>
      <c r="I485" s="2">
        <f t="shared" si="130"/>
        <v>68916.225361000121</v>
      </c>
      <c r="J485" s="4">
        <f t="shared" si="131"/>
        <v>1022374.5031900008</v>
      </c>
      <c r="K485" s="2">
        <f t="shared" si="132"/>
        <v>1045249624773.0009</v>
      </c>
      <c r="L485" s="2">
        <f t="shared" si="133"/>
        <v>268392732.20293605</v>
      </c>
      <c r="N485" s="42">
        <f t="shared" si="134"/>
        <v>1355580.9867429072</v>
      </c>
      <c r="O485" s="42">
        <f t="shared" si="135"/>
        <v>4419469398.3076792</v>
      </c>
      <c r="P485" s="4">
        <f t="shared" si="136"/>
        <v>955895.4132570927</v>
      </c>
      <c r="Q485" s="4">
        <f t="shared" si="137"/>
        <v>913736041085.948</v>
      </c>
      <c r="R485" s="43">
        <f t="shared" si="138"/>
        <v>1.0086818052154928E-3</v>
      </c>
      <c r="S485" s="4">
        <f t="shared" si="139"/>
        <v>0.78595477907476008</v>
      </c>
      <c r="T485" s="30">
        <f t="shared" si="140"/>
        <v>1279667.508210327</v>
      </c>
      <c r="U485" s="31">
        <f t="shared" si="141"/>
        <v>1431494.4652754874</v>
      </c>
      <c r="V485" s="31">
        <f t="shared" si="142"/>
        <v>3747007.0279559693</v>
      </c>
      <c r="W485" s="42">
        <f t="shared" si="143"/>
        <v>3747027.7691998384</v>
      </c>
    </row>
    <row r="486" spans="2:23" x14ac:dyDescent="0.3">
      <c r="B486" s="2">
        <v>478</v>
      </c>
      <c r="C486" s="2">
        <v>793</v>
      </c>
      <c r="D486" s="4">
        <v>86659.040000000008</v>
      </c>
      <c r="E486" s="4">
        <f t="shared" si="126"/>
        <v>68720618.720000014</v>
      </c>
      <c r="F486" s="2">
        <f t="shared" si="127"/>
        <v>628849</v>
      </c>
      <c r="G486" s="2">
        <f t="shared" si="128"/>
        <v>7509789213.7216015</v>
      </c>
      <c r="H486" s="42">
        <f t="shared" si="129"/>
        <v>-4231.4809999999998</v>
      </c>
      <c r="I486" s="2">
        <f t="shared" si="130"/>
        <v>17905431.453360997</v>
      </c>
      <c r="J486" s="4">
        <f t="shared" si="131"/>
        <v>-1202442.8568099991</v>
      </c>
      <c r="K486" s="2">
        <f t="shared" si="132"/>
        <v>1445868823893.3921</v>
      </c>
      <c r="L486" s="2">
        <f t="shared" si="133"/>
        <v>5088114102.1772318</v>
      </c>
      <c r="N486" s="42">
        <f t="shared" si="134"/>
        <v>217541.33948503801</v>
      </c>
      <c r="O486" s="42">
        <f t="shared" si="135"/>
        <v>1148242028014.5811</v>
      </c>
      <c r="P486" s="4">
        <f t="shared" si="136"/>
        <v>-130882.29948503801</v>
      </c>
      <c r="Q486" s="4">
        <f t="shared" si="137"/>
        <v>17130176318.49118</v>
      </c>
      <c r="R486" s="43">
        <f t="shared" si="138"/>
        <v>3.2556584804687583E-3</v>
      </c>
      <c r="S486" s="4">
        <f t="shared" si="139"/>
        <v>-0.10773506188745464</v>
      </c>
      <c r="T486" s="30">
        <f t="shared" si="140"/>
        <v>81158.031757885445</v>
      </c>
      <c r="U486" s="31">
        <f t="shared" si="141"/>
        <v>353924.64721219055</v>
      </c>
      <c r="V486" s="31">
        <f t="shared" si="142"/>
        <v>2606281.7942411206</v>
      </c>
      <c r="W486" s="42">
        <f t="shared" si="143"/>
        <v>2611670.6726095648</v>
      </c>
    </row>
    <row r="487" spans="2:23" x14ac:dyDescent="0.3">
      <c r="B487" s="2">
        <v>479</v>
      </c>
      <c r="C487" s="2">
        <v>9946</v>
      </c>
      <c r="D487" s="4">
        <v>1532280.76</v>
      </c>
      <c r="E487" s="4">
        <f t="shared" si="126"/>
        <v>15240064438.960001</v>
      </c>
      <c r="F487" s="2">
        <f t="shared" si="127"/>
        <v>98922916</v>
      </c>
      <c r="G487" s="2">
        <f t="shared" si="128"/>
        <v>2347884327466.1777</v>
      </c>
      <c r="H487" s="42">
        <f t="shared" si="129"/>
        <v>4921.5190000000002</v>
      </c>
      <c r="I487" s="2">
        <f t="shared" si="130"/>
        <v>24221349.267361004</v>
      </c>
      <c r="J487" s="4">
        <f t="shared" si="131"/>
        <v>243178.86319000088</v>
      </c>
      <c r="K487" s="2">
        <f t="shared" si="132"/>
        <v>59135959502.381165</v>
      </c>
      <c r="L487" s="2">
        <f t="shared" si="133"/>
        <v>1196809395.58799</v>
      </c>
      <c r="N487" s="42">
        <f t="shared" si="134"/>
        <v>2535404.4661764661</v>
      </c>
      <c r="O487" s="42">
        <f t="shared" si="135"/>
        <v>1553270094409.4573</v>
      </c>
      <c r="P487" s="4">
        <f t="shared" si="136"/>
        <v>-1003123.7061764661</v>
      </c>
      <c r="Q487" s="4">
        <f t="shared" si="137"/>
        <v>1006257169893.209</v>
      </c>
      <c r="R487" s="43">
        <f t="shared" si="138"/>
        <v>4.0513139002335032E-3</v>
      </c>
      <c r="S487" s="4">
        <f t="shared" si="139"/>
        <v>-0.82604565428565624</v>
      </c>
      <c r="T487" s="30">
        <f t="shared" si="140"/>
        <v>2383265.7504656101</v>
      </c>
      <c r="U487" s="31">
        <f t="shared" si="141"/>
        <v>2687543.1818873221</v>
      </c>
      <c r="V487" s="31">
        <f t="shared" si="142"/>
        <v>4923193.2294461038</v>
      </c>
      <c r="W487" s="42">
        <f t="shared" si="143"/>
        <v>4930482.971344687</v>
      </c>
    </row>
    <row r="488" spans="2:23" x14ac:dyDescent="0.3">
      <c r="B488" s="2">
        <v>480</v>
      </c>
      <c r="C488" s="2">
        <v>6347</v>
      </c>
      <c r="D488" s="4">
        <v>4241509.6899999995</v>
      </c>
      <c r="E488" s="4">
        <f t="shared" si="126"/>
        <v>26920862002.429996</v>
      </c>
      <c r="F488" s="2">
        <f t="shared" si="127"/>
        <v>40284409</v>
      </c>
      <c r="G488" s="2">
        <f t="shared" si="128"/>
        <v>17990404450363.891</v>
      </c>
      <c r="H488" s="42">
        <f t="shared" si="129"/>
        <v>1322.5190000000002</v>
      </c>
      <c r="I488" s="2">
        <f t="shared" si="130"/>
        <v>1749056.5053610005</v>
      </c>
      <c r="J488" s="4">
        <f t="shared" si="131"/>
        <v>2952407.7931900006</v>
      </c>
      <c r="K488" s="2">
        <f t="shared" si="132"/>
        <v>8716711777289.0488</v>
      </c>
      <c r="L488" s="2">
        <f t="shared" si="133"/>
        <v>3904615402.241847</v>
      </c>
      <c r="N488" s="42">
        <f t="shared" si="134"/>
        <v>1624010.4540533971</v>
      </c>
      <c r="O488" s="42">
        <f t="shared" si="135"/>
        <v>112163741714.85434</v>
      </c>
      <c r="P488" s="4">
        <f t="shared" si="136"/>
        <v>2617499.2359466022</v>
      </c>
      <c r="Q488" s="4">
        <f t="shared" si="137"/>
        <v>6851302250181.0459</v>
      </c>
      <c r="R488" s="43">
        <f t="shared" si="138"/>
        <v>1.2203395181743042E-3</v>
      </c>
      <c r="S488" s="4">
        <f t="shared" si="139"/>
        <v>2.1523840104083827</v>
      </c>
      <c r="T488" s="30">
        <f t="shared" si="140"/>
        <v>1540511.2883119283</v>
      </c>
      <c r="U488" s="31">
        <f t="shared" si="141"/>
        <v>1707509.6197948658</v>
      </c>
      <c r="V488" s="31">
        <f t="shared" si="142"/>
        <v>4015183.6506527932</v>
      </c>
      <c r="W488" s="42">
        <f t="shared" si="143"/>
        <v>4015710.0522011695</v>
      </c>
    </row>
    <row r="489" spans="2:23" x14ac:dyDescent="0.3">
      <c r="B489" s="2">
        <v>481</v>
      </c>
      <c r="C489" s="2">
        <v>624</v>
      </c>
      <c r="D489" s="4">
        <v>406355.04000000004</v>
      </c>
      <c r="E489" s="4">
        <f t="shared" si="126"/>
        <v>253565544.96000004</v>
      </c>
      <c r="F489" s="2">
        <f t="shared" si="127"/>
        <v>389376</v>
      </c>
      <c r="G489" s="2">
        <f t="shared" si="128"/>
        <v>165124418533.40164</v>
      </c>
      <c r="H489" s="42">
        <f t="shared" si="129"/>
        <v>-4400.4809999999998</v>
      </c>
      <c r="I489" s="2">
        <f t="shared" si="130"/>
        <v>19364233.031360999</v>
      </c>
      <c r="J489" s="4">
        <f t="shared" si="131"/>
        <v>-882746.8568099991</v>
      </c>
      <c r="K489" s="2">
        <f t="shared" si="132"/>
        <v>779242013207.93311</v>
      </c>
      <c r="L489" s="2">
        <f t="shared" si="133"/>
        <v>3884510771.2021213</v>
      </c>
      <c r="N489" s="42">
        <f t="shared" si="134"/>
        <v>174744.56592327124</v>
      </c>
      <c r="O489" s="42">
        <f t="shared" si="135"/>
        <v>1241792260900.9924</v>
      </c>
      <c r="P489" s="4">
        <f t="shared" si="136"/>
        <v>231610.4740767288</v>
      </c>
      <c r="Q489" s="4">
        <f t="shared" si="137"/>
        <v>53643411702.047066</v>
      </c>
      <c r="R489" s="43">
        <f t="shared" si="138"/>
        <v>3.4394327815409197E-3</v>
      </c>
      <c r="S489" s="4">
        <f t="shared" si="139"/>
        <v>0.19066649565469634</v>
      </c>
      <c r="T489" s="30">
        <f t="shared" si="140"/>
        <v>34564.838270482549</v>
      </c>
      <c r="U489" s="31">
        <f t="shared" si="141"/>
        <v>314924.29357605992</v>
      </c>
      <c r="V489" s="31">
        <f t="shared" si="142"/>
        <v>2563265.2400582233</v>
      </c>
      <c r="W489" s="42">
        <f t="shared" si="143"/>
        <v>2569093.1648422973</v>
      </c>
    </row>
    <row r="490" spans="2:23" x14ac:dyDescent="0.3">
      <c r="B490" s="2">
        <v>482</v>
      </c>
      <c r="C490" s="2">
        <v>5439</v>
      </c>
      <c r="D490" s="4">
        <v>1118802.3</v>
      </c>
      <c r="E490" s="4">
        <f t="shared" si="126"/>
        <v>6085165709.6999998</v>
      </c>
      <c r="F490" s="2">
        <f t="shared" si="127"/>
        <v>29582721</v>
      </c>
      <c r="G490" s="2">
        <f t="shared" si="128"/>
        <v>1251718586485.29</v>
      </c>
      <c r="H490" s="42">
        <f t="shared" si="129"/>
        <v>414.51900000000023</v>
      </c>
      <c r="I490" s="2">
        <f t="shared" si="130"/>
        <v>171826.00136100021</v>
      </c>
      <c r="J490" s="4">
        <f t="shared" si="131"/>
        <v>-170299.59680999909</v>
      </c>
      <c r="K490" s="2">
        <f t="shared" si="132"/>
        <v>29001952673.648251</v>
      </c>
      <c r="L490" s="2">
        <f t="shared" si="133"/>
        <v>-70592418.57008405</v>
      </c>
      <c r="N490" s="42">
        <f t="shared" si="134"/>
        <v>1394072.7594138454</v>
      </c>
      <c r="O490" s="42">
        <f t="shared" si="135"/>
        <v>11018881995.795565</v>
      </c>
      <c r="P490" s="4">
        <f t="shared" si="136"/>
        <v>-275270.45941384532</v>
      </c>
      <c r="Q490" s="4">
        <f t="shared" si="137"/>
        <v>75773825825.90947</v>
      </c>
      <c r="R490" s="43">
        <f t="shared" si="138"/>
        <v>1.0216459892711618E-3</v>
      </c>
      <c r="S490" s="4">
        <f t="shared" si="139"/>
        <v>-0.22633390007424314</v>
      </c>
      <c r="T490" s="30">
        <f t="shared" si="140"/>
        <v>1317672.9956024245</v>
      </c>
      <c r="U490" s="31">
        <f t="shared" si="141"/>
        <v>1470472.5232252663</v>
      </c>
      <c r="V490" s="31">
        <f t="shared" si="142"/>
        <v>3785483.3144847336</v>
      </c>
      <c r="W490" s="42">
        <f t="shared" si="143"/>
        <v>3785535.0277783568</v>
      </c>
    </row>
    <row r="491" spans="2:23" x14ac:dyDescent="0.3">
      <c r="B491" s="2">
        <v>483</v>
      </c>
      <c r="C491" s="2">
        <v>484</v>
      </c>
      <c r="D491" s="4">
        <v>4515.72</v>
      </c>
      <c r="E491" s="4">
        <f t="shared" si="126"/>
        <v>2185608.48</v>
      </c>
      <c r="F491" s="2">
        <f t="shared" si="127"/>
        <v>234256</v>
      </c>
      <c r="G491" s="2">
        <f t="shared" si="128"/>
        <v>20391727.118400004</v>
      </c>
      <c r="H491" s="42">
        <f t="shared" si="129"/>
        <v>-4540.4809999999998</v>
      </c>
      <c r="I491" s="2">
        <f t="shared" si="130"/>
        <v>20615967.711360998</v>
      </c>
      <c r="J491" s="4">
        <f t="shared" si="131"/>
        <v>-1284586.1768099992</v>
      </c>
      <c r="K491" s="2">
        <f t="shared" si="132"/>
        <v>1650161645651.3303</v>
      </c>
      <c r="L491" s="2">
        <f t="shared" si="133"/>
        <v>5832639128.6684418</v>
      </c>
      <c r="N491" s="42">
        <f t="shared" si="134"/>
        <v>139291.61741056503</v>
      </c>
      <c r="O491" s="42">
        <f t="shared" si="135"/>
        <v>1322063678612.6047</v>
      </c>
      <c r="P491" s="4">
        <f t="shared" si="136"/>
        <v>-134775.89741056503</v>
      </c>
      <c r="Q491" s="4">
        <f t="shared" si="137"/>
        <v>18164542522.823147</v>
      </c>
      <c r="R491" s="43">
        <f t="shared" si="138"/>
        <v>3.5971215785740042E-3</v>
      </c>
      <c r="S491" s="4">
        <f t="shared" si="139"/>
        <v>-0.11095906382661939</v>
      </c>
      <c r="T491" s="30">
        <f t="shared" si="140"/>
        <v>-4065.532150835119</v>
      </c>
      <c r="U491" s="31">
        <f t="shared" si="141"/>
        <v>282648.7669719652</v>
      </c>
      <c r="V491" s="31">
        <f t="shared" si="142"/>
        <v>2527623.6911567021</v>
      </c>
      <c r="W491" s="42">
        <f t="shared" si="143"/>
        <v>2533828.3428401547</v>
      </c>
    </row>
    <row r="492" spans="2:23" x14ac:dyDescent="0.3">
      <c r="B492" s="2">
        <v>484</v>
      </c>
      <c r="C492" s="2">
        <v>7483</v>
      </c>
      <c r="D492" s="4">
        <v>1539253.0999999999</v>
      </c>
      <c r="E492" s="4">
        <f t="shared" si="126"/>
        <v>11518230947.299999</v>
      </c>
      <c r="F492" s="2">
        <f t="shared" si="127"/>
        <v>55995289</v>
      </c>
      <c r="G492" s="2">
        <f t="shared" si="128"/>
        <v>2369300105859.6094</v>
      </c>
      <c r="H492" s="42">
        <f t="shared" si="129"/>
        <v>2458.5190000000002</v>
      </c>
      <c r="I492" s="2">
        <f t="shared" si="130"/>
        <v>6044315.6733610015</v>
      </c>
      <c r="J492" s="4">
        <f t="shared" si="131"/>
        <v>250151.20319000073</v>
      </c>
      <c r="K492" s="2">
        <f t="shared" si="132"/>
        <v>62575624457.405029</v>
      </c>
      <c r="L492" s="2">
        <f t="shared" si="133"/>
        <v>615001485.91547751</v>
      </c>
      <c r="N492" s="42">
        <f t="shared" si="134"/>
        <v>1911685.807699356</v>
      </c>
      <c r="O492" s="42">
        <f t="shared" si="135"/>
        <v>387610726098.28662</v>
      </c>
      <c r="P492" s="4">
        <f t="shared" si="136"/>
        <v>-372432.70769935613</v>
      </c>
      <c r="Q492" s="4">
        <f t="shared" si="137"/>
        <v>138706121764.27405</v>
      </c>
      <c r="R492" s="43">
        <f t="shared" si="138"/>
        <v>1.7614400101309919E-3</v>
      </c>
      <c r="S492" s="4">
        <f t="shared" si="139"/>
        <v>-0.30633645475567384</v>
      </c>
      <c r="T492" s="30">
        <f t="shared" si="140"/>
        <v>1811368.5325500958</v>
      </c>
      <c r="U492" s="31">
        <f t="shared" si="141"/>
        <v>2012003.0828486162</v>
      </c>
      <c r="V492" s="31">
        <f t="shared" si="142"/>
        <v>4302212.4883957924</v>
      </c>
      <c r="W492" s="42">
        <f t="shared" si="143"/>
        <v>4304031.6047767904</v>
      </c>
    </row>
    <row r="493" spans="2:23" x14ac:dyDescent="0.3">
      <c r="B493" s="2">
        <v>485</v>
      </c>
      <c r="C493" s="2">
        <v>5191</v>
      </c>
      <c r="D493" s="4">
        <v>48432.03</v>
      </c>
      <c r="E493" s="4">
        <f t="shared" si="126"/>
        <v>251410667.72999999</v>
      </c>
      <c r="F493" s="2">
        <f t="shared" si="127"/>
        <v>26946481</v>
      </c>
      <c r="G493" s="2">
        <f t="shared" si="128"/>
        <v>2345661529.9208999</v>
      </c>
      <c r="H493" s="42">
        <f t="shared" si="129"/>
        <v>166.51900000000023</v>
      </c>
      <c r="I493" s="2">
        <f t="shared" si="130"/>
        <v>27728.577361000076</v>
      </c>
      <c r="J493" s="4">
        <f t="shared" si="131"/>
        <v>-1240669.8668099991</v>
      </c>
      <c r="K493" s="2">
        <f t="shared" si="132"/>
        <v>1539261718410.3408</v>
      </c>
      <c r="L493" s="2">
        <f t="shared" si="133"/>
        <v>-206595105.55133453</v>
      </c>
      <c r="N493" s="42">
        <f t="shared" si="134"/>
        <v>1331270.3934770515</v>
      </c>
      <c r="O493" s="42">
        <f t="shared" si="135"/>
        <v>1778182111.1592083</v>
      </c>
      <c r="P493" s="4">
        <f t="shared" si="136"/>
        <v>-1282838.3634770515</v>
      </c>
      <c r="Q493" s="4">
        <f t="shared" si="137"/>
        <v>1645674266808.4797</v>
      </c>
      <c r="R493" s="43">
        <f t="shared" si="138"/>
        <v>1.0034931412202265E-3</v>
      </c>
      <c r="S493" s="4">
        <f t="shared" si="139"/>
        <v>-1.0547705430931613</v>
      </c>
      <c r="T493" s="30">
        <f t="shared" si="140"/>
        <v>1255552.4163306453</v>
      </c>
      <c r="U493" s="31">
        <f t="shared" si="141"/>
        <v>1406988.3706234577</v>
      </c>
      <c r="V493" s="31">
        <f t="shared" si="142"/>
        <v>3722702.6326909815</v>
      </c>
      <c r="W493" s="42">
        <f t="shared" si="143"/>
        <v>3722710.9779708073</v>
      </c>
    </row>
    <row r="494" spans="2:23" x14ac:dyDescent="0.3">
      <c r="B494" s="2">
        <v>486</v>
      </c>
      <c r="C494" s="2">
        <v>4394</v>
      </c>
      <c r="D494" s="4">
        <v>2936378.38</v>
      </c>
      <c r="E494" s="4">
        <f t="shared" si="126"/>
        <v>12902446601.719999</v>
      </c>
      <c r="F494" s="2">
        <f t="shared" si="127"/>
        <v>19307236</v>
      </c>
      <c r="G494" s="2">
        <f t="shared" si="128"/>
        <v>8622317990531.4238</v>
      </c>
      <c r="H494" s="42">
        <f t="shared" si="129"/>
        <v>-630.48099999999977</v>
      </c>
      <c r="I494" s="2">
        <f t="shared" si="130"/>
        <v>397506.29136099969</v>
      </c>
      <c r="J494" s="4">
        <f t="shared" si="131"/>
        <v>1647276.4831900008</v>
      </c>
      <c r="K494" s="2">
        <f t="shared" si="132"/>
        <v>2713519812070.8169</v>
      </c>
      <c r="L494" s="2">
        <f t="shared" si="133"/>
        <v>-1038576524.3981144</v>
      </c>
      <c r="N494" s="42">
        <f t="shared" si="134"/>
        <v>1129441.8223011456</v>
      </c>
      <c r="O494" s="42">
        <f t="shared" si="135"/>
        <v>25491339392.172649</v>
      </c>
      <c r="P494" s="4">
        <f t="shared" si="136"/>
        <v>1806936.5576988542</v>
      </c>
      <c r="Q494" s="4">
        <f t="shared" si="137"/>
        <v>3265019723548.585</v>
      </c>
      <c r="R494" s="43">
        <f t="shared" si="138"/>
        <v>1.0500763379806643E-3</v>
      </c>
      <c r="S494" s="4">
        <f t="shared" si="139"/>
        <v>1.4857272328652693</v>
      </c>
      <c r="T494" s="30">
        <f t="shared" si="140"/>
        <v>1051986.3270907053</v>
      </c>
      <c r="U494" s="31">
        <f t="shared" si="141"/>
        <v>1206897.317511586</v>
      </c>
      <c r="V494" s="31">
        <f t="shared" si="142"/>
        <v>3520818.4160388615</v>
      </c>
      <c r="W494" s="42">
        <f t="shared" si="143"/>
        <v>3520938.0507821753</v>
      </c>
    </row>
    <row r="495" spans="2:23" x14ac:dyDescent="0.3">
      <c r="B495" s="2">
        <v>487</v>
      </c>
      <c r="C495" s="2">
        <v>2909</v>
      </c>
      <c r="D495" s="4">
        <v>317895.52</v>
      </c>
      <c r="E495" s="4">
        <f t="shared" si="126"/>
        <v>924758067.68000007</v>
      </c>
      <c r="F495" s="2">
        <f t="shared" si="127"/>
        <v>8462281</v>
      </c>
      <c r="G495" s="2">
        <f t="shared" si="128"/>
        <v>101057561636.07042</v>
      </c>
      <c r="H495" s="42">
        <f t="shared" si="129"/>
        <v>-2115.4809999999998</v>
      </c>
      <c r="I495" s="2">
        <f t="shared" si="130"/>
        <v>4475259.8613609988</v>
      </c>
      <c r="J495" s="4">
        <f t="shared" si="131"/>
        <v>-971206.37680999911</v>
      </c>
      <c r="K495" s="2">
        <f t="shared" si="132"/>
        <v>943241826356.40601</v>
      </c>
      <c r="L495" s="2">
        <f t="shared" si="133"/>
        <v>2054568637.2203934</v>
      </c>
      <c r="N495" s="42">
        <f t="shared" si="134"/>
        <v>753387.33271994046</v>
      </c>
      <c r="O495" s="42">
        <f t="shared" si="135"/>
        <v>286990094178.2016</v>
      </c>
      <c r="P495" s="4">
        <f t="shared" si="136"/>
        <v>-435491.81271994044</v>
      </c>
      <c r="Q495" s="4">
        <f t="shared" si="137"/>
        <v>189653118946.09967</v>
      </c>
      <c r="R495" s="43">
        <f t="shared" si="138"/>
        <v>1.5637762979839017E-3</v>
      </c>
      <c r="S495" s="4">
        <f t="shared" si="139"/>
        <v>-0.35816889617576331</v>
      </c>
      <c r="T495" s="30">
        <f t="shared" si="140"/>
        <v>658866.15768558392</v>
      </c>
      <c r="U495" s="31">
        <f t="shared" si="141"/>
        <v>847908.507754297</v>
      </c>
      <c r="V495" s="31">
        <f t="shared" si="142"/>
        <v>3144150.2055881424</v>
      </c>
      <c r="W495" s="42">
        <f t="shared" si="143"/>
        <v>3145497.0939204106</v>
      </c>
    </row>
    <row r="496" spans="2:23" x14ac:dyDescent="0.3">
      <c r="B496" s="2">
        <v>488</v>
      </c>
      <c r="C496" s="2">
        <v>585</v>
      </c>
      <c r="D496" s="4">
        <v>90125.1</v>
      </c>
      <c r="E496" s="4">
        <f t="shared" si="126"/>
        <v>52723183.5</v>
      </c>
      <c r="F496" s="2">
        <f t="shared" si="127"/>
        <v>342225</v>
      </c>
      <c r="G496" s="2">
        <f t="shared" si="128"/>
        <v>8122533650.0100012</v>
      </c>
      <c r="H496" s="42">
        <f t="shared" si="129"/>
        <v>-4439.4809999999998</v>
      </c>
      <c r="I496" s="2">
        <f t="shared" si="130"/>
        <v>19708991.549360998</v>
      </c>
      <c r="J496" s="4">
        <f t="shared" si="131"/>
        <v>-1198976.796809999</v>
      </c>
      <c r="K496" s="2">
        <f t="shared" si="132"/>
        <v>1437545359288.7656</v>
      </c>
      <c r="L496" s="2">
        <f t="shared" si="133"/>
        <v>5322834708.8788509</v>
      </c>
      <c r="N496" s="42">
        <f t="shared" si="134"/>
        <v>164868.38740901736</v>
      </c>
      <c r="O496" s="42">
        <f t="shared" si="135"/>
        <v>1263900983660.0471</v>
      </c>
      <c r="P496" s="4">
        <f t="shared" si="136"/>
        <v>-74743.287409017357</v>
      </c>
      <c r="Q496" s="4">
        <f t="shared" si="137"/>
        <v>5586559012.7069731</v>
      </c>
      <c r="R496" s="43">
        <f t="shared" si="138"/>
        <v>3.4828641546896838E-3</v>
      </c>
      <c r="S496" s="4">
        <f t="shared" si="139"/>
        <v>-6.1531548994757976E-2</v>
      </c>
      <c r="T496" s="30">
        <f t="shared" si="140"/>
        <v>23806.377823152114</v>
      </c>
      <c r="U496" s="31">
        <f t="shared" si="141"/>
        <v>305930.39699488261</v>
      </c>
      <c r="V496" s="31">
        <f t="shared" si="142"/>
        <v>2553337.1178441662</v>
      </c>
      <c r="W496" s="42">
        <f t="shared" si="143"/>
        <v>2559268.8024710212</v>
      </c>
    </row>
    <row r="497" spans="2:23" x14ac:dyDescent="0.3">
      <c r="B497" s="2">
        <v>489</v>
      </c>
      <c r="C497" s="2">
        <v>4302</v>
      </c>
      <c r="D497" s="4">
        <v>470122.56</v>
      </c>
      <c r="E497" s="4">
        <f t="shared" si="126"/>
        <v>2022467253.1199999</v>
      </c>
      <c r="F497" s="2">
        <f t="shared" si="127"/>
        <v>18507204</v>
      </c>
      <c r="G497" s="2">
        <f t="shared" si="128"/>
        <v>221015221420.95358</v>
      </c>
      <c r="H497" s="42">
        <f t="shared" si="129"/>
        <v>-722.48099999999977</v>
      </c>
      <c r="I497" s="2">
        <f t="shared" si="130"/>
        <v>521978.79536099965</v>
      </c>
      <c r="J497" s="4">
        <f t="shared" si="131"/>
        <v>-818979.33680999908</v>
      </c>
      <c r="K497" s="2">
        <f t="shared" si="132"/>
        <v>670727154121.74585</v>
      </c>
      <c r="L497" s="2">
        <f t="shared" si="133"/>
        <v>591697010.2378248</v>
      </c>
      <c r="N497" s="42">
        <f t="shared" si="134"/>
        <v>1106144.170421367</v>
      </c>
      <c r="O497" s="42">
        <f t="shared" si="135"/>
        <v>33473529645.297562</v>
      </c>
      <c r="P497" s="4">
        <f t="shared" si="136"/>
        <v>-636021.61042136699</v>
      </c>
      <c r="Q497" s="4">
        <f t="shared" si="137"/>
        <v>404523488922.98914</v>
      </c>
      <c r="R497" s="43">
        <f t="shared" si="138"/>
        <v>1.0657569128924786E-3</v>
      </c>
      <c r="S497" s="4">
        <f t="shared" si="139"/>
        <v>-0.52296359817324489</v>
      </c>
      <c r="T497" s="30">
        <f t="shared" si="140"/>
        <v>1028112.50467552</v>
      </c>
      <c r="U497" s="31">
        <f t="shared" si="141"/>
        <v>1184175.836167214</v>
      </c>
      <c r="V497" s="31">
        <f t="shared" si="142"/>
        <v>3497502.0327991047</v>
      </c>
      <c r="W497" s="42">
        <f t="shared" si="143"/>
        <v>3497659.1291786325</v>
      </c>
    </row>
    <row r="498" spans="2:23" x14ac:dyDescent="0.3">
      <c r="B498" s="2">
        <v>490</v>
      </c>
      <c r="C498" s="2">
        <v>2971</v>
      </c>
      <c r="D498" s="4">
        <v>242819.83000000002</v>
      </c>
      <c r="E498" s="4">
        <f t="shared" si="126"/>
        <v>721417714.93000007</v>
      </c>
      <c r="F498" s="2">
        <f t="shared" si="127"/>
        <v>8826841</v>
      </c>
      <c r="G498" s="2">
        <f t="shared" si="128"/>
        <v>58961469841.228905</v>
      </c>
      <c r="H498" s="42">
        <f t="shared" si="129"/>
        <v>-2053.4809999999998</v>
      </c>
      <c r="I498" s="2">
        <f t="shared" si="130"/>
        <v>4216784.2173609994</v>
      </c>
      <c r="J498" s="4">
        <f t="shared" si="131"/>
        <v>-1046282.0668099991</v>
      </c>
      <c r="K498" s="2">
        <f t="shared" si="132"/>
        <v>1094706163328.2034</v>
      </c>
      <c r="L498" s="2">
        <f t="shared" si="133"/>
        <v>2148520344.8350635</v>
      </c>
      <c r="N498" s="42">
        <f t="shared" si="134"/>
        <v>769087.92420413881</v>
      </c>
      <c r="O498" s="42">
        <f t="shared" si="135"/>
        <v>270414531705.32846</v>
      </c>
      <c r="P498" s="4">
        <f t="shared" si="136"/>
        <v>-526268.09420413873</v>
      </c>
      <c r="Q498" s="4">
        <f t="shared" si="137"/>
        <v>276958106977.25623</v>
      </c>
      <c r="R498" s="43">
        <f t="shared" si="138"/>
        <v>1.5312145147114982E-3</v>
      </c>
      <c r="S498" s="4">
        <f t="shared" si="139"/>
        <v>-0.43282051079950551</v>
      </c>
      <c r="T498" s="30">
        <f t="shared" si="140"/>
        <v>675556.01112930349</v>
      </c>
      <c r="U498" s="31">
        <f t="shared" si="141"/>
        <v>862619.83727897413</v>
      </c>
      <c r="V498" s="31">
        <f t="shared" si="142"/>
        <v>3159889.7035349673</v>
      </c>
      <c r="W498" s="42">
        <f t="shared" si="143"/>
        <v>3161158.8002159959</v>
      </c>
    </row>
    <row r="499" spans="2:23" x14ac:dyDescent="0.3">
      <c r="B499" s="2">
        <v>491</v>
      </c>
      <c r="C499" s="2">
        <v>2534</v>
      </c>
      <c r="D499" s="4">
        <v>646879.52</v>
      </c>
      <c r="E499" s="4">
        <f t="shared" si="126"/>
        <v>1639192703.6800001</v>
      </c>
      <c r="F499" s="2">
        <f t="shared" si="127"/>
        <v>6421156</v>
      </c>
      <c r="G499" s="2">
        <f t="shared" si="128"/>
        <v>418453113395.43042</v>
      </c>
      <c r="H499" s="42">
        <f t="shared" si="129"/>
        <v>-2490.4809999999998</v>
      </c>
      <c r="I499" s="2">
        <f t="shared" si="130"/>
        <v>6202495.6113609988</v>
      </c>
      <c r="J499" s="4">
        <f t="shared" si="131"/>
        <v>-642222.37680999911</v>
      </c>
      <c r="K499" s="2">
        <f t="shared" si="132"/>
        <v>412449581275.4845</v>
      </c>
      <c r="L499" s="2">
        <f t="shared" si="133"/>
        <v>1599442627.2201433</v>
      </c>
      <c r="N499" s="42">
        <f t="shared" si="134"/>
        <v>658424.07777519163</v>
      </c>
      <c r="O499" s="42">
        <f t="shared" si="135"/>
        <v>397754511422.5014</v>
      </c>
      <c r="P499" s="4">
        <f t="shared" si="136"/>
        <v>-11544.557775191613</v>
      </c>
      <c r="Q499" s="4">
        <f t="shared" si="137"/>
        <v>133276814.22473714</v>
      </c>
      <c r="R499" s="43">
        <f t="shared" si="138"/>
        <v>1.7813669199917841E-3</v>
      </c>
      <c r="S499" s="4">
        <f t="shared" si="139"/>
        <v>-9.4958206572978709E-3</v>
      </c>
      <c r="T499" s="30">
        <f t="shared" si="140"/>
        <v>557540.96120992303</v>
      </c>
      <c r="U499" s="31">
        <f t="shared" si="141"/>
        <v>759307.19434046024</v>
      </c>
      <c r="V499" s="31">
        <f t="shared" si="142"/>
        <v>3048926.9461288303</v>
      </c>
      <c r="W499" s="42">
        <f t="shared" si="143"/>
        <v>3050793.6688519167</v>
      </c>
    </row>
    <row r="500" spans="2:23" x14ac:dyDescent="0.3">
      <c r="B500" s="2">
        <v>492</v>
      </c>
      <c r="C500" s="2">
        <v>965</v>
      </c>
      <c r="D500" s="4">
        <v>78869.45</v>
      </c>
      <c r="E500" s="4">
        <f t="shared" si="126"/>
        <v>76109019.25</v>
      </c>
      <c r="F500" s="2">
        <f t="shared" si="127"/>
        <v>931225</v>
      </c>
      <c r="G500" s="2">
        <f t="shared" si="128"/>
        <v>6220390143.3024998</v>
      </c>
      <c r="H500" s="42">
        <f t="shared" si="129"/>
        <v>-4059.4809999999998</v>
      </c>
      <c r="I500" s="2">
        <f t="shared" si="130"/>
        <v>16479385.989360997</v>
      </c>
      <c r="J500" s="4">
        <f t="shared" si="131"/>
        <v>-1210232.4468099992</v>
      </c>
      <c r="K500" s="2">
        <f t="shared" si="132"/>
        <v>1464662575311.7175</v>
      </c>
      <c r="L500" s="2">
        <f t="shared" si="133"/>
        <v>4912915623.4087019</v>
      </c>
      <c r="N500" s="42">
        <f t="shared" si="134"/>
        <v>261097.81908636278</v>
      </c>
      <c r="O500" s="42">
        <f t="shared" si="135"/>
        <v>1056792383816.4241</v>
      </c>
      <c r="P500" s="4">
        <f t="shared" si="136"/>
        <v>-182228.36908636277</v>
      </c>
      <c r="Q500" s="4">
        <f t="shared" si="137"/>
        <v>33207178499.875656</v>
      </c>
      <c r="R500" s="43">
        <f t="shared" si="138"/>
        <v>3.0760106706528264E-3</v>
      </c>
      <c r="S500" s="4">
        <f t="shared" si="139"/>
        <v>-0.14998678751908714</v>
      </c>
      <c r="T500" s="30">
        <f t="shared" si="140"/>
        <v>128530.73077029234</v>
      </c>
      <c r="U500" s="31">
        <f t="shared" si="141"/>
        <v>393664.90740243322</v>
      </c>
      <c r="V500" s="31">
        <f t="shared" si="142"/>
        <v>2650053.0999382865</v>
      </c>
      <c r="W500" s="42">
        <f t="shared" si="143"/>
        <v>2655012.7904262585</v>
      </c>
    </row>
    <row r="501" spans="2:23" x14ac:dyDescent="0.3">
      <c r="B501" s="2">
        <v>493</v>
      </c>
      <c r="C501" s="2">
        <v>3269</v>
      </c>
      <c r="D501" s="4">
        <v>1429206.8</v>
      </c>
      <c r="E501" s="4">
        <f t="shared" si="126"/>
        <v>4672077029.1999998</v>
      </c>
      <c r="F501" s="2">
        <f t="shared" si="127"/>
        <v>10686361</v>
      </c>
      <c r="G501" s="2">
        <f t="shared" si="128"/>
        <v>2042632077166.2402</v>
      </c>
      <c r="H501" s="42">
        <f t="shared" si="129"/>
        <v>-1755.4809999999998</v>
      </c>
      <c r="I501" s="2">
        <f t="shared" si="130"/>
        <v>3081713.541360999</v>
      </c>
      <c r="J501" s="4">
        <f t="shared" si="131"/>
        <v>140104.90319000091</v>
      </c>
      <c r="K501" s="2">
        <f t="shared" si="132"/>
        <v>19629383897.879528</v>
      </c>
      <c r="L501" s="2">
        <f t="shared" si="133"/>
        <v>-245951495.55688596</v>
      </c>
      <c r="N501" s="42">
        <f t="shared" si="134"/>
        <v>844552.05746689928</v>
      </c>
      <c r="O501" s="42">
        <f t="shared" si="135"/>
        <v>197624559659.97589</v>
      </c>
      <c r="P501" s="4">
        <f t="shared" si="136"/>
        <v>584654.74253310077</v>
      </c>
      <c r="Q501" s="4">
        <f t="shared" si="137"/>
        <v>341821167966.44635</v>
      </c>
      <c r="R501" s="43">
        <f t="shared" si="138"/>
        <v>1.3882226073162584E-3</v>
      </c>
      <c r="S501" s="4">
        <f t="shared" si="139"/>
        <v>0.48080521924170411</v>
      </c>
      <c r="T501" s="30">
        <f t="shared" si="140"/>
        <v>755494.3820313334</v>
      </c>
      <c r="U501" s="31">
        <f t="shared" si="141"/>
        <v>933609.73290246516</v>
      </c>
      <c r="V501" s="31">
        <f t="shared" si="142"/>
        <v>3235524.6832535081</v>
      </c>
      <c r="W501" s="42">
        <f t="shared" si="143"/>
        <v>3236452.1654677913</v>
      </c>
    </row>
    <row r="502" spans="2:23" x14ac:dyDescent="0.3">
      <c r="B502" s="2">
        <v>494</v>
      </c>
      <c r="C502" s="2">
        <v>6482</v>
      </c>
      <c r="D502" s="4">
        <v>60477.06</v>
      </c>
      <c r="E502" s="4">
        <f t="shared" si="126"/>
        <v>392012302.91999996</v>
      </c>
      <c r="F502" s="2">
        <f t="shared" si="127"/>
        <v>42016324</v>
      </c>
      <c r="G502" s="2">
        <f t="shared" si="128"/>
        <v>3657474786.2435999</v>
      </c>
      <c r="H502" s="42">
        <f t="shared" si="129"/>
        <v>1457.5190000000002</v>
      </c>
      <c r="I502" s="2">
        <f t="shared" si="130"/>
        <v>2124361.6353610009</v>
      </c>
      <c r="J502" s="4">
        <f t="shared" si="131"/>
        <v>-1228624.8368099991</v>
      </c>
      <c r="K502" s="2">
        <f t="shared" si="132"/>
        <v>1509518989626.397</v>
      </c>
      <c r="L502" s="2">
        <f t="shared" si="133"/>
        <v>-1790744043.5224733</v>
      </c>
      <c r="N502" s="42">
        <f t="shared" si="134"/>
        <v>1658197.2258335068</v>
      </c>
      <c r="O502" s="42">
        <f t="shared" si="135"/>
        <v>136231361906.97137</v>
      </c>
      <c r="P502" s="4">
        <f t="shared" si="136"/>
        <v>-1597720.1658335067</v>
      </c>
      <c r="Q502" s="4">
        <f t="shared" si="137"/>
        <v>2552709728311.0483</v>
      </c>
      <c r="R502" s="43">
        <f t="shared" si="138"/>
        <v>1.2676190378805453E-3</v>
      </c>
      <c r="S502" s="4">
        <f t="shared" si="139"/>
        <v>-1.3138451725146381</v>
      </c>
      <c r="T502" s="30">
        <f t="shared" si="140"/>
        <v>1573095.9295735536</v>
      </c>
      <c r="U502" s="31">
        <f t="shared" si="141"/>
        <v>1743298.52209346</v>
      </c>
      <c r="V502" s="31">
        <f t="shared" si="142"/>
        <v>4049313.9390430003</v>
      </c>
      <c r="W502" s="42">
        <f t="shared" si="143"/>
        <v>4049953.2936058491</v>
      </c>
    </row>
    <row r="503" spans="2:23" x14ac:dyDescent="0.3">
      <c r="B503" s="2">
        <v>495</v>
      </c>
      <c r="C503" s="2">
        <v>4671</v>
      </c>
      <c r="D503" s="4">
        <v>3041801.91</v>
      </c>
      <c r="E503" s="4">
        <f t="shared" si="126"/>
        <v>14208256721.610001</v>
      </c>
      <c r="F503" s="2">
        <f t="shared" si="127"/>
        <v>21818241</v>
      </c>
      <c r="G503" s="2">
        <f t="shared" si="128"/>
        <v>9252558859679.6484</v>
      </c>
      <c r="H503" s="42">
        <f t="shared" si="129"/>
        <v>-353.48099999999977</v>
      </c>
      <c r="I503" s="2">
        <f t="shared" si="130"/>
        <v>124948.81736099983</v>
      </c>
      <c r="J503" s="4">
        <f t="shared" si="131"/>
        <v>1752700.013190001</v>
      </c>
      <c r="K503" s="2">
        <f t="shared" si="132"/>
        <v>3071957336236.23</v>
      </c>
      <c r="L503" s="2">
        <f t="shared" si="133"/>
        <v>-619546153.36241436</v>
      </c>
      <c r="N503" s="42">
        <f t="shared" si="134"/>
        <v>1199588.0132869999</v>
      </c>
      <c r="O503" s="42">
        <f t="shared" si="135"/>
        <v>8012735343.3690748</v>
      </c>
      <c r="P503" s="4">
        <f t="shared" si="136"/>
        <v>1842213.8967130003</v>
      </c>
      <c r="Q503" s="4">
        <f t="shared" si="137"/>
        <v>3393752041242.4966</v>
      </c>
      <c r="R503" s="43">
        <f t="shared" si="138"/>
        <v>1.0157405790661347E-3</v>
      </c>
      <c r="S503" s="4">
        <f t="shared" si="139"/>
        <v>1.5147074789708797</v>
      </c>
      <c r="T503" s="30">
        <f t="shared" si="140"/>
        <v>1123409.3758818593</v>
      </c>
      <c r="U503" s="31">
        <f t="shared" si="141"/>
        <v>1275766.6506921405</v>
      </c>
      <c r="V503" s="31">
        <f t="shared" si="142"/>
        <v>3591005.6225760989</v>
      </c>
      <c r="W503" s="42">
        <f t="shared" si="143"/>
        <v>3591043.2275650338</v>
      </c>
    </row>
    <row r="504" spans="2:23" x14ac:dyDescent="0.3">
      <c r="B504" s="2">
        <v>496</v>
      </c>
      <c r="C504" s="2">
        <v>3935</v>
      </c>
      <c r="D504" s="4">
        <v>809429.5</v>
      </c>
      <c r="E504" s="4">
        <f t="shared" si="126"/>
        <v>3185105082.5</v>
      </c>
      <c r="F504" s="2">
        <f t="shared" si="127"/>
        <v>15484225</v>
      </c>
      <c r="G504" s="2">
        <f t="shared" si="128"/>
        <v>655176115470.25</v>
      </c>
      <c r="H504" s="42">
        <f t="shared" si="129"/>
        <v>-1089.4809999999998</v>
      </c>
      <c r="I504" s="2">
        <f t="shared" si="130"/>
        <v>1186968.8493609994</v>
      </c>
      <c r="J504" s="4">
        <f t="shared" si="131"/>
        <v>-479672.39680999913</v>
      </c>
      <c r="K504" s="2">
        <f t="shared" si="132"/>
        <v>230085608261.44928</v>
      </c>
      <c r="L504" s="2">
        <f t="shared" si="133"/>
        <v>522593962.54895455</v>
      </c>
      <c r="N504" s="42">
        <f t="shared" si="134"/>
        <v>1013206.798248773</v>
      </c>
      <c r="O504" s="42">
        <f t="shared" si="135"/>
        <v>76118105410.108688</v>
      </c>
      <c r="P504" s="4">
        <f t="shared" si="136"/>
        <v>-203777.29824877298</v>
      </c>
      <c r="Q504" s="4">
        <f t="shared" si="137"/>
        <v>41525187281.569374</v>
      </c>
      <c r="R504" s="43">
        <f t="shared" si="138"/>
        <v>1.1495298428349692E-3</v>
      </c>
      <c r="S504" s="4">
        <f t="shared" si="139"/>
        <v>-0.16756125291466256</v>
      </c>
      <c r="T504" s="30">
        <f t="shared" si="140"/>
        <v>932166.33330712118</v>
      </c>
      <c r="U504" s="31">
        <f t="shared" si="141"/>
        <v>1094247.2631904248</v>
      </c>
      <c r="V504" s="31">
        <f t="shared" si="142"/>
        <v>3404464.5864968188</v>
      </c>
      <c r="W504" s="42">
        <f t="shared" si="143"/>
        <v>3404821.8203747529</v>
      </c>
    </row>
    <row r="505" spans="2:23" x14ac:dyDescent="0.3">
      <c r="B505" s="2">
        <v>497</v>
      </c>
      <c r="C505" s="2">
        <v>7404</v>
      </c>
      <c r="D505" s="4">
        <v>1129702.32</v>
      </c>
      <c r="E505" s="4">
        <f t="shared" si="126"/>
        <v>8364315977.2800007</v>
      </c>
      <c r="F505" s="2">
        <f t="shared" si="127"/>
        <v>54819216</v>
      </c>
      <c r="G505" s="2">
        <f t="shared" si="128"/>
        <v>1276227331813.3826</v>
      </c>
      <c r="H505" s="42">
        <f t="shared" si="129"/>
        <v>2379.5190000000002</v>
      </c>
      <c r="I505" s="2">
        <f t="shared" si="130"/>
        <v>5662110.6713610012</v>
      </c>
      <c r="J505" s="4">
        <f t="shared" si="131"/>
        <v>-159399.57680999907</v>
      </c>
      <c r="K505" s="2">
        <f t="shared" si="132"/>
        <v>25408225087.206791</v>
      </c>
      <c r="L505" s="2">
        <f t="shared" si="133"/>
        <v>-379294321.61135221</v>
      </c>
      <c r="N505" s="42">
        <f t="shared" si="134"/>
        <v>1891680.215324329</v>
      </c>
      <c r="O505" s="42">
        <f t="shared" si="135"/>
        <v>363100629943.55713</v>
      </c>
      <c r="P505" s="4">
        <f t="shared" si="136"/>
        <v>-761977.89532432891</v>
      </c>
      <c r="Q505" s="4">
        <f t="shared" si="137"/>
        <v>580610312962.89392</v>
      </c>
      <c r="R505" s="43">
        <f t="shared" si="138"/>
        <v>1.7132912706669646E-3</v>
      </c>
      <c r="S505" s="4">
        <f t="shared" si="139"/>
        <v>-0.62673329447206794</v>
      </c>
      <c r="T505" s="30">
        <f t="shared" si="140"/>
        <v>1792743.5200400904</v>
      </c>
      <c r="U505" s="31">
        <f t="shared" si="141"/>
        <v>1990616.9106085675</v>
      </c>
      <c r="V505" s="31">
        <f t="shared" si="142"/>
        <v>4282264.4320255788</v>
      </c>
      <c r="W505" s="42">
        <f t="shared" si="143"/>
        <v>4283968.5187640414</v>
      </c>
    </row>
    <row r="506" spans="2:23" x14ac:dyDescent="0.3">
      <c r="B506" s="2">
        <v>498</v>
      </c>
      <c r="C506" s="2">
        <v>239</v>
      </c>
      <c r="D506" s="4">
        <v>159716.53</v>
      </c>
      <c r="E506" s="4">
        <f t="shared" si="126"/>
        <v>38172250.670000002</v>
      </c>
      <c r="F506" s="2">
        <f t="shared" si="127"/>
        <v>57121</v>
      </c>
      <c r="G506" s="2">
        <f t="shared" si="128"/>
        <v>25509369955.240898</v>
      </c>
      <c r="H506" s="42">
        <f t="shared" si="129"/>
        <v>-4785.4809999999998</v>
      </c>
      <c r="I506" s="2">
        <f t="shared" si="130"/>
        <v>22900828.401360996</v>
      </c>
      <c r="J506" s="4">
        <f t="shared" si="131"/>
        <v>-1129385.3668099991</v>
      </c>
      <c r="K506" s="2">
        <f t="shared" si="132"/>
        <v>1275511306764.5562</v>
      </c>
      <c r="L506" s="2">
        <f t="shared" si="133"/>
        <v>5404652214.5472813</v>
      </c>
      <c r="N506" s="42">
        <f t="shared" si="134"/>
        <v>77248.957513329166</v>
      </c>
      <c r="O506" s="42">
        <f t="shared" si="135"/>
        <v>1468587546481.9785</v>
      </c>
      <c r="P506" s="4">
        <f t="shared" si="136"/>
        <v>82467.572486670833</v>
      </c>
      <c r="Q506" s="4">
        <f t="shared" si="137"/>
        <v>6800900511.8443079</v>
      </c>
      <c r="R506" s="43">
        <f t="shared" si="138"/>
        <v>3.8849596798514112E-3</v>
      </c>
      <c r="S506" s="4">
        <f t="shared" si="139"/>
        <v>6.7904178644156488E-2</v>
      </c>
      <c r="T506" s="30">
        <f t="shared" si="140"/>
        <v>-71733.473533259094</v>
      </c>
      <c r="U506" s="31">
        <f t="shared" si="141"/>
        <v>226231.38855991742</v>
      </c>
      <c r="V506" s="31">
        <f t="shared" si="142"/>
        <v>2465236.7301064683</v>
      </c>
      <c r="W506" s="42">
        <f t="shared" si="143"/>
        <v>2472129.0425825682</v>
      </c>
    </row>
    <row r="507" spans="2:23" x14ac:dyDescent="0.3">
      <c r="B507" s="2">
        <v>499</v>
      </c>
      <c r="C507" s="2">
        <v>4633</v>
      </c>
      <c r="D507" s="4">
        <v>953008.1</v>
      </c>
      <c r="E507" s="4">
        <f t="shared" si="126"/>
        <v>4415286527.3000002</v>
      </c>
      <c r="F507" s="2">
        <f t="shared" si="127"/>
        <v>21464689</v>
      </c>
      <c r="G507" s="2">
        <f t="shared" si="128"/>
        <v>908224438665.60999</v>
      </c>
      <c r="H507" s="42">
        <f t="shared" si="129"/>
        <v>-391.48099999999977</v>
      </c>
      <c r="I507" s="2">
        <f t="shared" si="130"/>
        <v>153257.37336099983</v>
      </c>
      <c r="J507" s="4">
        <f t="shared" si="131"/>
        <v>-336093.79680999916</v>
      </c>
      <c r="K507" s="2">
        <f t="shared" si="132"/>
        <v>112959040254.161</v>
      </c>
      <c r="L507" s="2">
        <f t="shared" si="133"/>
        <v>131574335.6689752</v>
      </c>
      <c r="N507" s="42">
        <f t="shared" si="134"/>
        <v>1189965.0701192655</v>
      </c>
      <c r="O507" s="42">
        <f t="shared" si="135"/>
        <v>9828110406.3085632</v>
      </c>
      <c r="P507" s="4">
        <f t="shared" si="136"/>
        <v>-236956.97011926549</v>
      </c>
      <c r="Q507" s="4">
        <f t="shared" si="137"/>
        <v>56148605688.102478</v>
      </c>
      <c r="R507" s="43">
        <f t="shared" si="138"/>
        <v>1.0193067838000192E-3</v>
      </c>
      <c r="S507" s="4">
        <f t="shared" si="139"/>
        <v>-0.1948314124210915</v>
      </c>
      <c r="T507" s="30">
        <f t="shared" si="140"/>
        <v>1113652.8205559014</v>
      </c>
      <c r="U507" s="31">
        <f t="shared" si="141"/>
        <v>1266277.3196826295</v>
      </c>
      <c r="V507" s="31">
        <f t="shared" si="142"/>
        <v>3581378.4194550663</v>
      </c>
      <c r="W507" s="42">
        <f t="shared" si="143"/>
        <v>3581424.5442760228</v>
      </c>
    </row>
    <row r="508" spans="2:23" x14ac:dyDescent="0.3">
      <c r="B508" s="2">
        <v>500</v>
      </c>
      <c r="C508" s="2">
        <v>4808</v>
      </c>
      <c r="D508" s="4">
        <v>989005.6</v>
      </c>
      <c r="E508" s="4">
        <f t="shared" si="126"/>
        <v>4755138924.8000002</v>
      </c>
      <c r="F508" s="2">
        <f t="shared" si="127"/>
        <v>23116864</v>
      </c>
      <c r="G508" s="2">
        <f t="shared" si="128"/>
        <v>978132076831.35999</v>
      </c>
      <c r="H508" s="42">
        <f t="shared" si="129"/>
        <v>-216.48099999999977</v>
      </c>
      <c r="I508" s="2">
        <f t="shared" si="130"/>
        <v>46864.023360999898</v>
      </c>
      <c r="J508" s="4">
        <f t="shared" si="131"/>
        <v>-300096.29680999916</v>
      </c>
      <c r="K508" s="2">
        <f t="shared" si="132"/>
        <v>90057787359.075104</v>
      </c>
      <c r="L508" s="2">
        <f t="shared" si="133"/>
        <v>64965146.429725356</v>
      </c>
      <c r="N508" s="42">
        <f t="shared" si="134"/>
        <v>1234281.2557601482</v>
      </c>
      <c r="O508" s="42">
        <f t="shared" si="135"/>
        <v>3005302685.1166048</v>
      </c>
      <c r="P508" s="4">
        <f t="shared" si="136"/>
        <v>-245275.65576014819</v>
      </c>
      <c r="Q508" s="4">
        <f t="shared" si="137"/>
        <v>60160147308.570717</v>
      </c>
      <c r="R508" s="43">
        <f t="shared" si="138"/>
        <v>1.0059037522775404E-3</v>
      </c>
      <c r="S508" s="4">
        <f t="shared" si="139"/>
        <v>-0.20166987216555762</v>
      </c>
      <c r="T508" s="30">
        <f t="shared" si="140"/>
        <v>1158472.3875554621</v>
      </c>
      <c r="U508" s="31">
        <f t="shared" si="141"/>
        <v>1310090.1239648343</v>
      </c>
      <c r="V508" s="31">
        <f t="shared" si="142"/>
        <v>3625710.6154353237</v>
      </c>
      <c r="W508" s="42">
        <f t="shared" si="143"/>
        <v>3625724.7197791426</v>
      </c>
    </row>
    <row r="509" spans="2:23" x14ac:dyDescent="0.3">
      <c r="B509" s="2">
        <v>501</v>
      </c>
      <c r="C509" s="2">
        <v>2021</v>
      </c>
      <c r="D509" s="4">
        <v>308364.18000000005</v>
      </c>
      <c r="E509" s="4">
        <f t="shared" si="126"/>
        <v>623204007.78000009</v>
      </c>
      <c r="F509" s="2">
        <f t="shared" si="127"/>
        <v>4084441</v>
      </c>
      <c r="G509" s="2">
        <f t="shared" si="128"/>
        <v>95088467507.072433</v>
      </c>
      <c r="H509" s="42">
        <f t="shared" si="129"/>
        <v>-3003.4809999999998</v>
      </c>
      <c r="I509" s="2">
        <f t="shared" si="130"/>
        <v>9020898.1173609979</v>
      </c>
      <c r="J509" s="4">
        <f t="shared" si="131"/>
        <v>-980737.71680999908</v>
      </c>
      <c r="K509" s="2">
        <f t="shared" si="132"/>
        <v>961846469173.68994</v>
      </c>
      <c r="L509" s="2">
        <f t="shared" si="133"/>
        <v>2945627098.4222126</v>
      </c>
      <c r="N509" s="42">
        <f t="shared" si="134"/>
        <v>528514.34501077537</v>
      </c>
      <c r="O509" s="42">
        <f t="shared" si="135"/>
        <v>578493423951.93689</v>
      </c>
      <c r="P509" s="4">
        <f t="shared" si="136"/>
        <v>-220150.16501077532</v>
      </c>
      <c r="Q509" s="4">
        <f t="shared" si="137"/>
        <v>48466095154.271606</v>
      </c>
      <c r="R509" s="43">
        <f t="shared" si="138"/>
        <v>2.1364185997344671E-3</v>
      </c>
      <c r="S509" s="4">
        <f t="shared" si="139"/>
        <v>-0.18111376855988318</v>
      </c>
      <c r="T509" s="30">
        <f t="shared" si="140"/>
        <v>418034.01218301273</v>
      </c>
      <c r="U509" s="31">
        <f t="shared" si="141"/>
        <v>638994.67783853807</v>
      </c>
      <c r="V509" s="31">
        <f t="shared" si="142"/>
        <v>2918592.8924382785</v>
      </c>
      <c r="W509" s="42">
        <f t="shared" si="143"/>
        <v>2921307.8507363377</v>
      </c>
    </row>
    <row r="510" spans="2:23" x14ac:dyDescent="0.3">
      <c r="B510" s="2">
        <v>502</v>
      </c>
      <c r="C510" s="2">
        <v>9556</v>
      </c>
      <c r="D510" s="4">
        <v>4177883.1999999997</v>
      </c>
      <c r="E510" s="4">
        <f t="shared" si="126"/>
        <v>39923851859.199997</v>
      </c>
      <c r="F510" s="2">
        <f t="shared" si="127"/>
        <v>91317136</v>
      </c>
      <c r="G510" s="2">
        <f t="shared" si="128"/>
        <v>17454708032842.238</v>
      </c>
      <c r="H510" s="42">
        <f t="shared" si="129"/>
        <v>4531.5190000000002</v>
      </c>
      <c r="I510" s="2">
        <f t="shared" si="130"/>
        <v>20534664.447361004</v>
      </c>
      <c r="J510" s="4">
        <f t="shared" si="131"/>
        <v>2888781.3031900004</v>
      </c>
      <c r="K510" s="2">
        <f t="shared" si="132"/>
        <v>8345057417660.1172</v>
      </c>
      <c r="L510" s="2">
        <f t="shared" si="133"/>
        <v>13090567362.250248</v>
      </c>
      <c r="N510" s="42">
        <f t="shared" si="134"/>
        <v>2436642.6810339275</v>
      </c>
      <c r="O510" s="42">
        <f t="shared" si="135"/>
        <v>1316849851457.2686</v>
      </c>
      <c r="P510" s="4">
        <f t="shared" si="136"/>
        <v>1741240.5189660722</v>
      </c>
      <c r="Q510" s="4">
        <f t="shared" si="137"/>
        <v>3031918544889.2368</v>
      </c>
      <c r="R510" s="43">
        <f t="shared" si="138"/>
        <v>3.5868793011170734E-3</v>
      </c>
      <c r="S510" s="4">
        <f t="shared" si="139"/>
        <v>1.4335309843399324</v>
      </c>
      <c r="T510" s="30">
        <f t="shared" si="140"/>
        <v>2293489.7712173923</v>
      </c>
      <c r="U510" s="31">
        <f t="shared" si="141"/>
        <v>2579795.5908504627</v>
      </c>
      <c r="V510" s="31">
        <f t="shared" si="142"/>
        <v>4824987.0052941367</v>
      </c>
      <c r="W510" s="42">
        <f t="shared" si="143"/>
        <v>4831167.1876300983</v>
      </c>
    </row>
    <row r="511" spans="2:23" x14ac:dyDescent="0.3">
      <c r="B511" s="2">
        <v>503</v>
      </c>
      <c r="C511" s="2">
        <v>7732</v>
      </c>
      <c r="D511" s="4">
        <v>72139.56</v>
      </c>
      <c r="E511" s="4">
        <f t="shared" si="126"/>
        <v>557783077.91999996</v>
      </c>
      <c r="F511" s="2">
        <f t="shared" si="127"/>
        <v>59783824</v>
      </c>
      <c r="G511" s="2">
        <f t="shared" si="128"/>
        <v>5204116116.9935999</v>
      </c>
      <c r="H511" s="42">
        <f t="shared" si="129"/>
        <v>2707.5190000000002</v>
      </c>
      <c r="I511" s="2">
        <f t="shared" si="130"/>
        <v>7330659.1353610009</v>
      </c>
      <c r="J511" s="4">
        <f t="shared" si="131"/>
        <v>-1216962.3368099991</v>
      </c>
      <c r="K511" s="2">
        <f t="shared" si="132"/>
        <v>1480997329214.0537</v>
      </c>
      <c r="L511" s="2">
        <f t="shared" si="133"/>
        <v>-3294948649.1974721</v>
      </c>
      <c r="N511" s="42">
        <f t="shared" si="134"/>
        <v>1974741.4089826692</v>
      </c>
      <c r="O511" s="42">
        <f t="shared" si="135"/>
        <v>470101540652.37701</v>
      </c>
      <c r="P511" s="4">
        <f t="shared" si="136"/>
        <v>-1902601.8489826692</v>
      </c>
      <c r="Q511" s="4">
        <f t="shared" si="137"/>
        <v>3619893795752.2715</v>
      </c>
      <c r="R511" s="43">
        <f t="shared" si="138"/>
        <v>1.9234886905223933E-3</v>
      </c>
      <c r="S511" s="4">
        <f t="shared" si="139"/>
        <v>-1.5650709677086685</v>
      </c>
      <c r="T511" s="30">
        <f t="shared" si="140"/>
        <v>1869911.1599907617</v>
      </c>
      <c r="U511" s="31">
        <f t="shared" si="141"/>
        <v>2079571.6579745768</v>
      </c>
      <c r="V511" s="31">
        <f t="shared" si="142"/>
        <v>4365074.4371842183</v>
      </c>
      <c r="W511" s="42">
        <f t="shared" si="143"/>
        <v>4367280.6956411768</v>
      </c>
    </row>
    <row r="512" spans="2:23" x14ac:dyDescent="0.3">
      <c r="B512" s="2">
        <v>504</v>
      </c>
      <c r="C512" s="2">
        <v>8896</v>
      </c>
      <c r="D512" s="4">
        <v>5944929.9199999999</v>
      </c>
      <c r="E512" s="4">
        <f t="shared" si="126"/>
        <v>52886096568.32</v>
      </c>
      <c r="F512" s="2">
        <f t="shared" si="127"/>
        <v>79138816</v>
      </c>
      <c r="G512" s="2">
        <f t="shared" si="128"/>
        <v>35342191753711.203</v>
      </c>
      <c r="H512" s="42">
        <f t="shared" si="129"/>
        <v>3871.5190000000002</v>
      </c>
      <c r="I512" s="2">
        <f t="shared" si="130"/>
        <v>14988659.367361002</v>
      </c>
      <c r="J512" s="4">
        <f t="shared" si="131"/>
        <v>4655828.023190001</v>
      </c>
      <c r="K512" s="2">
        <f t="shared" si="132"/>
        <v>21676734581521.313</v>
      </c>
      <c r="L512" s="2">
        <f t="shared" si="133"/>
        <v>18025126652.512531</v>
      </c>
      <c r="N512" s="42">
        <f t="shared" si="134"/>
        <v>2269507.3523311694</v>
      </c>
      <c r="O512" s="42">
        <f t="shared" si="135"/>
        <v>961194857215.67346</v>
      </c>
      <c r="P512" s="4">
        <f t="shared" si="136"/>
        <v>3675422.5676688305</v>
      </c>
      <c r="Q512" s="4">
        <f t="shared" si="137"/>
        <v>13508731050929.34</v>
      </c>
      <c r="R512" s="43">
        <f t="shared" si="138"/>
        <v>2.8882145733773457E-3</v>
      </c>
      <c r="S512" s="4">
        <f t="shared" si="139"/>
        <v>3.024846852292248</v>
      </c>
      <c r="T512" s="30">
        <f t="shared" si="140"/>
        <v>2141050.7217522184</v>
      </c>
      <c r="U512" s="31">
        <f t="shared" si="141"/>
        <v>2397963.9829101204</v>
      </c>
      <c r="V512" s="31">
        <f t="shared" si="142"/>
        <v>4658687.1824978311</v>
      </c>
      <c r="W512" s="42">
        <f t="shared" si="143"/>
        <v>4663198.2185543738</v>
      </c>
    </row>
    <row r="513" spans="2:23" x14ac:dyDescent="0.3">
      <c r="B513" s="2">
        <v>505</v>
      </c>
      <c r="C513" s="2">
        <v>2430</v>
      </c>
      <c r="D513" s="4">
        <v>1582440.3</v>
      </c>
      <c r="E513" s="4">
        <f t="shared" si="126"/>
        <v>3845329929</v>
      </c>
      <c r="F513" s="2">
        <f t="shared" si="127"/>
        <v>5904900</v>
      </c>
      <c r="G513" s="2">
        <f t="shared" si="128"/>
        <v>2504117303064.0903</v>
      </c>
      <c r="H513" s="42">
        <f t="shared" si="129"/>
        <v>-2594.4809999999998</v>
      </c>
      <c r="I513" s="2">
        <f t="shared" si="130"/>
        <v>6731331.6593609992</v>
      </c>
      <c r="J513" s="4">
        <f t="shared" si="131"/>
        <v>293338.40319000091</v>
      </c>
      <c r="K513" s="2">
        <f t="shared" si="132"/>
        <v>86047418786.05954</v>
      </c>
      <c r="L513" s="2">
        <f t="shared" si="133"/>
        <v>-761060913.6467967</v>
      </c>
      <c r="N513" s="42">
        <f t="shared" si="134"/>
        <v>632087.60173718131</v>
      </c>
      <c r="O513" s="42">
        <f t="shared" si="135"/>
        <v>431667783930.03174</v>
      </c>
      <c r="P513" s="4">
        <f t="shared" si="136"/>
        <v>950352.69826281874</v>
      </c>
      <c r="Q513" s="4">
        <f t="shared" si="137"/>
        <v>903170251095.42017</v>
      </c>
      <c r="R513" s="43">
        <f t="shared" si="138"/>
        <v>1.8479876836162692E-3</v>
      </c>
      <c r="S513" s="4">
        <f t="shared" si="139"/>
        <v>0.78172591074019615</v>
      </c>
      <c r="T513" s="30">
        <f t="shared" si="140"/>
        <v>529335.35305481474</v>
      </c>
      <c r="U513" s="31">
        <f t="shared" si="141"/>
        <v>734839.85041954787</v>
      </c>
      <c r="V513" s="31">
        <f t="shared" si="142"/>
        <v>3022510.8576074908</v>
      </c>
      <c r="W513" s="42">
        <f t="shared" si="143"/>
        <v>3024536.7405298906</v>
      </c>
    </row>
    <row r="514" spans="2:23" x14ac:dyDescent="0.3">
      <c r="B514" s="2">
        <v>506</v>
      </c>
      <c r="C514" s="2">
        <v>9744</v>
      </c>
      <c r="D514" s="4">
        <v>2487448.3199999998</v>
      </c>
      <c r="E514" s="4">
        <f t="shared" si="126"/>
        <v>24237696430.079998</v>
      </c>
      <c r="F514" s="2">
        <f t="shared" si="127"/>
        <v>94945536</v>
      </c>
      <c r="G514" s="2">
        <f t="shared" si="128"/>
        <v>6187399144670.8213</v>
      </c>
      <c r="H514" s="42">
        <f t="shared" si="129"/>
        <v>4719.5190000000002</v>
      </c>
      <c r="I514" s="2">
        <f t="shared" si="130"/>
        <v>22273859.591361001</v>
      </c>
      <c r="J514" s="4">
        <f t="shared" si="131"/>
        <v>1198346.4231900007</v>
      </c>
      <c r="K514" s="2">
        <f t="shared" si="132"/>
        <v>1436034149972.2683</v>
      </c>
      <c r="L514" s="2">
        <f t="shared" si="133"/>
        <v>5655618712.8272495</v>
      </c>
      <c r="N514" s="42">
        <f t="shared" si="134"/>
        <v>2484250.9261795613</v>
      </c>
      <c r="O514" s="42">
        <f t="shared" si="135"/>
        <v>1428381202403.0066</v>
      </c>
      <c r="P514" s="4">
        <f t="shared" si="136"/>
        <v>3197.393820438534</v>
      </c>
      <c r="Q514" s="4">
        <f t="shared" si="137"/>
        <v>10223327.242978524</v>
      </c>
      <c r="R514" s="43">
        <f t="shared" si="138"/>
        <v>3.8059765223134546E-3</v>
      </c>
      <c r="S514" s="4">
        <f t="shared" si="139"/>
        <v>2.632644413240833E-3</v>
      </c>
      <c r="T514" s="30">
        <f t="shared" si="140"/>
        <v>2336790.7150983391</v>
      </c>
      <c r="U514" s="31">
        <f t="shared" si="141"/>
        <v>2631711.1372607835</v>
      </c>
      <c r="V514" s="31">
        <f t="shared" si="142"/>
        <v>4872333.1804084182</v>
      </c>
      <c r="W514" s="42">
        <f t="shared" si="143"/>
        <v>4879036.7978083408</v>
      </c>
    </row>
    <row r="515" spans="2:23" x14ac:dyDescent="0.3">
      <c r="B515" s="2">
        <v>507</v>
      </c>
      <c r="C515" s="2">
        <v>9280</v>
      </c>
      <c r="D515" s="4">
        <v>1908896</v>
      </c>
      <c r="E515" s="4">
        <f t="shared" si="126"/>
        <v>17714554880</v>
      </c>
      <c r="F515" s="2">
        <f t="shared" si="127"/>
        <v>86118400</v>
      </c>
      <c r="G515" s="2">
        <f t="shared" si="128"/>
        <v>3643883938816</v>
      </c>
      <c r="H515" s="42">
        <f t="shared" si="129"/>
        <v>4255.5190000000002</v>
      </c>
      <c r="I515" s="2">
        <f t="shared" si="130"/>
        <v>18109441.959361002</v>
      </c>
      <c r="J515" s="4">
        <f t="shared" si="131"/>
        <v>619794.10319000087</v>
      </c>
      <c r="K515" s="2">
        <f t="shared" si="132"/>
        <v>384144730349.09747</v>
      </c>
      <c r="L515" s="2">
        <f t="shared" si="133"/>
        <v>2637545582.2130094</v>
      </c>
      <c r="N515" s="42">
        <f t="shared" si="134"/>
        <v>2366749.7253945922</v>
      </c>
      <c r="O515" s="42">
        <f t="shared" si="135"/>
        <v>1161324842453.0884</v>
      </c>
      <c r="P515" s="4">
        <f t="shared" si="136"/>
        <v>-457853.72539459215</v>
      </c>
      <c r="Q515" s="4">
        <f t="shared" si="137"/>
        <v>209630033857.7066</v>
      </c>
      <c r="R515" s="43">
        <f t="shared" si="138"/>
        <v>3.2813589518124555E-3</v>
      </c>
      <c r="S515" s="4">
        <f t="shared" si="139"/>
        <v>-0.37688469395655344</v>
      </c>
      <c r="T515" s="30">
        <f t="shared" si="140"/>
        <v>2229829.164596247</v>
      </c>
      <c r="U515" s="31">
        <f t="shared" si="141"/>
        <v>2503670.2861929373</v>
      </c>
      <c r="V515" s="31">
        <f t="shared" si="142"/>
        <v>4755459.4454831509</v>
      </c>
      <c r="W515" s="42">
        <f t="shared" si="143"/>
        <v>4760909.7236131793</v>
      </c>
    </row>
    <row r="516" spans="2:23" x14ac:dyDescent="0.3">
      <c r="B516" s="2">
        <v>508</v>
      </c>
      <c r="C516" s="2">
        <v>1513</v>
      </c>
      <c r="D516" s="4">
        <v>14116.29</v>
      </c>
      <c r="E516" s="4">
        <f t="shared" si="126"/>
        <v>21357946.77</v>
      </c>
      <c r="F516" s="2">
        <f t="shared" si="127"/>
        <v>2289169</v>
      </c>
      <c r="G516" s="2">
        <f t="shared" si="128"/>
        <v>199269643.36410004</v>
      </c>
      <c r="H516" s="42">
        <f t="shared" si="129"/>
        <v>-3511.4809999999998</v>
      </c>
      <c r="I516" s="2">
        <f t="shared" si="130"/>
        <v>12330498.813360998</v>
      </c>
      <c r="J516" s="4">
        <f t="shared" si="131"/>
        <v>-1274985.6068099991</v>
      </c>
      <c r="K516" s="2">
        <f t="shared" si="132"/>
        <v>1625588297572.6616</v>
      </c>
      <c r="L516" s="2">
        <f t="shared" si="133"/>
        <v>4477087733.5867825</v>
      </c>
      <c r="N516" s="42">
        <f t="shared" si="134"/>
        <v>399870.78897895565</v>
      </c>
      <c r="O516" s="42">
        <f t="shared" si="135"/>
        <v>790731963134.4248</v>
      </c>
      <c r="P516" s="4">
        <f t="shared" si="136"/>
        <v>-385754.49897895567</v>
      </c>
      <c r="Q516" s="4">
        <f t="shared" si="137"/>
        <v>148806533482.50513</v>
      </c>
      <c r="R516" s="43">
        <f t="shared" si="138"/>
        <v>2.5533495682142247E-3</v>
      </c>
      <c r="S516" s="4">
        <f t="shared" si="139"/>
        <v>-0.31741993624513043</v>
      </c>
      <c r="T516" s="30">
        <f t="shared" si="140"/>
        <v>279090.25734212319</v>
      </c>
      <c r="U516" s="31">
        <f t="shared" si="141"/>
        <v>520651.32061578811</v>
      </c>
      <c r="V516" s="31">
        <f t="shared" si="142"/>
        <v>2789450.967586156</v>
      </c>
      <c r="W516" s="42">
        <f t="shared" si="143"/>
        <v>2793161.9943952896</v>
      </c>
    </row>
    <row r="517" spans="2:23" x14ac:dyDescent="0.3">
      <c r="B517" s="2">
        <v>509</v>
      </c>
      <c r="C517" s="2">
        <v>3946</v>
      </c>
      <c r="D517" s="4">
        <v>602080.68000000005</v>
      </c>
      <c r="E517" s="4">
        <f t="shared" si="126"/>
        <v>2375810363.2800002</v>
      </c>
      <c r="F517" s="2">
        <f t="shared" si="127"/>
        <v>15570916</v>
      </c>
      <c r="G517" s="2">
        <f t="shared" si="128"/>
        <v>362501145229.26245</v>
      </c>
      <c r="H517" s="42">
        <f t="shared" si="129"/>
        <v>-1078.4809999999998</v>
      </c>
      <c r="I517" s="2">
        <f t="shared" si="130"/>
        <v>1163121.2673609995</v>
      </c>
      <c r="J517" s="4">
        <f t="shared" si="131"/>
        <v>-687021.21680999908</v>
      </c>
      <c r="K517" s="2">
        <f t="shared" si="132"/>
        <v>471998152347.09174</v>
      </c>
      <c r="L517" s="2">
        <f t="shared" si="133"/>
        <v>740939328.92646444</v>
      </c>
      <c r="N517" s="42">
        <f t="shared" si="134"/>
        <v>1015992.3870604857</v>
      </c>
      <c r="O517" s="42">
        <f t="shared" si="135"/>
        <v>74588804315.619598</v>
      </c>
      <c r="P517" s="4">
        <f t="shared" si="136"/>
        <v>-413911.70706048561</v>
      </c>
      <c r="Q517" s="4">
        <f t="shared" si="137"/>
        <v>171322901241.72525</v>
      </c>
      <c r="R517" s="43">
        <f t="shared" si="138"/>
        <v>1.1465256147203276E-3</v>
      </c>
      <c r="S517" s="4">
        <f t="shared" si="139"/>
        <v>-0.34034929566493477</v>
      </c>
      <c r="T517" s="30">
        <f t="shared" si="140"/>
        <v>935057.88862445857</v>
      </c>
      <c r="U517" s="31">
        <f t="shared" si="141"/>
        <v>1096926.8854965128</v>
      </c>
      <c r="V517" s="31">
        <f t="shared" si="142"/>
        <v>3407253.764195533</v>
      </c>
      <c r="W517" s="42">
        <f t="shared" si="143"/>
        <v>3407603.8208301491</v>
      </c>
    </row>
    <row r="518" spans="2:23" x14ac:dyDescent="0.3">
      <c r="B518" s="2">
        <v>510</v>
      </c>
      <c r="C518" s="2">
        <v>6116</v>
      </c>
      <c r="D518" s="4">
        <v>57062.28</v>
      </c>
      <c r="E518" s="4">
        <f t="shared" si="126"/>
        <v>348992904.48000002</v>
      </c>
      <c r="F518" s="2">
        <f t="shared" si="127"/>
        <v>37405456</v>
      </c>
      <c r="G518" s="2">
        <f t="shared" si="128"/>
        <v>3256103798.7983999</v>
      </c>
      <c r="H518" s="42">
        <f t="shared" si="129"/>
        <v>1091.5190000000002</v>
      </c>
      <c r="I518" s="2">
        <f t="shared" si="130"/>
        <v>1191413.7273610006</v>
      </c>
      <c r="J518" s="4">
        <f t="shared" si="131"/>
        <v>-1232039.6168099991</v>
      </c>
      <c r="K518" s="2">
        <f t="shared" si="132"/>
        <v>1517921617389.3293</v>
      </c>
      <c r="L518" s="2">
        <f t="shared" si="133"/>
        <v>-1344794650.5008337</v>
      </c>
      <c r="N518" s="42">
        <f t="shared" si="134"/>
        <v>1565513.0890074319</v>
      </c>
      <c r="O518" s="42">
        <f t="shared" si="135"/>
        <v>76403147172.006104</v>
      </c>
      <c r="P518" s="4">
        <f t="shared" si="136"/>
        <v>-1508450.8090074318</v>
      </c>
      <c r="Q518" s="4">
        <f t="shared" si="137"/>
        <v>2275423843195.1758</v>
      </c>
      <c r="R518" s="43">
        <f t="shared" si="138"/>
        <v>1.1500897917410577E-3</v>
      </c>
      <c r="S518" s="4">
        <f t="shared" si="139"/>
        <v>-1.240363772298523</v>
      </c>
      <c r="T518" s="30">
        <f t="shared" si="140"/>
        <v>1484452.8886081821</v>
      </c>
      <c r="U518" s="31">
        <f t="shared" si="141"/>
        <v>1646573.2894066817</v>
      </c>
      <c r="V518" s="31">
        <f t="shared" si="142"/>
        <v>3956770.2083331915</v>
      </c>
      <c r="W518" s="42">
        <f t="shared" si="143"/>
        <v>3957128.7799555948</v>
      </c>
    </row>
    <row r="519" spans="2:23" x14ac:dyDescent="0.3">
      <c r="B519" s="2">
        <v>511</v>
      </c>
      <c r="C519" s="2">
        <v>4591</v>
      </c>
      <c r="D519" s="4">
        <v>217842.95</v>
      </c>
      <c r="E519" s="4">
        <f t="shared" si="126"/>
        <v>1000116983.45</v>
      </c>
      <c r="F519" s="2">
        <f t="shared" si="127"/>
        <v>21077281</v>
      </c>
      <c r="G519" s="2">
        <f t="shared" si="128"/>
        <v>47455550864.702507</v>
      </c>
      <c r="H519" s="42">
        <f t="shared" si="129"/>
        <v>-433.48099999999977</v>
      </c>
      <c r="I519" s="2">
        <f t="shared" si="130"/>
        <v>187905.77736099981</v>
      </c>
      <c r="J519" s="4">
        <f t="shared" si="131"/>
        <v>-1071258.9468099992</v>
      </c>
      <c r="K519" s="2">
        <f t="shared" si="132"/>
        <v>1147595731120.4688</v>
      </c>
      <c r="L519" s="2">
        <f t="shared" si="133"/>
        <v>464370399.52214503</v>
      </c>
      <c r="N519" s="42">
        <f t="shared" si="134"/>
        <v>1179329.1855654535</v>
      </c>
      <c r="O519" s="42">
        <f t="shared" si="135"/>
        <v>12050048133.978397</v>
      </c>
      <c r="P519" s="4">
        <f t="shared" si="136"/>
        <v>-961486.23556545353</v>
      </c>
      <c r="Q519" s="4">
        <f t="shared" si="137"/>
        <v>924455781181.82678</v>
      </c>
      <c r="R519" s="43">
        <f t="shared" si="138"/>
        <v>1.0236716585879228E-3</v>
      </c>
      <c r="S519" s="4">
        <f t="shared" si="139"/>
        <v>-0.7905575871175422</v>
      </c>
      <c r="T519" s="30">
        <f t="shared" si="140"/>
        <v>1102853.7184174603</v>
      </c>
      <c r="U519" s="31">
        <f t="shared" si="141"/>
        <v>1255804.6527134466</v>
      </c>
      <c r="V519" s="31">
        <f t="shared" si="142"/>
        <v>3570737.3208989836</v>
      </c>
      <c r="W519" s="42">
        <f t="shared" si="143"/>
        <v>3570793.8736125501</v>
      </c>
    </row>
    <row r="520" spans="2:23" x14ac:dyDescent="0.3">
      <c r="B520" s="2">
        <v>512</v>
      </c>
      <c r="C520" s="2">
        <v>7969</v>
      </c>
      <c r="D520" s="4">
        <v>1215910.02</v>
      </c>
      <c r="E520" s="4">
        <f t="shared" si="126"/>
        <v>9689586949.3800011</v>
      </c>
      <c r="F520" s="2">
        <f t="shared" si="127"/>
        <v>63504961</v>
      </c>
      <c r="G520" s="2">
        <f t="shared" si="128"/>
        <v>1478437176736.4004</v>
      </c>
      <c r="H520" s="42">
        <f t="shared" si="129"/>
        <v>2944.5190000000002</v>
      </c>
      <c r="I520" s="2">
        <f t="shared" si="130"/>
        <v>8670192.1413610019</v>
      </c>
      <c r="J520" s="4">
        <f t="shared" si="131"/>
        <v>-73191.876809999114</v>
      </c>
      <c r="K520" s="2">
        <f t="shared" si="132"/>
        <v>5357050830.9700861</v>
      </c>
      <c r="L520" s="2">
        <f t="shared" si="133"/>
        <v>-215514871.91270179</v>
      </c>
      <c r="N520" s="42">
        <f t="shared" si="134"/>
        <v>2034758.1861077505</v>
      </c>
      <c r="O520" s="42">
        <f t="shared" si="135"/>
        <v>556003301769.29187</v>
      </c>
      <c r="P520" s="4">
        <f t="shared" si="136"/>
        <v>-818848.1661077505</v>
      </c>
      <c r="Q520" s="4">
        <f t="shared" si="137"/>
        <v>670512319138.02612</v>
      </c>
      <c r="R520" s="43">
        <f t="shared" si="138"/>
        <v>2.0922379883386456E-3</v>
      </c>
      <c r="S520" s="4">
        <f t="shared" si="139"/>
        <v>-0.67363744303406714</v>
      </c>
      <c r="T520" s="30">
        <f t="shared" si="140"/>
        <v>1925426.1741026368</v>
      </c>
      <c r="U520" s="31">
        <f t="shared" si="141"/>
        <v>2144090.1981128645</v>
      </c>
      <c r="V520" s="31">
        <f t="shared" si="142"/>
        <v>4424889.5377212577</v>
      </c>
      <c r="W520" s="42">
        <f t="shared" si="143"/>
        <v>4427498.9463970419</v>
      </c>
    </row>
    <row r="521" spans="2:23" x14ac:dyDescent="0.3">
      <c r="B521" s="2">
        <v>513</v>
      </c>
      <c r="C521" s="2">
        <v>1880</v>
      </c>
      <c r="D521" s="4">
        <v>289632.8</v>
      </c>
      <c r="E521" s="4">
        <f t="shared" si="126"/>
        <v>544509664</v>
      </c>
      <c r="F521" s="2">
        <f t="shared" si="127"/>
        <v>3534400</v>
      </c>
      <c r="G521" s="2">
        <f t="shared" si="128"/>
        <v>83887158835.839996</v>
      </c>
      <c r="H521" s="42">
        <f t="shared" si="129"/>
        <v>-3144.4809999999998</v>
      </c>
      <c r="I521" s="2">
        <f t="shared" si="130"/>
        <v>9887760.7593609989</v>
      </c>
      <c r="J521" s="4">
        <f t="shared" si="131"/>
        <v>-999469.09680999909</v>
      </c>
      <c r="K521" s="2">
        <f t="shared" si="132"/>
        <v>998938475478.19531</v>
      </c>
      <c r="L521" s="2">
        <f t="shared" si="133"/>
        <v>3142811585.0062027</v>
      </c>
      <c r="N521" s="42">
        <f t="shared" si="134"/>
        <v>492808.16115154978</v>
      </c>
      <c r="O521" s="42">
        <f t="shared" si="135"/>
        <v>634083713448.88843</v>
      </c>
      <c r="P521" s="4">
        <f t="shared" si="136"/>
        <v>-203175.36115154979</v>
      </c>
      <c r="Q521" s="4">
        <f t="shared" si="137"/>
        <v>41280227379.062691</v>
      </c>
      <c r="R521" s="43">
        <f t="shared" si="138"/>
        <v>2.2456226742032688E-3</v>
      </c>
      <c r="S521" s="4">
        <f t="shared" si="139"/>
        <v>-0.16715803524283182</v>
      </c>
      <c r="T521" s="30">
        <f t="shared" si="140"/>
        <v>379539.38941543852</v>
      </c>
      <c r="U521" s="31">
        <f t="shared" si="141"/>
        <v>606076.93288766104</v>
      </c>
      <c r="V521" s="31">
        <f t="shared" si="142"/>
        <v>2882756.1840516897</v>
      </c>
      <c r="W521" s="42">
        <f t="shared" si="143"/>
        <v>2885732.0361946528</v>
      </c>
    </row>
    <row r="522" spans="2:23" x14ac:dyDescent="0.3">
      <c r="B522" s="2">
        <v>514</v>
      </c>
      <c r="C522" s="2">
        <v>3985</v>
      </c>
      <c r="D522" s="4">
        <v>613929.1</v>
      </c>
      <c r="E522" s="4">
        <f t="shared" ref="E522:E585" si="144">C522*D522</f>
        <v>2446507463.5</v>
      </c>
      <c r="F522" s="2">
        <f t="shared" ref="F522:F585" si="145">POWER(C522,2)</f>
        <v>15880225</v>
      </c>
      <c r="G522" s="2">
        <f t="shared" ref="G522:G585" si="146">POWER(D522,2)</f>
        <v>376908939826.81</v>
      </c>
      <c r="H522" s="42">
        <f t="shared" ref="H522:H585" si="147">C522-$AG$9</f>
        <v>-1039.4809999999998</v>
      </c>
      <c r="I522" s="2">
        <f t="shared" ref="I522:I585" si="148">POWER(H522,2)</f>
        <v>1080520.7493609996</v>
      </c>
      <c r="J522" s="4">
        <f t="shared" ref="J522:J585" si="149">D522-$AG$10</f>
        <v>-675172.79680999916</v>
      </c>
      <c r="K522" s="2">
        <f t="shared" ref="K522:K585" si="150">POWER(J522,2)</f>
        <v>455858305552.23639</v>
      </c>
      <c r="L522" s="2">
        <f t="shared" ref="L522:L585" si="151">H522*J522</f>
        <v>701829294.00085461</v>
      </c>
      <c r="N522" s="42">
        <f t="shared" ref="N522:N585" si="152">$AG$18+$AG$17*C522</f>
        <v>1025868.5655747396</v>
      </c>
      <c r="O522" s="42">
        <f t="shared" ref="O522:O585" si="153">(N522-$AG$10)^2</f>
        <v>69291786673.211868</v>
      </c>
      <c r="P522" s="4">
        <f t="shared" ref="P522:P585" si="154">D522-N522</f>
        <v>-411939.46557473962</v>
      </c>
      <c r="Q522" s="4">
        <f t="shared" ref="Q522:Q585" si="155">P522^2</f>
        <v>169694123298.00208</v>
      </c>
      <c r="R522" s="43">
        <f t="shared" ref="R522:R585" si="156">(1/$AG$8)+((I522)/($I$1009))</f>
        <v>1.1361199141147252E-3</v>
      </c>
      <c r="S522" s="4">
        <f t="shared" ref="S522:S585" si="157">P522 / ($AG$19*SQRT(1-R522))</f>
        <v>-0.33872580621656867</v>
      </c>
      <c r="T522" s="30">
        <f t="shared" ref="T522:T585" si="158">N522-$AK$16*SQRT($AG$25*((1/$AG$8)+((C522-$AG$9)^2)/$I$1009))</f>
        <v>945302.17917467339</v>
      </c>
      <c r="U522" s="31">
        <f t="shared" ref="U522:U585" si="159">N522+$AK$16*SQRT($AG$25*((1/$AG$8)+((C522-$AG$9)^2)/$I$1009))</f>
        <v>1106434.9519748059</v>
      </c>
      <c r="V522" s="31">
        <f t="shared" ref="V522:V585" si="160">N522+$AK$16*SQRT($AG$25*(1+(1/$AG$8)-((C522-$AG$9)^2)/$I$1009))</f>
        <v>3417142.3734431169</v>
      </c>
      <c r="W522" s="42">
        <f t="shared" ref="W522:W585" si="161">N522+$AK$16*SQRT($AG$25*(1+(1/$AG$8)+((C522-$AG$9)^2)/$I$1009))</f>
        <v>3417467.5703659398</v>
      </c>
    </row>
    <row r="523" spans="2:23" x14ac:dyDescent="0.3">
      <c r="B523" s="2">
        <v>515</v>
      </c>
      <c r="C523" s="2">
        <v>8977</v>
      </c>
      <c r="D523" s="4">
        <v>425958.65</v>
      </c>
      <c r="E523" s="4">
        <f t="shared" si="144"/>
        <v>3823830801.0500002</v>
      </c>
      <c r="F523" s="2">
        <f t="shared" si="145"/>
        <v>80586529</v>
      </c>
      <c r="G523" s="2">
        <f t="shared" si="146"/>
        <v>181440771509.82251</v>
      </c>
      <c r="H523" s="42">
        <f t="shared" si="147"/>
        <v>3952.5190000000002</v>
      </c>
      <c r="I523" s="2">
        <f t="shared" si="148"/>
        <v>15622406.445361001</v>
      </c>
      <c r="J523" s="4">
        <f t="shared" si="149"/>
        <v>-863143.24680999911</v>
      </c>
      <c r="K523" s="2">
        <f t="shared" si="150"/>
        <v>745016264513.70703</v>
      </c>
      <c r="L523" s="2">
        <f t="shared" si="151"/>
        <v>-3411590082.7382112</v>
      </c>
      <c r="N523" s="42">
        <f t="shared" si="152"/>
        <v>2290019.4153992352</v>
      </c>
      <c r="O523" s="42">
        <f t="shared" si="153"/>
        <v>1001835879018.8337</v>
      </c>
      <c r="P523" s="4">
        <f t="shared" si="154"/>
        <v>-1864060.7653992353</v>
      </c>
      <c r="Q523" s="4">
        <f t="shared" si="155"/>
        <v>3474722537100.7827</v>
      </c>
      <c r="R523" s="43">
        <f t="shared" si="156"/>
        <v>2.9680516314614536E-3</v>
      </c>
      <c r="S523" s="4">
        <f t="shared" si="157"/>
        <v>-1.5341702840867737</v>
      </c>
      <c r="T523" s="30">
        <f t="shared" si="158"/>
        <v>2159799.4653164125</v>
      </c>
      <c r="U523" s="31">
        <f t="shared" si="159"/>
        <v>2420239.3654820579</v>
      </c>
      <c r="V523" s="31">
        <f t="shared" si="160"/>
        <v>4679103.7863278389</v>
      </c>
      <c r="W523" s="42">
        <f t="shared" si="161"/>
        <v>4683805.5571630038</v>
      </c>
    </row>
    <row r="524" spans="2:23" x14ac:dyDescent="0.3">
      <c r="B524" s="2">
        <v>516</v>
      </c>
      <c r="C524" s="2">
        <v>3578</v>
      </c>
      <c r="D524" s="4">
        <v>545931.24</v>
      </c>
      <c r="E524" s="4">
        <f t="shared" si="144"/>
        <v>1953341976.72</v>
      </c>
      <c r="F524" s="2">
        <f t="shared" si="145"/>
        <v>12802084</v>
      </c>
      <c r="G524" s="2">
        <f t="shared" si="146"/>
        <v>298040918807.93756</v>
      </c>
      <c r="H524" s="42">
        <f t="shared" si="147"/>
        <v>-1446.4809999999998</v>
      </c>
      <c r="I524" s="2">
        <f t="shared" si="148"/>
        <v>2092307.2833609993</v>
      </c>
      <c r="J524" s="4">
        <f t="shared" si="149"/>
        <v>-743170.65680999914</v>
      </c>
      <c r="K524" s="2">
        <f t="shared" si="150"/>
        <v>552302625143.40552</v>
      </c>
      <c r="L524" s="2">
        <f t="shared" si="151"/>
        <v>1074982234.8331842</v>
      </c>
      <c r="N524" s="42">
        <f t="shared" si="152"/>
        <v>922801.77954137221</v>
      </c>
      <c r="O524" s="42">
        <f t="shared" si="153"/>
        <v>134175775911.00984</v>
      </c>
      <c r="P524" s="4">
        <f t="shared" si="154"/>
        <v>-376870.53954137221</v>
      </c>
      <c r="Q524" s="4">
        <f t="shared" si="155"/>
        <v>142031403574.20499</v>
      </c>
      <c r="R524" s="43">
        <f t="shared" si="156"/>
        <v>1.2635809519448296E-3</v>
      </c>
      <c r="S524" s="4">
        <f t="shared" si="157"/>
        <v>-0.30990942508825692</v>
      </c>
      <c r="T524" s="30">
        <f t="shared" si="158"/>
        <v>837836.13936230505</v>
      </c>
      <c r="U524" s="31">
        <f t="shared" si="159"/>
        <v>1007767.4197204394</v>
      </c>
      <c r="V524" s="31">
        <f t="shared" si="160"/>
        <v>3313923.3169802069</v>
      </c>
      <c r="W524" s="42">
        <f t="shared" si="161"/>
        <v>3314553.0243642391</v>
      </c>
    </row>
    <row r="525" spans="2:23" x14ac:dyDescent="0.3">
      <c r="B525" s="2">
        <v>517</v>
      </c>
      <c r="C525" s="2">
        <v>1545</v>
      </c>
      <c r="D525" s="4">
        <v>317806.5</v>
      </c>
      <c r="E525" s="4">
        <f t="shared" si="144"/>
        <v>491011042.5</v>
      </c>
      <c r="F525" s="2">
        <f t="shared" si="145"/>
        <v>2387025</v>
      </c>
      <c r="G525" s="2">
        <f t="shared" si="146"/>
        <v>101000971442.25</v>
      </c>
      <c r="H525" s="42">
        <f t="shared" si="147"/>
        <v>-3479.4809999999998</v>
      </c>
      <c r="I525" s="2">
        <f t="shared" si="148"/>
        <v>12106788.029360998</v>
      </c>
      <c r="J525" s="4">
        <f t="shared" si="149"/>
        <v>-971295.39680999913</v>
      </c>
      <c r="K525" s="2">
        <f t="shared" si="150"/>
        <v>943414747864.2937</v>
      </c>
      <c r="L525" s="2">
        <f t="shared" si="151"/>
        <v>3379603878.5878525</v>
      </c>
      <c r="N525" s="42">
        <f t="shared" si="152"/>
        <v>407974.32006757421</v>
      </c>
      <c r="O525" s="42">
        <f t="shared" si="153"/>
        <v>776385806495.97778</v>
      </c>
      <c r="P525" s="4">
        <f t="shared" si="154"/>
        <v>-90167.820067574212</v>
      </c>
      <c r="Q525" s="4">
        <f t="shared" si="155"/>
        <v>8130235775.7384386</v>
      </c>
      <c r="R525" s="43">
        <f t="shared" si="156"/>
        <v>2.525167330415805E-3</v>
      </c>
      <c r="S525" s="4">
        <f t="shared" si="157"/>
        <v>-7.4193974266831303E-2</v>
      </c>
      <c r="T525" s="30">
        <f t="shared" si="158"/>
        <v>287862.18697732355</v>
      </c>
      <c r="U525" s="31">
        <f t="shared" si="159"/>
        <v>528086.45315782493</v>
      </c>
      <c r="V525" s="31">
        <f t="shared" si="160"/>
        <v>2797588.1889383183</v>
      </c>
      <c r="W525" s="42">
        <f t="shared" si="161"/>
        <v>2801231.8869868107</v>
      </c>
    </row>
    <row r="526" spans="2:23" x14ac:dyDescent="0.3">
      <c r="B526" s="2">
        <v>518</v>
      </c>
      <c r="C526" s="2">
        <v>8663</v>
      </c>
      <c r="D526" s="4">
        <v>80825.789999999994</v>
      </c>
      <c r="E526" s="4">
        <f t="shared" si="144"/>
        <v>700193818.76999998</v>
      </c>
      <c r="F526" s="2">
        <f t="shared" si="145"/>
        <v>75047569</v>
      </c>
      <c r="G526" s="2">
        <f t="shared" si="146"/>
        <v>6532808329.1240988</v>
      </c>
      <c r="H526" s="42">
        <f t="shared" si="147"/>
        <v>3638.5190000000002</v>
      </c>
      <c r="I526" s="2">
        <f t="shared" si="148"/>
        <v>13238820.513361001</v>
      </c>
      <c r="J526" s="4">
        <f t="shared" si="149"/>
        <v>-1208276.1068099991</v>
      </c>
      <c r="K526" s="2">
        <f t="shared" si="150"/>
        <v>1459931150287.9282</v>
      </c>
      <c r="L526" s="2">
        <f t="shared" si="151"/>
        <v>-4396335571.8742113</v>
      </c>
      <c r="N526" s="42">
        <f t="shared" si="152"/>
        <v>2210503.5165921655</v>
      </c>
      <c r="O526" s="42">
        <f t="shared" si="153"/>
        <v>848980944937.19983</v>
      </c>
      <c r="P526" s="4">
        <f t="shared" si="154"/>
        <v>-2129677.7265921654</v>
      </c>
      <c r="Q526" s="4">
        <f t="shared" si="155"/>
        <v>4535527219142.7744</v>
      </c>
      <c r="R526" s="43">
        <f t="shared" si="156"/>
        <v>2.667776497882776E-3</v>
      </c>
      <c r="S526" s="4">
        <f t="shared" si="157"/>
        <v>-1.7525160400125555</v>
      </c>
      <c r="T526" s="30">
        <f t="shared" si="158"/>
        <v>2087046.2890427513</v>
      </c>
      <c r="U526" s="31">
        <f t="shared" si="159"/>
        <v>2333960.7441415796</v>
      </c>
      <c r="V526" s="31">
        <f t="shared" si="160"/>
        <v>4599946.8994285762</v>
      </c>
      <c r="W526" s="42">
        <f t="shared" si="161"/>
        <v>4603931.2978579551</v>
      </c>
    </row>
    <row r="527" spans="2:23" x14ac:dyDescent="0.3">
      <c r="B527" s="2">
        <v>519</v>
      </c>
      <c r="C527" s="2">
        <v>7749</v>
      </c>
      <c r="D527" s="4">
        <v>72298.17</v>
      </c>
      <c r="E527" s="4">
        <f t="shared" si="144"/>
        <v>560238519.33000004</v>
      </c>
      <c r="F527" s="2">
        <f t="shared" si="145"/>
        <v>60047001</v>
      </c>
      <c r="G527" s="2">
        <f t="shared" si="146"/>
        <v>5227025385.3488998</v>
      </c>
      <c r="H527" s="42">
        <f t="shared" si="147"/>
        <v>2724.5190000000002</v>
      </c>
      <c r="I527" s="2">
        <f t="shared" si="148"/>
        <v>7423003.7813610015</v>
      </c>
      <c r="J527" s="4">
        <f t="shared" si="149"/>
        <v>-1216803.7268099992</v>
      </c>
      <c r="K527" s="2">
        <f t="shared" si="150"/>
        <v>1480611309578.7031</v>
      </c>
      <c r="L527" s="2">
        <f t="shared" si="151"/>
        <v>-3315204872.9646525</v>
      </c>
      <c r="N527" s="42">
        <f t="shared" si="152"/>
        <v>1979046.4098734979</v>
      </c>
      <c r="O527" s="42">
        <f t="shared" si="153"/>
        <v>476023431106.42841</v>
      </c>
      <c r="P527" s="4">
        <f t="shared" si="154"/>
        <v>-1906748.239873498</v>
      </c>
      <c r="Q527" s="4">
        <f t="shared" si="155"/>
        <v>3635688850260.6826</v>
      </c>
      <c r="R527" s="43">
        <f t="shared" si="156"/>
        <v>1.9351219194908404E-3</v>
      </c>
      <c r="S527" s="4">
        <f t="shared" si="157"/>
        <v>-1.5684909094747945</v>
      </c>
      <c r="T527" s="30">
        <f t="shared" si="158"/>
        <v>1873899.6329109441</v>
      </c>
      <c r="U527" s="31">
        <f t="shared" si="159"/>
        <v>2084193.1868360518</v>
      </c>
      <c r="V527" s="31">
        <f t="shared" si="160"/>
        <v>4369365.535452608</v>
      </c>
      <c r="W527" s="42">
        <f t="shared" si="161"/>
        <v>4371599.5862535564</v>
      </c>
    </row>
    <row r="528" spans="2:23" x14ac:dyDescent="0.3">
      <c r="B528" s="2">
        <v>520</v>
      </c>
      <c r="C528" s="2">
        <v>3653</v>
      </c>
      <c r="D528" s="4">
        <v>562781.18000000005</v>
      </c>
      <c r="E528" s="4">
        <f t="shared" si="144"/>
        <v>2055839650.5400002</v>
      </c>
      <c r="F528" s="2">
        <f t="shared" si="145"/>
        <v>13344409</v>
      </c>
      <c r="G528" s="2">
        <f t="shared" si="146"/>
        <v>316722656562.19244</v>
      </c>
      <c r="H528" s="42">
        <f t="shared" si="147"/>
        <v>-1371.4809999999998</v>
      </c>
      <c r="I528" s="2">
        <f t="shared" si="148"/>
        <v>1880960.1333609994</v>
      </c>
      <c r="J528" s="4">
        <f t="shared" si="149"/>
        <v>-726320.71680999908</v>
      </c>
      <c r="K528" s="2">
        <f t="shared" si="150"/>
        <v>527541783667.39087</v>
      </c>
      <c r="L528" s="2">
        <f t="shared" si="151"/>
        <v>996135063.01129413</v>
      </c>
      <c r="N528" s="42">
        <f t="shared" si="152"/>
        <v>941794.43053032202</v>
      </c>
      <c r="O528" s="42">
        <f t="shared" si="153"/>
        <v>120622476133.60905</v>
      </c>
      <c r="P528" s="4">
        <f t="shared" si="154"/>
        <v>-379013.25053032197</v>
      </c>
      <c r="Q528" s="4">
        <f t="shared" si="155"/>
        <v>143651044077.56061</v>
      </c>
      <c r="R528" s="43">
        <f t="shared" si="156"/>
        <v>1.2369562379600171E-3</v>
      </c>
      <c r="S528" s="4">
        <f t="shared" si="157"/>
        <v>-0.31166727200831817</v>
      </c>
      <c r="T528" s="30">
        <f t="shared" si="158"/>
        <v>857728.70484769868</v>
      </c>
      <c r="U528" s="31">
        <f t="shared" si="159"/>
        <v>1025860.1562129454</v>
      </c>
      <c r="V528" s="31">
        <f t="shared" si="160"/>
        <v>3332947.7757970672</v>
      </c>
      <c r="W528" s="42">
        <f t="shared" si="161"/>
        <v>3333513.8754768316</v>
      </c>
    </row>
    <row r="529" spans="2:23" x14ac:dyDescent="0.3">
      <c r="B529" s="2">
        <v>521</v>
      </c>
      <c r="C529" s="2">
        <v>8254</v>
      </c>
      <c r="D529" s="4">
        <v>1271611.24</v>
      </c>
      <c r="E529" s="4">
        <f t="shared" si="144"/>
        <v>10495879174.959999</v>
      </c>
      <c r="F529" s="2">
        <f t="shared" si="145"/>
        <v>68128516</v>
      </c>
      <c r="G529" s="2">
        <f t="shared" si="146"/>
        <v>1616995145694.3376</v>
      </c>
      <c r="H529" s="42">
        <f t="shared" si="147"/>
        <v>3229.5190000000002</v>
      </c>
      <c r="I529" s="2">
        <f t="shared" si="148"/>
        <v>10429792.971361002</v>
      </c>
      <c r="J529" s="4">
        <f t="shared" si="149"/>
        <v>-17490.656809999142</v>
      </c>
      <c r="K529" s="2">
        <f t="shared" si="150"/>
        <v>305923075.64516938</v>
      </c>
      <c r="L529" s="2">
        <f t="shared" si="151"/>
        <v>-56486408.490371622</v>
      </c>
      <c r="N529" s="42">
        <f t="shared" si="152"/>
        <v>2106930.2598657594</v>
      </c>
      <c r="O529" s="42">
        <f t="shared" si="153"/>
        <v>668843231418.46448</v>
      </c>
      <c r="P529" s="4">
        <f t="shared" si="154"/>
        <v>-835319.01986575942</v>
      </c>
      <c r="Q529" s="4">
        <f t="shared" si="155"/>
        <v>697757864949.49292</v>
      </c>
      <c r="R529" s="43">
        <f t="shared" si="156"/>
        <v>2.3139058406195434E-3</v>
      </c>
      <c r="S529" s="4">
        <f t="shared" si="157"/>
        <v>-0.6872637683231938</v>
      </c>
      <c r="T529" s="30">
        <f t="shared" si="158"/>
        <v>1991952.2890070195</v>
      </c>
      <c r="U529" s="31">
        <f t="shared" si="159"/>
        <v>2221908.2307244996</v>
      </c>
      <c r="V529" s="31">
        <f t="shared" si="160"/>
        <v>4496796.6647160603</v>
      </c>
      <c r="W529" s="42">
        <f t="shared" si="161"/>
        <v>4499935.6486778045</v>
      </c>
    </row>
    <row r="530" spans="2:23" x14ac:dyDescent="0.3">
      <c r="B530" s="2">
        <v>522</v>
      </c>
      <c r="C530" s="2">
        <v>5463</v>
      </c>
      <c r="D530" s="4">
        <v>3557560.23</v>
      </c>
      <c r="E530" s="4">
        <f t="shared" si="144"/>
        <v>19434951536.490002</v>
      </c>
      <c r="F530" s="2">
        <f t="shared" si="145"/>
        <v>29844369</v>
      </c>
      <c r="G530" s="2">
        <f t="shared" si="146"/>
        <v>12656234790077.652</v>
      </c>
      <c r="H530" s="42">
        <f t="shared" si="147"/>
        <v>438.51900000000023</v>
      </c>
      <c r="I530" s="2">
        <f t="shared" si="148"/>
        <v>192298.91336100022</v>
      </c>
      <c r="J530" s="4">
        <f t="shared" si="149"/>
        <v>2268458.3331900006</v>
      </c>
      <c r="K530" s="2">
        <f t="shared" si="150"/>
        <v>5145903209419.1563</v>
      </c>
      <c r="L530" s="2">
        <f t="shared" si="151"/>
        <v>994762079.81214643</v>
      </c>
      <c r="N530" s="42">
        <f t="shared" si="152"/>
        <v>1400150.4077303093</v>
      </c>
      <c r="O530" s="42">
        <f t="shared" si="153"/>
        <v>12331771777.618244</v>
      </c>
      <c r="P530" s="4">
        <f t="shared" si="154"/>
        <v>2157409.8222696907</v>
      </c>
      <c r="Q530" s="4">
        <f t="shared" si="155"/>
        <v>4654417141225.7383</v>
      </c>
      <c r="R530" s="43">
        <f t="shared" si="156"/>
        <v>1.0242250892327001E-3</v>
      </c>
      <c r="S530" s="4">
        <f t="shared" si="157"/>
        <v>1.7738758110787285</v>
      </c>
      <c r="T530" s="30">
        <f t="shared" si="158"/>
        <v>1323654.2707963234</v>
      </c>
      <c r="U530" s="31">
        <f t="shared" si="159"/>
        <v>1476646.5446642952</v>
      </c>
      <c r="V530" s="31">
        <f t="shared" si="160"/>
        <v>3791557.8819699194</v>
      </c>
      <c r="W530" s="42">
        <f t="shared" si="161"/>
        <v>3791615.7568555097</v>
      </c>
    </row>
    <row r="531" spans="2:23" x14ac:dyDescent="0.3">
      <c r="B531" s="2">
        <v>523</v>
      </c>
      <c r="C531" s="2">
        <v>6222</v>
      </c>
      <c r="D531" s="4">
        <v>2720258.4</v>
      </c>
      <c r="E531" s="4">
        <f t="shared" si="144"/>
        <v>16925447764.799999</v>
      </c>
      <c r="F531" s="2">
        <f t="shared" si="145"/>
        <v>38713284</v>
      </c>
      <c r="G531" s="2">
        <f t="shared" si="146"/>
        <v>7399805762770.5596</v>
      </c>
      <c r="H531" s="42">
        <f t="shared" si="147"/>
        <v>1197.5190000000002</v>
      </c>
      <c r="I531" s="2">
        <f t="shared" si="148"/>
        <v>1434051.7553610005</v>
      </c>
      <c r="J531" s="4">
        <f t="shared" si="149"/>
        <v>1431156.5031900008</v>
      </c>
      <c r="K531" s="2">
        <f t="shared" si="150"/>
        <v>2048208936623.0308</v>
      </c>
      <c r="L531" s="2">
        <f t="shared" si="151"/>
        <v>1713837104.543587</v>
      </c>
      <c r="N531" s="42">
        <f t="shared" si="152"/>
        <v>1592356.0357384807</v>
      </c>
      <c r="O531" s="42">
        <f t="shared" si="153"/>
        <v>91963072777.254822</v>
      </c>
      <c r="P531" s="4">
        <f t="shared" si="154"/>
        <v>1127902.3642615192</v>
      </c>
      <c r="Q531" s="4">
        <f t="shared" si="155"/>
        <v>1272163743306.7246</v>
      </c>
      <c r="R531" s="43">
        <f t="shared" si="156"/>
        <v>1.1806564120968985E-3</v>
      </c>
      <c r="S531" s="4">
        <f t="shared" si="157"/>
        <v>0.92746188975343236</v>
      </c>
      <c r="T531" s="30">
        <f t="shared" si="158"/>
        <v>1510225.7064990355</v>
      </c>
      <c r="U531" s="31">
        <f t="shared" si="159"/>
        <v>1674486.364977926</v>
      </c>
      <c r="V531" s="31">
        <f t="shared" si="160"/>
        <v>3983576.6394958827</v>
      </c>
      <c r="W531" s="42">
        <f t="shared" si="161"/>
        <v>3984008.236222839</v>
      </c>
    </row>
    <row r="532" spans="2:23" x14ac:dyDescent="0.3">
      <c r="B532" s="2">
        <v>524</v>
      </c>
      <c r="C532" s="2">
        <v>3506</v>
      </c>
      <c r="D532" s="4">
        <v>2342954.62</v>
      </c>
      <c r="E532" s="4">
        <f t="shared" si="144"/>
        <v>8214398897.7200003</v>
      </c>
      <c r="F532" s="2">
        <f t="shared" si="145"/>
        <v>12292036</v>
      </c>
      <c r="G532" s="2">
        <f t="shared" si="146"/>
        <v>5489436351379.3447</v>
      </c>
      <c r="H532" s="42">
        <f t="shared" si="147"/>
        <v>-1518.4809999999998</v>
      </c>
      <c r="I532" s="2">
        <f t="shared" si="148"/>
        <v>2305784.5473609995</v>
      </c>
      <c r="J532" s="4">
        <f t="shared" si="149"/>
        <v>1053852.723190001</v>
      </c>
      <c r="K532" s="2">
        <f t="shared" si="150"/>
        <v>1110605562174.9807</v>
      </c>
      <c r="L532" s="2">
        <f t="shared" si="151"/>
        <v>-1600255336.9622757</v>
      </c>
      <c r="N532" s="42">
        <f t="shared" si="152"/>
        <v>904568.83459198044</v>
      </c>
      <c r="O532" s="42">
        <f t="shared" si="153"/>
        <v>147865675938.76663</v>
      </c>
      <c r="P532" s="4">
        <f t="shared" si="154"/>
        <v>1438385.7854080196</v>
      </c>
      <c r="Q532" s="4">
        <f t="shared" si="155"/>
        <v>2068953667663.8452</v>
      </c>
      <c r="R532" s="43">
        <f t="shared" si="156"/>
        <v>1.2904740096286466E-3</v>
      </c>
      <c r="S532" s="4">
        <f t="shared" si="157"/>
        <v>1.182834068452435</v>
      </c>
      <c r="T532" s="30">
        <f t="shared" si="158"/>
        <v>818703.78405642742</v>
      </c>
      <c r="U532" s="31">
        <f t="shared" si="159"/>
        <v>990433.88512753346</v>
      </c>
      <c r="V532" s="31">
        <f t="shared" si="160"/>
        <v>3295658.2431903752</v>
      </c>
      <c r="W532" s="42">
        <f t="shared" si="161"/>
        <v>3296352.1993648368</v>
      </c>
    </row>
    <row r="533" spans="2:23" x14ac:dyDescent="0.3">
      <c r="B533" s="2">
        <v>525</v>
      </c>
      <c r="C533" s="2">
        <v>7318</v>
      </c>
      <c r="D533" s="4">
        <v>68276.94</v>
      </c>
      <c r="E533" s="4">
        <f t="shared" si="144"/>
        <v>499650646.92000002</v>
      </c>
      <c r="F533" s="2">
        <f t="shared" si="145"/>
        <v>53553124</v>
      </c>
      <c r="G533" s="2">
        <f t="shared" si="146"/>
        <v>4661740535.7636003</v>
      </c>
      <c r="H533" s="42">
        <f t="shared" si="147"/>
        <v>2293.5190000000002</v>
      </c>
      <c r="I533" s="2">
        <f t="shared" si="148"/>
        <v>5260229.4033610011</v>
      </c>
      <c r="J533" s="4">
        <f t="shared" si="149"/>
        <v>-1220824.9568099992</v>
      </c>
      <c r="K533" s="2">
        <f t="shared" si="150"/>
        <v>1490413575170.1365</v>
      </c>
      <c r="L533" s="2">
        <f t="shared" si="151"/>
        <v>-2799985234.1179128</v>
      </c>
      <c r="N533" s="42">
        <f t="shared" si="152"/>
        <v>1869901.9755236665</v>
      </c>
      <c r="O533" s="42">
        <f t="shared" si="153"/>
        <v>337328731433.80219</v>
      </c>
      <c r="P533" s="4">
        <f t="shared" si="154"/>
        <v>-1801625.0355236665</v>
      </c>
      <c r="Q533" s="4">
        <f t="shared" si="155"/>
        <v>3245852768625.6528</v>
      </c>
      <c r="R533" s="43">
        <f t="shared" si="156"/>
        <v>1.6626637896890862E-3</v>
      </c>
      <c r="S533" s="4">
        <f t="shared" si="157"/>
        <v>-1.4818143284256975</v>
      </c>
      <c r="T533" s="30">
        <f t="shared" si="158"/>
        <v>1772438.0233558696</v>
      </c>
      <c r="U533" s="31">
        <f t="shared" si="159"/>
        <v>1967365.9276914634</v>
      </c>
      <c r="V533" s="31">
        <f t="shared" si="160"/>
        <v>4260546.6887428276</v>
      </c>
      <c r="W533" s="42">
        <f t="shared" si="161"/>
        <v>4262129.8240098553</v>
      </c>
    </row>
    <row r="534" spans="2:23" x14ac:dyDescent="0.3">
      <c r="B534" s="2">
        <v>526</v>
      </c>
      <c r="C534" s="2">
        <v>9696</v>
      </c>
      <c r="D534" s="4">
        <v>460075.2</v>
      </c>
      <c r="E534" s="4">
        <f t="shared" si="144"/>
        <v>4460889139.1999998</v>
      </c>
      <c r="F534" s="2">
        <f t="shared" si="145"/>
        <v>94012416</v>
      </c>
      <c r="G534" s="2">
        <f t="shared" si="146"/>
        <v>211669189655.04001</v>
      </c>
      <c r="H534" s="42">
        <f t="shared" si="147"/>
        <v>4671.5190000000002</v>
      </c>
      <c r="I534" s="2">
        <f t="shared" si="148"/>
        <v>21823089.767361004</v>
      </c>
      <c r="J534" s="4">
        <f t="shared" si="149"/>
        <v>-829026.69680999918</v>
      </c>
      <c r="K534" s="2">
        <f t="shared" si="150"/>
        <v>687285264023.69824</v>
      </c>
      <c r="L534" s="2">
        <f t="shared" si="151"/>
        <v>-3872813965.6551509</v>
      </c>
      <c r="N534" s="42">
        <f t="shared" si="152"/>
        <v>2472095.6295466335</v>
      </c>
      <c r="O534" s="42">
        <f t="shared" si="153"/>
        <v>1399474171694.1555</v>
      </c>
      <c r="P534" s="4">
        <f t="shared" si="154"/>
        <v>-2012020.4295466335</v>
      </c>
      <c r="Q534" s="4">
        <f t="shared" si="155"/>
        <v>4048226208913.0195</v>
      </c>
      <c r="R534" s="43">
        <f t="shared" si="156"/>
        <v>3.7491902460992533E-3</v>
      </c>
      <c r="S534" s="4">
        <f t="shared" si="157"/>
        <v>-1.6565939874490812</v>
      </c>
      <c r="T534" s="30">
        <f t="shared" si="158"/>
        <v>2325739.6273338064</v>
      </c>
      <c r="U534" s="31">
        <f t="shared" si="159"/>
        <v>2618451.6317594605</v>
      </c>
      <c r="V534" s="31">
        <f t="shared" si="160"/>
        <v>4860245.8106347434</v>
      </c>
      <c r="W534" s="42">
        <f t="shared" si="161"/>
        <v>4866813.762539411</v>
      </c>
    </row>
    <row r="535" spans="2:23" x14ac:dyDescent="0.3">
      <c r="B535" s="2">
        <v>527</v>
      </c>
      <c r="C535" s="2">
        <v>9707</v>
      </c>
      <c r="D535" s="4">
        <v>1481094.06</v>
      </c>
      <c r="E535" s="4">
        <f t="shared" si="144"/>
        <v>14376980040.42</v>
      </c>
      <c r="F535" s="2">
        <f t="shared" si="145"/>
        <v>94225849</v>
      </c>
      <c r="G535" s="2">
        <f t="shared" si="146"/>
        <v>2193639614567.2837</v>
      </c>
      <c r="H535" s="42">
        <f t="shared" si="147"/>
        <v>4682.5190000000002</v>
      </c>
      <c r="I535" s="2">
        <f t="shared" si="148"/>
        <v>21925984.185361002</v>
      </c>
      <c r="J535" s="4">
        <f t="shared" si="149"/>
        <v>191992.16319000092</v>
      </c>
      <c r="K535" s="2">
        <f t="shared" si="150"/>
        <v>36860990726.375946</v>
      </c>
      <c r="L535" s="2">
        <f t="shared" si="151"/>
        <v>899006951.98827994</v>
      </c>
      <c r="N535" s="42">
        <f t="shared" si="152"/>
        <v>2474881.2183583463</v>
      </c>
      <c r="O535" s="42">
        <f t="shared" si="153"/>
        <v>1406072599411.6584</v>
      </c>
      <c r="P535" s="4">
        <f t="shared" si="154"/>
        <v>-993787.15835834621</v>
      </c>
      <c r="Q535" s="4">
        <f t="shared" si="155"/>
        <v>987612916117.95667</v>
      </c>
      <c r="R535" s="43">
        <f t="shared" si="156"/>
        <v>3.7621524954122142E-3</v>
      </c>
      <c r="S535" s="4">
        <f t="shared" si="157"/>
        <v>-0.81823848173221214</v>
      </c>
      <c r="T535" s="30">
        <f t="shared" si="158"/>
        <v>2328272.4327499545</v>
      </c>
      <c r="U535" s="31">
        <f t="shared" si="159"/>
        <v>2621490.003966738</v>
      </c>
      <c r="V535" s="31">
        <f t="shared" si="160"/>
        <v>4863015.8943758709</v>
      </c>
      <c r="W535" s="42">
        <f t="shared" si="161"/>
        <v>4869614.8137961067</v>
      </c>
    </row>
    <row r="536" spans="2:23" x14ac:dyDescent="0.3">
      <c r="B536" s="2">
        <v>528</v>
      </c>
      <c r="C536" s="2">
        <v>8448</v>
      </c>
      <c r="D536" s="4">
        <v>400857.60000000003</v>
      </c>
      <c r="E536" s="4">
        <f t="shared" si="144"/>
        <v>3386445004.8000002</v>
      </c>
      <c r="F536" s="2">
        <f t="shared" si="145"/>
        <v>71368704</v>
      </c>
      <c r="G536" s="2">
        <f t="shared" si="146"/>
        <v>160686815477.76004</v>
      </c>
      <c r="H536" s="42">
        <f t="shared" si="147"/>
        <v>3423.5190000000002</v>
      </c>
      <c r="I536" s="2">
        <f t="shared" si="148"/>
        <v>11720482.343361001</v>
      </c>
      <c r="J536" s="4">
        <f t="shared" si="149"/>
        <v>-888244.29680999904</v>
      </c>
      <c r="K536" s="2">
        <f t="shared" si="150"/>
        <v>788977930815.48962</v>
      </c>
      <c r="L536" s="2">
        <f t="shared" si="151"/>
        <v>-3040921226.7706714</v>
      </c>
      <c r="N536" s="42">
        <f t="shared" si="152"/>
        <v>2156057.9170905096</v>
      </c>
      <c r="O536" s="42">
        <f t="shared" si="153"/>
        <v>751612741100.62085</v>
      </c>
      <c r="P536" s="4">
        <f t="shared" si="154"/>
        <v>-1755200.3170905095</v>
      </c>
      <c r="Q536" s="4">
        <f t="shared" si="155"/>
        <v>3080728153114.625</v>
      </c>
      <c r="R536" s="43">
        <f t="shared" si="156"/>
        <v>2.4765020023029979E-3</v>
      </c>
      <c r="S536" s="4">
        <f t="shared" si="157"/>
        <v>-1.4442193504068637</v>
      </c>
      <c r="T536" s="30">
        <f t="shared" si="158"/>
        <v>2037108.8225446611</v>
      </c>
      <c r="U536" s="31">
        <f t="shared" si="159"/>
        <v>2275007.0116363582</v>
      </c>
      <c r="V536" s="31">
        <f t="shared" si="160"/>
        <v>4545729.961476855</v>
      </c>
      <c r="W536" s="42">
        <f t="shared" si="161"/>
        <v>4549257.3956534583</v>
      </c>
    </row>
    <row r="537" spans="2:23" x14ac:dyDescent="0.3">
      <c r="B537" s="2">
        <v>529</v>
      </c>
      <c r="C537" s="2">
        <v>4051</v>
      </c>
      <c r="D537" s="4">
        <v>833290.7</v>
      </c>
      <c r="E537" s="4">
        <f t="shared" si="144"/>
        <v>3375660625.6999998</v>
      </c>
      <c r="F537" s="2">
        <f t="shared" si="145"/>
        <v>16410601</v>
      </c>
      <c r="G537" s="2">
        <f t="shared" si="146"/>
        <v>694373390706.48987</v>
      </c>
      <c r="H537" s="42">
        <f t="shared" si="147"/>
        <v>-973.48099999999977</v>
      </c>
      <c r="I537" s="2">
        <f t="shared" si="148"/>
        <v>947665.25736099959</v>
      </c>
      <c r="J537" s="4">
        <f t="shared" si="149"/>
        <v>-455811.19680999918</v>
      </c>
      <c r="K537" s="2">
        <f t="shared" si="150"/>
        <v>207763847137.3638</v>
      </c>
      <c r="L537" s="2">
        <f t="shared" si="151"/>
        <v>443723539.6817947</v>
      </c>
      <c r="N537" s="42">
        <f t="shared" si="152"/>
        <v>1042582.0984450153</v>
      </c>
      <c r="O537" s="42">
        <f t="shared" si="153"/>
        <v>60772010985.912308</v>
      </c>
      <c r="P537" s="4">
        <f t="shared" si="154"/>
        <v>-209291.39844501531</v>
      </c>
      <c r="Q537" s="4">
        <f t="shared" si="155"/>
        <v>43802889463.070152</v>
      </c>
      <c r="R537" s="43">
        <f t="shared" si="156"/>
        <v>1.1193832821052017E-3</v>
      </c>
      <c r="S537" s="4">
        <f t="shared" si="157"/>
        <v>-0.17209277012650434</v>
      </c>
      <c r="T537" s="30">
        <f t="shared" si="158"/>
        <v>962611.34145569534</v>
      </c>
      <c r="U537" s="31">
        <f t="shared" si="159"/>
        <v>1122552.8554343353</v>
      </c>
      <c r="V537" s="31">
        <f t="shared" si="160"/>
        <v>3433875.8998925602</v>
      </c>
      <c r="W537" s="42">
        <f t="shared" si="161"/>
        <v>3434161.1122085452</v>
      </c>
    </row>
    <row r="538" spans="2:23" x14ac:dyDescent="0.3">
      <c r="B538" s="2">
        <v>530</v>
      </c>
      <c r="C538" s="2">
        <v>6676</v>
      </c>
      <c r="D538" s="4">
        <v>1704249.28</v>
      </c>
      <c r="E538" s="4">
        <f t="shared" si="144"/>
        <v>11377568193.280001</v>
      </c>
      <c r="F538" s="2">
        <f t="shared" si="145"/>
        <v>44568976</v>
      </c>
      <c r="G538" s="2">
        <f t="shared" si="146"/>
        <v>2904465608380.5186</v>
      </c>
      <c r="H538" s="42">
        <f t="shared" si="147"/>
        <v>1651.5190000000002</v>
      </c>
      <c r="I538" s="2">
        <f t="shared" si="148"/>
        <v>2727515.0073610009</v>
      </c>
      <c r="J538" s="4">
        <f t="shared" si="149"/>
        <v>415147.3831900009</v>
      </c>
      <c r="K538" s="2">
        <f t="shared" si="150"/>
        <v>172347349769.50543</v>
      </c>
      <c r="L538" s="2">
        <f t="shared" si="151"/>
        <v>685623791.13856721</v>
      </c>
      <c r="N538" s="42">
        <f t="shared" si="152"/>
        <v>1707324.8830582567</v>
      </c>
      <c r="O538" s="42">
        <f t="shared" si="153"/>
        <v>174910466226.41025</v>
      </c>
      <c r="P538" s="4">
        <f t="shared" si="154"/>
        <v>-3075.6030582566746</v>
      </c>
      <c r="Q538" s="4">
        <f t="shared" si="155"/>
        <v>9459334.1719578095</v>
      </c>
      <c r="R538" s="43">
        <f t="shared" si="156"/>
        <v>1.3436020166833122E-3</v>
      </c>
      <c r="S538" s="4">
        <f t="shared" si="157"/>
        <v>-2.529241377323169E-3</v>
      </c>
      <c r="T538" s="30">
        <f t="shared" si="158"/>
        <v>1619710.1540007163</v>
      </c>
      <c r="U538" s="31">
        <f t="shared" si="159"/>
        <v>1794939.6121157971</v>
      </c>
      <c r="V538" s="31">
        <f t="shared" si="160"/>
        <v>4098350.8189416528</v>
      </c>
      <c r="W538" s="42">
        <f t="shared" si="161"/>
        <v>4099171.7004461344</v>
      </c>
    </row>
    <row r="539" spans="2:23" x14ac:dyDescent="0.3">
      <c r="B539" s="2">
        <v>531</v>
      </c>
      <c r="C539" s="2">
        <v>3516</v>
      </c>
      <c r="D539" s="4">
        <v>2349637.3199999998</v>
      </c>
      <c r="E539" s="4">
        <f t="shared" si="144"/>
        <v>8261324817.1199999</v>
      </c>
      <c r="F539" s="2">
        <f t="shared" si="145"/>
        <v>12362256</v>
      </c>
      <c r="G539" s="2">
        <f t="shared" si="146"/>
        <v>5520795535536.7813</v>
      </c>
      <c r="H539" s="42">
        <f t="shared" si="147"/>
        <v>-1508.4809999999998</v>
      </c>
      <c r="I539" s="2">
        <f t="shared" si="148"/>
        <v>2275514.9273609994</v>
      </c>
      <c r="J539" s="4">
        <f t="shared" si="149"/>
        <v>1060535.4231900007</v>
      </c>
      <c r="K539" s="2">
        <f t="shared" si="150"/>
        <v>1124735383840.7939</v>
      </c>
      <c r="L539" s="2">
        <f t="shared" si="151"/>
        <v>-1599797535.7090752</v>
      </c>
      <c r="N539" s="42">
        <f t="shared" si="152"/>
        <v>907101.18805717374</v>
      </c>
      <c r="O539" s="42">
        <f t="shared" si="153"/>
        <v>145924541487.66092</v>
      </c>
      <c r="P539" s="4">
        <f t="shared" si="154"/>
        <v>1442536.1319428261</v>
      </c>
      <c r="Q539" s="4">
        <f t="shared" si="155"/>
        <v>2080910491960.5706</v>
      </c>
      <c r="R539" s="43">
        <f t="shared" si="156"/>
        <v>1.2866607574748847E-3</v>
      </c>
      <c r="S539" s="4">
        <f t="shared" si="157"/>
        <v>1.1862447764092849</v>
      </c>
      <c r="T539" s="30">
        <f t="shared" si="158"/>
        <v>821363.09371117002</v>
      </c>
      <c r="U539" s="31">
        <f t="shared" si="159"/>
        <v>992839.28240317747</v>
      </c>
      <c r="V539" s="31">
        <f t="shared" si="160"/>
        <v>3298195.1523322733</v>
      </c>
      <c r="W539" s="42">
        <f t="shared" si="161"/>
        <v>3298879.9984664423</v>
      </c>
    </row>
    <row r="540" spans="2:23" x14ac:dyDescent="0.3">
      <c r="B540" s="2">
        <v>532</v>
      </c>
      <c r="C540" s="2">
        <v>3794</v>
      </c>
      <c r="D540" s="4">
        <v>2470690.7400000002</v>
      </c>
      <c r="E540" s="4">
        <f t="shared" si="144"/>
        <v>9373800667.5600014</v>
      </c>
      <c r="F540" s="2">
        <f t="shared" si="145"/>
        <v>14394436</v>
      </c>
      <c r="G540" s="2">
        <f t="shared" si="146"/>
        <v>6104312732721.749</v>
      </c>
      <c r="H540" s="42">
        <f t="shared" si="147"/>
        <v>-1230.4809999999998</v>
      </c>
      <c r="I540" s="2">
        <f t="shared" si="148"/>
        <v>1514083.4913609994</v>
      </c>
      <c r="J540" s="4">
        <f t="shared" si="149"/>
        <v>1181588.8431900011</v>
      </c>
      <c r="K540" s="2">
        <f t="shared" si="150"/>
        <v>1396152194351.085</v>
      </c>
      <c r="L540" s="2">
        <f t="shared" si="151"/>
        <v>-1453922621.3572755</v>
      </c>
      <c r="N540" s="42">
        <f t="shared" si="152"/>
        <v>977500.6143895475</v>
      </c>
      <c r="O540" s="42">
        <f t="shared" si="153"/>
        <v>97095359206.070068</v>
      </c>
      <c r="P540" s="4">
        <f t="shared" si="154"/>
        <v>1493190.1256104526</v>
      </c>
      <c r="Q540" s="4">
        <f t="shared" si="155"/>
        <v>2229616751220.5591</v>
      </c>
      <c r="R540" s="43">
        <f t="shared" si="156"/>
        <v>1.1907385072692628E-3</v>
      </c>
      <c r="S540" s="4">
        <f t="shared" si="157"/>
        <v>1.2278402537990933</v>
      </c>
      <c r="T540" s="30">
        <f t="shared" si="158"/>
        <v>895020.35881166416</v>
      </c>
      <c r="U540" s="31">
        <f t="shared" si="159"/>
        <v>1059980.8699674308</v>
      </c>
      <c r="V540" s="31">
        <f t="shared" si="160"/>
        <v>3368709.173728256</v>
      </c>
      <c r="W540" s="42">
        <f t="shared" si="161"/>
        <v>3369164.8570584236</v>
      </c>
    </row>
    <row r="541" spans="2:23" x14ac:dyDescent="0.3">
      <c r="B541" s="2">
        <v>533</v>
      </c>
      <c r="C541" s="2">
        <v>3765</v>
      </c>
      <c r="D541" s="4">
        <v>774460.5</v>
      </c>
      <c r="E541" s="4">
        <f t="shared" si="144"/>
        <v>2915843782.5</v>
      </c>
      <c r="F541" s="2">
        <f t="shared" si="145"/>
        <v>14175225</v>
      </c>
      <c r="G541" s="2">
        <f t="shared" si="146"/>
        <v>599789066060.25</v>
      </c>
      <c r="H541" s="42">
        <f t="shared" si="147"/>
        <v>-1259.4809999999998</v>
      </c>
      <c r="I541" s="2">
        <f t="shared" si="148"/>
        <v>1586292.3893609995</v>
      </c>
      <c r="J541" s="4">
        <f t="shared" si="149"/>
        <v>-514641.39680999913</v>
      </c>
      <c r="K541" s="2">
        <f t="shared" si="150"/>
        <v>264855767310.547</v>
      </c>
      <c r="L541" s="2">
        <f t="shared" si="151"/>
        <v>648181061.09565437</v>
      </c>
      <c r="N541" s="42">
        <f t="shared" si="152"/>
        <v>970156.78934048698</v>
      </c>
      <c r="O541" s="42">
        <f t="shared" si="153"/>
        <v>101725981578.73865</v>
      </c>
      <c r="P541" s="4">
        <f t="shared" si="154"/>
        <v>-195696.28934048698</v>
      </c>
      <c r="Q541" s="4">
        <f t="shared" si="155"/>
        <v>38297037661.635597</v>
      </c>
      <c r="R541" s="43">
        <f t="shared" si="156"/>
        <v>1.1998351109206891E-3</v>
      </c>
      <c r="S541" s="4">
        <f t="shared" si="157"/>
        <v>-0.1609204826924876</v>
      </c>
      <c r="T541" s="30">
        <f t="shared" si="158"/>
        <v>887362.08072219673</v>
      </c>
      <c r="U541" s="31">
        <f t="shared" si="159"/>
        <v>1052951.4979587772</v>
      </c>
      <c r="V541" s="31">
        <f t="shared" si="160"/>
        <v>3361354.4815106066</v>
      </c>
      <c r="W541" s="42">
        <f t="shared" si="161"/>
        <v>3361831.8970580632</v>
      </c>
    </row>
    <row r="542" spans="2:23" x14ac:dyDescent="0.3">
      <c r="B542" s="2">
        <v>534</v>
      </c>
      <c r="C542" s="2">
        <v>1715</v>
      </c>
      <c r="D542" s="4">
        <v>81376.75</v>
      </c>
      <c r="E542" s="4">
        <f t="shared" si="144"/>
        <v>139561126.25</v>
      </c>
      <c r="F542" s="2">
        <f t="shared" si="145"/>
        <v>2941225</v>
      </c>
      <c r="G542" s="2">
        <f t="shared" si="146"/>
        <v>6622175440.5625</v>
      </c>
      <c r="H542" s="42">
        <f t="shared" si="147"/>
        <v>-3309.4809999999998</v>
      </c>
      <c r="I542" s="2">
        <f t="shared" si="148"/>
        <v>10952664.489360999</v>
      </c>
      <c r="J542" s="4">
        <f t="shared" si="149"/>
        <v>-1207725.1468099991</v>
      </c>
      <c r="K542" s="2">
        <f t="shared" si="150"/>
        <v>1458600030237.2339</v>
      </c>
      <c r="L542" s="2">
        <f t="shared" si="151"/>
        <v>3996943426.5899024</v>
      </c>
      <c r="N542" s="42">
        <f t="shared" si="152"/>
        <v>451024.32897586032</v>
      </c>
      <c r="O542" s="42">
        <f t="shared" si="153"/>
        <v>702374009706.78564</v>
      </c>
      <c r="P542" s="4">
        <f t="shared" si="154"/>
        <v>-369647.57897586032</v>
      </c>
      <c r="Q542" s="4">
        <f t="shared" si="155"/>
        <v>136639332642.71489</v>
      </c>
      <c r="R542" s="43">
        <f t="shared" si="156"/>
        <v>2.3797752153310297E-3</v>
      </c>
      <c r="S542" s="4">
        <f t="shared" si="157"/>
        <v>-0.30413981815614727</v>
      </c>
      <c r="T542" s="30">
        <f t="shared" si="158"/>
        <v>334421.31740326906</v>
      </c>
      <c r="U542" s="31">
        <f t="shared" si="159"/>
        <v>567627.34054845164</v>
      </c>
      <c r="V542" s="31">
        <f t="shared" si="160"/>
        <v>2840811.9983111713</v>
      </c>
      <c r="W542" s="42">
        <f t="shared" si="161"/>
        <v>2844108.3474358246</v>
      </c>
    </row>
    <row r="543" spans="2:23" x14ac:dyDescent="0.3">
      <c r="B543" s="2">
        <v>535</v>
      </c>
      <c r="C543" s="2">
        <v>2963</v>
      </c>
      <c r="D543" s="4">
        <v>1980084.01</v>
      </c>
      <c r="E543" s="4">
        <f t="shared" si="144"/>
        <v>5866988921.6300001</v>
      </c>
      <c r="F543" s="2">
        <f t="shared" si="145"/>
        <v>8779369</v>
      </c>
      <c r="G543" s="2">
        <f t="shared" si="146"/>
        <v>3920732686657.6802</v>
      </c>
      <c r="H543" s="42">
        <f t="shared" si="147"/>
        <v>-2061.4809999999998</v>
      </c>
      <c r="I543" s="2">
        <f t="shared" si="148"/>
        <v>4249703.913360999</v>
      </c>
      <c r="J543" s="4">
        <f t="shared" si="149"/>
        <v>690982.11319000088</v>
      </c>
      <c r="K543" s="2">
        <f t="shared" si="150"/>
        <v>477456280748.51917</v>
      </c>
      <c r="L543" s="2">
        <f t="shared" si="151"/>
        <v>-1424446497.681036</v>
      </c>
      <c r="N543" s="42">
        <f t="shared" si="152"/>
        <v>767062.04143198417</v>
      </c>
      <c r="O543" s="42">
        <f t="shared" si="153"/>
        <v>272525610603.09879</v>
      </c>
      <c r="P543" s="4">
        <f t="shared" si="154"/>
        <v>1213021.9685680158</v>
      </c>
      <c r="Q543" s="4">
        <f t="shared" si="155"/>
        <v>1471422296228.6245</v>
      </c>
      <c r="R543" s="43">
        <f t="shared" si="156"/>
        <v>1.5353616134089112E-3</v>
      </c>
      <c r="S543" s="4">
        <f t="shared" si="157"/>
        <v>0.99763197533386416</v>
      </c>
      <c r="T543" s="30">
        <f t="shared" si="158"/>
        <v>673403.55438882066</v>
      </c>
      <c r="U543" s="31">
        <f t="shared" si="159"/>
        <v>860720.52847514767</v>
      </c>
      <c r="V543" s="31">
        <f t="shared" si="160"/>
        <v>3157858.8656350952</v>
      </c>
      <c r="W543" s="42">
        <f t="shared" si="161"/>
        <v>3159137.8699323907</v>
      </c>
    </row>
    <row r="544" spans="2:23" x14ac:dyDescent="0.3">
      <c r="B544" s="2">
        <v>536</v>
      </c>
      <c r="C544" s="2">
        <v>4855</v>
      </c>
      <c r="D544" s="4">
        <v>747961.3</v>
      </c>
      <c r="E544" s="4">
        <f t="shared" si="144"/>
        <v>3631352111.5</v>
      </c>
      <c r="F544" s="2">
        <f t="shared" si="145"/>
        <v>23571025</v>
      </c>
      <c r="G544" s="2">
        <f t="shared" si="146"/>
        <v>559446106297.69006</v>
      </c>
      <c r="H544" s="42">
        <f t="shared" si="147"/>
        <v>-169.48099999999977</v>
      </c>
      <c r="I544" s="2">
        <f t="shared" si="148"/>
        <v>28723.80936099992</v>
      </c>
      <c r="J544" s="4">
        <f t="shared" si="149"/>
        <v>-541140.59680999909</v>
      </c>
      <c r="K544" s="2">
        <f t="shared" si="150"/>
        <v>292833145515.88202</v>
      </c>
      <c r="L544" s="2">
        <f t="shared" si="151"/>
        <v>91713049.487955332</v>
      </c>
      <c r="N544" s="42">
        <f t="shared" si="152"/>
        <v>1246183.3170465566</v>
      </c>
      <c r="O544" s="42">
        <f t="shared" si="153"/>
        <v>1842004488.9109769</v>
      </c>
      <c r="P544" s="4">
        <f t="shared" si="154"/>
        <v>-498222.01704655658</v>
      </c>
      <c r="Q544" s="4">
        <f t="shared" si="155"/>
        <v>248225178269.9393</v>
      </c>
      <c r="R544" s="43">
        <f t="shared" si="156"/>
        <v>1.0036185167805239E-3</v>
      </c>
      <c r="S544" s="4">
        <f t="shared" si="157"/>
        <v>-0.40964626210035504</v>
      </c>
      <c r="T544" s="30">
        <f t="shared" si="158"/>
        <v>1170460.6099787785</v>
      </c>
      <c r="U544" s="31">
        <f t="shared" si="159"/>
        <v>1321906.0241143347</v>
      </c>
      <c r="V544" s="31">
        <f t="shared" si="160"/>
        <v>3637615.4064961448</v>
      </c>
      <c r="W544" s="42">
        <f t="shared" si="161"/>
        <v>3637624.0513041224</v>
      </c>
    </row>
    <row r="545" spans="2:23" x14ac:dyDescent="0.3">
      <c r="B545" s="2">
        <v>537</v>
      </c>
      <c r="C545" s="2">
        <v>1772</v>
      </c>
      <c r="D545" s="4">
        <v>1153944.1200000001</v>
      </c>
      <c r="E545" s="4">
        <f t="shared" si="144"/>
        <v>2044788980.6400001</v>
      </c>
      <c r="F545" s="2">
        <f t="shared" si="145"/>
        <v>3139984</v>
      </c>
      <c r="G545" s="2">
        <f t="shared" si="146"/>
        <v>1331587032082.5747</v>
      </c>
      <c r="H545" s="42">
        <f t="shared" si="147"/>
        <v>-3252.4809999999998</v>
      </c>
      <c r="I545" s="2">
        <f t="shared" si="148"/>
        <v>10578632.655360999</v>
      </c>
      <c r="J545" s="4">
        <f t="shared" si="149"/>
        <v>-135157.77680999902</v>
      </c>
      <c r="K545" s="2">
        <f t="shared" si="150"/>
        <v>18267624632.221508</v>
      </c>
      <c r="L545" s="2">
        <f t="shared" si="151"/>
        <v>439598101.07676238</v>
      </c>
      <c r="N545" s="42">
        <f t="shared" si="152"/>
        <v>465458.74372746213</v>
      </c>
      <c r="O545" s="42">
        <f t="shared" si="153"/>
        <v>678388043619.74353</v>
      </c>
      <c r="P545" s="4">
        <f t="shared" si="154"/>
        <v>688485.37627253798</v>
      </c>
      <c r="Q545" s="4">
        <f t="shared" si="155"/>
        <v>474012113341.13818</v>
      </c>
      <c r="R545" s="43">
        <f t="shared" si="156"/>
        <v>2.3326561006353033E-3</v>
      </c>
      <c r="S545" s="4">
        <f t="shared" si="157"/>
        <v>0.56646082427253475</v>
      </c>
      <c r="T545" s="30">
        <f t="shared" si="158"/>
        <v>350015.86262645957</v>
      </c>
      <c r="U545" s="31">
        <f t="shared" si="159"/>
        <v>580901.6248284647</v>
      </c>
      <c r="V545" s="31">
        <f t="shared" si="160"/>
        <v>2855302.7361290567</v>
      </c>
      <c r="W545" s="42">
        <f t="shared" si="161"/>
        <v>2858486.5153794326</v>
      </c>
    </row>
    <row r="546" spans="2:23" x14ac:dyDescent="0.3">
      <c r="B546" s="2">
        <v>538</v>
      </c>
      <c r="C546" s="2">
        <v>126</v>
      </c>
      <c r="D546" s="4">
        <v>5978.7000000000007</v>
      </c>
      <c r="E546" s="4">
        <f t="shared" si="144"/>
        <v>753316.20000000007</v>
      </c>
      <c r="F546" s="2">
        <f t="shared" si="145"/>
        <v>15876</v>
      </c>
      <c r="G546" s="2">
        <f t="shared" si="146"/>
        <v>35744853.690000005</v>
      </c>
      <c r="H546" s="42">
        <f t="shared" si="147"/>
        <v>-4898.4809999999998</v>
      </c>
      <c r="I546" s="2">
        <f t="shared" si="148"/>
        <v>23995116.107360996</v>
      </c>
      <c r="J546" s="4">
        <f t="shared" si="149"/>
        <v>-1283123.1968099992</v>
      </c>
      <c r="K546" s="2">
        <f t="shared" si="150"/>
        <v>1646405138191.9119</v>
      </c>
      <c r="L546" s="2">
        <f t="shared" si="151"/>
        <v>6285354600.2330418</v>
      </c>
      <c r="N546" s="42">
        <f t="shared" si="152"/>
        <v>48633.36335664487</v>
      </c>
      <c r="O546" s="42">
        <f t="shared" si="153"/>
        <v>1538762182487.9153</v>
      </c>
      <c r="P546" s="4">
        <f t="shared" si="154"/>
        <v>-42654.663356644873</v>
      </c>
      <c r="Q546" s="4">
        <f t="shared" si="155"/>
        <v>1819420306.0687029</v>
      </c>
      <c r="R546" s="43">
        <f t="shared" si="156"/>
        <v>4.0228139030540743E-3</v>
      </c>
      <c r="S546" s="4">
        <f t="shared" si="157"/>
        <v>-3.5124476630166934E-2</v>
      </c>
      <c r="T546" s="30">
        <f t="shared" si="158"/>
        <v>-102969.27867454101</v>
      </c>
      <c r="U546" s="31">
        <f t="shared" si="159"/>
        <v>200236.00538783075</v>
      </c>
      <c r="V546" s="31">
        <f t="shared" si="160"/>
        <v>2436456.2223108131</v>
      </c>
      <c r="W546" s="42">
        <f t="shared" si="161"/>
        <v>2443677.8761312044</v>
      </c>
    </row>
    <row r="547" spans="2:23" x14ac:dyDescent="0.3">
      <c r="B547" s="2">
        <v>539</v>
      </c>
      <c r="C547" s="2">
        <v>3359</v>
      </c>
      <c r="D547" s="4">
        <v>690946.29999999993</v>
      </c>
      <c r="E547" s="4">
        <f t="shared" si="144"/>
        <v>2320888621.6999998</v>
      </c>
      <c r="F547" s="2">
        <f t="shared" si="145"/>
        <v>11282881</v>
      </c>
      <c r="G547" s="2">
        <f t="shared" si="146"/>
        <v>477406789483.68988</v>
      </c>
      <c r="H547" s="42">
        <f t="shared" si="147"/>
        <v>-1665.4809999999998</v>
      </c>
      <c r="I547" s="2">
        <f t="shared" si="148"/>
        <v>2773826.9613609994</v>
      </c>
      <c r="J547" s="4">
        <f t="shared" si="149"/>
        <v>-598155.5968099992</v>
      </c>
      <c r="K547" s="2">
        <f t="shared" si="150"/>
        <v>357790117995.12634</v>
      </c>
      <c r="L547" s="2">
        <f t="shared" si="151"/>
        <v>996216781.53071415</v>
      </c>
      <c r="N547" s="42">
        <f t="shared" si="152"/>
        <v>867343.23865363887</v>
      </c>
      <c r="O547" s="42">
        <f t="shared" si="153"/>
        <v>177880365729.85355</v>
      </c>
      <c r="P547" s="4">
        <f t="shared" si="154"/>
        <v>-176396.93865363894</v>
      </c>
      <c r="Q547" s="4">
        <f t="shared" si="155"/>
        <v>31115879966.37566</v>
      </c>
      <c r="R547" s="43">
        <f t="shared" si="156"/>
        <v>1.349436221352397E-3</v>
      </c>
      <c r="S547" s="4">
        <f t="shared" si="157"/>
        <v>-0.14506154755614145</v>
      </c>
      <c r="T547" s="30">
        <f t="shared" si="158"/>
        <v>779538.49478413491</v>
      </c>
      <c r="U547" s="31">
        <f t="shared" si="159"/>
        <v>955147.98252314283</v>
      </c>
      <c r="V547" s="31">
        <f t="shared" si="160"/>
        <v>3258362.2042348208</v>
      </c>
      <c r="W547" s="42">
        <f t="shared" si="161"/>
        <v>3259197.0239312178</v>
      </c>
    </row>
    <row r="548" spans="2:23" x14ac:dyDescent="0.3">
      <c r="B548" s="2">
        <v>540</v>
      </c>
      <c r="C548" s="2">
        <v>6944</v>
      </c>
      <c r="D548" s="4">
        <v>329492.80000000005</v>
      </c>
      <c r="E548" s="4">
        <f t="shared" si="144"/>
        <v>2287998003.2000003</v>
      </c>
      <c r="F548" s="2">
        <f t="shared" si="145"/>
        <v>48219136</v>
      </c>
      <c r="G548" s="2">
        <f t="shared" si="146"/>
        <v>108565505251.84003</v>
      </c>
      <c r="H548" s="42">
        <f t="shared" si="147"/>
        <v>1919.5190000000002</v>
      </c>
      <c r="I548" s="2">
        <f t="shared" si="148"/>
        <v>3684553.1913610008</v>
      </c>
      <c r="J548" s="4">
        <f t="shared" si="149"/>
        <v>-959609.09680999909</v>
      </c>
      <c r="K548" s="2">
        <f t="shared" si="150"/>
        <v>920849618680.5022</v>
      </c>
      <c r="L548" s="2">
        <f t="shared" si="151"/>
        <v>-1841987893.8996329</v>
      </c>
      <c r="N548" s="42">
        <f t="shared" si="152"/>
        <v>1775191.9559254372</v>
      </c>
      <c r="O548" s="42">
        <f t="shared" si="153"/>
        <v>236283545570.85004</v>
      </c>
      <c r="P548" s="4">
        <f t="shared" si="154"/>
        <v>-1445699.1559254371</v>
      </c>
      <c r="Q548" s="4">
        <f t="shared" si="155"/>
        <v>2090046049443.5212</v>
      </c>
      <c r="R548" s="43">
        <f t="shared" si="156"/>
        <v>1.4641660646089378E-3</v>
      </c>
      <c r="S548" s="4">
        <f t="shared" si="157"/>
        <v>-1.1889514980195282</v>
      </c>
      <c r="T548" s="30">
        <f t="shared" si="158"/>
        <v>1683730.7407562244</v>
      </c>
      <c r="U548" s="31">
        <f t="shared" si="159"/>
        <v>1866653.1710946499</v>
      </c>
      <c r="V548" s="31">
        <f t="shared" si="160"/>
        <v>4166073.8461355465</v>
      </c>
      <c r="W548" s="42">
        <f t="shared" si="161"/>
        <v>4167182.7608786924</v>
      </c>
    </row>
    <row r="549" spans="2:23" x14ac:dyDescent="0.3">
      <c r="B549" s="2">
        <v>541</v>
      </c>
      <c r="C549" s="2">
        <v>3386</v>
      </c>
      <c r="D549" s="4">
        <v>521647.16000000003</v>
      </c>
      <c r="E549" s="4">
        <f t="shared" si="144"/>
        <v>1766297283.7600002</v>
      </c>
      <c r="F549" s="2">
        <f t="shared" si="145"/>
        <v>11464996</v>
      </c>
      <c r="G549" s="2">
        <f t="shared" si="146"/>
        <v>272115759536.06564</v>
      </c>
      <c r="H549" s="42">
        <f t="shared" si="147"/>
        <v>-1638.4809999999998</v>
      </c>
      <c r="I549" s="2">
        <f t="shared" si="148"/>
        <v>2684619.9873609995</v>
      </c>
      <c r="J549" s="4">
        <f t="shared" si="149"/>
        <v>-767454.7368099991</v>
      </c>
      <c r="K549" s="2">
        <f t="shared" si="150"/>
        <v>588986773052.10498</v>
      </c>
      <c r="L549" s="2">
        <f t="shared" si="151"/>
        <v>1257460004.623184</v>
      </c>
      <c r="N549" s="42">
        <f t="shared" si="152"/>
        <v>874180.59300966084</v>
      </c>
      <c r="O549" s="42">
        <f t="shared" si="153"/>
        <v>172159688347.37262</v>
      </c>
      <c r="P549" s="4">
        <f t="shared" si="154"/>
        <v>-352533.4330096608</v>
      </c>
      <c r="Q549" s="4">
        <f t="shared" si="155"/>
        <v>124279821389.577</v>
      </c>
      <c r="R549" s="43">
        <f t="shared" si="156"/>
        <v>1.3381982644260766E-3</v>
      </c>
      <c r="S549" s="4">
        <f t="shared" si="157"/>
        <v>-0.28990728531306253</v>
      </c>
      <c r="T549" s="30">
        <f t="shared" si="158"/>
        <v>786742.22766585997</v>
      </c>
      <c r="U549" s="31">
        <f t="shared" si="159"/>
        <v>961618.9583534617</v>
      </c>
      <c r="V549" s="31">
        <f t="shared" si="160"/>
        <v>3265212.9849025225</v>
      </c>
      <c r="W549" s="42">
        <f t="shared" si="161"/>
        <v>3266020.9565863544</v>
      </c>
    </row>
    <row r="550" spans="2:23" x14ac:dyDescent="0.3">
      <c r="B550" s="2">
        <v>542</v>
      </c>
      <c r="C550" s="2">
        <v>7221</v>
      </c>
      <c r="D550" s="4">
        <v>3157021.1999999997</v>
      </c>
      <c r="E550" s="4">
        <f t="shared" si="144"/>
        <v>22796850085.199997</v>
      </c>
      <c r="F550" s="2">
        <f t="shared" si="145"/>
        <v>52142841</v>
      </c>
      <c r="G550" s="2">
        <f t="shared" si="146"/>
        <v>9966782857249.4375</v>
      </c>
      <c r="H550" s="42">
        <f t="shared" si="147"/>
        <v>2196.5190000000002</v>
      </c>
      <c r="I550" s="2">
        <f t="shared" si="148"/>
        <v>4824695.7173610013</v>
      </c>
      <c r="J550" s="4">
        <f t="shared" si="149"/>
        <v>1867919.3031900006</v>
      </c>
      <c r="K550" s="2">
        <f t="shared" si="150"/>
        <v>3489122523229.8174</v>
      </c>
      <c r="L550" s="2">
        <f t="shared" si="151"/>
        <v>4102920239.9235973</v>
      </c>
      <c r="N550" s="42">
        <f t="shared" si="152"/>
        <v>1845338.1469112916</v>
      </c>
      <c r="O550" s="42">
        <f t="shared" si="153"/>
        <v>309398765926.74762</v>
      </c>
      <c r="P550" s="4">
        <f t="shared" si="154"/>
        <v>1311683.0530887081</v>
      </c>
      <c r="Q550" s="4">
        <f t="shared" si="155"/>
        <v>1720512431760.1145</v>
      </c>
      <c r="R550" s="43">
        <f t="shared" si="156"/>
        <v>1.6077969044696679E-3</v>
      </c>
      <c r="S550" s="4">
        <f t="shared" si="157"/>
        <v>1.0788134578032242</v>
      </c>
      <c r="T550" s="30">
        <f t="shared" si="158"/>
        <v>1749495.8103700073</v>
      </c>
      <c r="U550" s="31">
        <f t="shared" si="159"/>
        <v>1941180.483452576</v>
      </c>
      <c r="V550" s="31">
        <f t="shared" si="160"/>
        <v>4236048.4207297657</v>
      </c>
      <c r="W550" s="42">
        <f t="shared" si="161"/>
        <v>4237500.4763894537</v>
      </c>
    </row>
    <row r="551" spans="2:23" x14ac:dyDescent="0.3">
      <c r="B551" s="2">
        <v>543</v>
      </c>
      <c r="C551" s="2">
        <v>17</v>
      </c>
      <c r="D551" s="4">
        <v>158.61000000000001</v>
      </c>
      <c r="E551" s="4">
        <f t="shared" si="144"/>
        <v>2696.3700000000003</v>
      </c>
      <c r="F551" s="2">
        <f t="shared" si="145"/>
        <v>289</v>
      </c>
      <c r="G551" s="2">
        <f t="shared" si="146"/>
        <v>25157.132100000003</v>
      </c>
      <c r="H551" s="42">
        <f t="shared" si="147"/>
        <v>-5007.4809999999998</v>
      </c>
      <c r="I551" s="2">
        <f t="shared" si="148"/>
        <v>25074865.965360999</v>
      </c>
      <c r="J551" s="4">
        <f t="shared" si="149"/>
        <v>-1288943.286809999</v>
      </c>
      <c r="K551" s="2">
        <f t="shared" si="150"/>
        <v>1661374796612.5635</v>
      </c>
      <c r="L551" s="2">
        <f t="shared" si="151"/>
        <v>6454359018.7786207</v>
      </c>
      <c r="N551" s="42">
        <f t="shared" si="152"/>
        <v>21030.710586037894</v>
      </c>
      <c r="O551" s="42">
        <f t="shared" si="153"/>
        <v>1608004533331.4441</v>
      </c>
      <c r="P551" s="4">
        <f t="shared" si="154"/>
        <v>-20872.100586037894</v>
      </c>
      <c r="Q551" s="4">
        <f t="shared" si="155"/>
        <v>435644582.87368339</v>
      </c>
      <c r="R551" s="43">
        <f t="shared" si="156"/>
        <v>4.1588367031930498E-3</v>
      </c>
      <c r="S551" s="4">
        <f t="shared" si="157"/>
        <v>-1.7188546777927045E-2</v>
      </c>
      <c r="T551" s="30">
        <f t="shared" si="158"/>
        <v>-133113.68274179718</v>
      </c>
      <c r="U551" s="31">
        <f t="shared" si="159"/>
        <v>175175.10391387297</v>
      </c>
      <c r="V551" s="31">
        <f t="shared" si="160"/>
        <v>2408690.8356500072</v>
      </c>
      <c r="W551" s="42">
        <f t="shared" si="161"/>
        <v>2416237.4555446226</v>
      </c>
    </row>
    <row r="552" spans="2:23" x14ac:dyDescent="0.3">
      <c r="B552" s="2">
        <v>544</v>
      </c>
      <c r="C552" s="2">
        <v>5373</v>
      </c>
      <c r="D552" s="4">
        <v>827764.38</v>
      </c>
      <c r="E552" s="4">
        <f t="shared" si="144"/>
        <v>4447578013.7399998</v>
      </c>
      <c r="F552" s="2">
        <f t="shared" si="145"/>
        <v>28869129</v>
      </c>
      <c r="G552" s="2">
        <f t="shared" si="146"/>
        <v>685193868796.78442</v>
      </c>
      <c r="H552" s="42">
        <f t="shared" si="147"/>
        <v>348.51900000000023</v>
      </c>
      <c r="I552" s="2">
        <f t="shared" si="148"/>
        <v>121465.49336100016</v>
      </c>
      <c r="J552" s="4">
        <f t="shared" si="149"/>
        <v>-461337.51680999913</v>
      </c>
      <c r="K552" s="2">
        <f t="shared" si="150"/>
        <v>212832304416.41623</v>
      </c>
      <c r="L552" s="2">
        <f t="shared" si="151"/>
        <v>-160784890.02110419</v>
      </c>
      <c r="N552" s="42">
        <f t="shared" si="152"/>
        <v>1377359.2265435697</v>
      </c>
      <c r="O552" s="42">
        <f t="shared" si="153"/>
        <v>7789356251.7002001</v>
      </c>
      <c r="P552" s="4">
        <f t="shared" si="154"/>
        <v>-549594.8465435697</v>
      </c>
      <c r="Q552" s="4">
        <f t="shared" si="155"/>
        <v>302054495347.24994</v>
      </c>
      <c r="R552" s="43">
        <f t="shared" si="156"/>
        <v>1.0153017630933788E-3</v>
      </c>
      <c r="S552" s="4">
        <f t="shared" si="157"/>
        <v>-0.45188848217427063</v>
      </c>
      <c r="T552" s="30">
        <f t="shared" si="158"/>
        <v>1301197.0461033003</v>
      </c>
      <c r="U552" s="31">
        <f t="shared" si="159"/>
        <v>1453521.4069838391</v>
      </c>
      <c r="V552" s="31">
        <f t="shared" si="160"/>
        <v>3768777.3600128051</v>
      </c>
      <c r="W552" s="42">
        <f t="shared" si="161"/>
        <v>3768813.9166495958</v>
      </c>
    </row>
    <row r="553" spans="2:23" x14ac:dyDescent="0.3">
      <c r="B553" s="2">
        <v>545</v>
      </c>
      <c r="C553" s="2">
        <v>3918</v>
      </c>
      <c r="D553" s="4">
        <v>1000187.04</v>
      </c>
      <c r="E553" s="4">
        <f t="shared" si="144"/>
        <v>3918732822.7200003</v>
      </c>
      <c r="F553" s="2">
        <f t="shared" si="145"/>
        <v>15350724</v>
      </c>
      <c r="G553" s="2">
        <f t="shared" si="146"/>
        <v>1000374114983.9617</v>
      </c>
      <c r="H553" s="42">
        <f t="shared" si="147"/>
        <v>-1106.4809999999998</v>
      </c>
      <c r="I553" s="2">
        <f t="shared" si="148"/>
        <v>1224300.2033609995</v>
      </c>
      <c r="J553" s="4">
        <f t="shared" si="149"/>
        <v>-288914.8568099991</v>
      </c>
      <c r="K553" s="2">
        <f t="shared" si="150"/>
        <v>83471794485.542282</v>
      </c>
      <c r="L553" s="2">
        <f t="shared" si="151"/>
        <v>319678799.67798454</v>
      </c>
      <c r="N553" s="42">
        <f t="shared" si="152"/>
        <v>1008901.7973579444</v>
      </c>
      <c r="O553" s="42">
        <f t="shared" si="153"/>
        <v>78512095732.941345</v>
      </c>
      <c r="P553" s="4">
        <f t="shared" si="154"/>
        <v>-8714.7573579443851</v>
      </c>
      <c r="Q553" s="4">
        <f t="shared" si="155"/>
        <v>75946995.807845801</v>
      </c>
      <c r="R553" s="43">
        <f t="shared" si="156"/>
        <v>1.1542327055086119E-3</v>
      </c>
      <c r="S553" s="4">
        <f t="shared" si="157"/>
        <v>-7.1659557367203582E-3</v>
      </c>
      <c r="T553" s="30">
        <f t="shared" si="158"/>
        <v>927695.72855165659</v>
      </c>
      <c r="U553" s="31">
        <f t="shared" si="159"/>
        <v>1090107.8661642321</v>
      </c>
      <c r="V553" s="31">
        <f t="shared" si="160"/>
        <v>3400153.9674989195</v>
      </c>
      <c r="W553" s="42">
        <f t="shared" si="161"/>
        <v>3400522.436738627</v>
      </c>
    </row>
    <row r="554" spans="2:23" x14ac:dyDescent="0.3">
      <c r="B554" s="2">
        <v>546</v>
      </c>
      <c r="C554" s="2">
        <v>8313</v>
      </c>
      <c r="D554" s="4">
        <v>1268397.54</v>
      </c>
      <c r="E554" s="4">
        <f t="shared" si="144"/>
        <v>10544188750.02</v>
      </c>
      <c r="F554" s="2">
        <f t="shared" si="145"/>
        <v>69105969</v>
      </c>
      <c r="G554" s="2">
        <f t="shared" si="146"/>
        <v>1608832319478.0518</v>
      </c>
      <c r="H554" s="42">
        <f t="shared" si="147"/>
        <v>3288.5190000000002</v>
      </c>
      <c r="I554" s="2">
        <f t="shared" si="148"/>
        <v>10814357.213361001</v>
      </c>
      <c r="J554" s="4">
        <f t="shared" si="149"/>
        <v>-20704.356809999095</v>
      </c>
      <c r="K554" s="2">
        <f t="shared" si="150"/>
        <v>428670390.91575593</v>
      </c>
      <c r="L554" s="2">
        <f t="shared" si="151"/>
        <v>-68086670.752461419</v>
      </c>
      <c r="N554" s="42">
        <f t="shared" si="152"/>
        <v>2121871.1453104001</v>
      </c>
      <c r="O554" s="42">
        <f t="shared" si="153"/>
        <v>693504621247.92249</v>
      </c>
      <c r="P554" s="4">
        <f t="shared" si="154"/>
        <v>-853473.60531040002</v>
      </c>
      <c r="Q554" s="4">
        <f t="shared" si="155"/>
        <v>728417194961.53247</v>
      </c>
      <c r="R554" s="43">
        <f t="shared" si="156"/>
        <v>2.3623517882087877E-3</v>
      </c>
      <c r="S554" s="4">
        <f t="shared" si="157"/>
        <v>-0.70221761259462701</v>
      </c>
      <c r="T554" s="30">
        <f t="shared" si="158"/>
        <v>2005695.7700014976</v>
      </c>
      <c r="U554" s="31">
        <f t="shared" si="159"/>
        <v>2238046.5206193025</v>
      </c>
      <c r="V554" s="31">
        <f t="shared" si="160"/>
        <v>4511679.6416102042</v>
      </c>
      <c r="W554" s="42">
        <f t="shared" si="161"/>
        <v>4514934.3653129265</v>
      </c>
    </row>
    <row r="555" spans="2:23" x14ac:dyDescent="0.3">
      <c r="B555" s="2">
        <v>547</v>
      </c>
      <c r="C555" s="2">
        <v>8251</v>
      </c>
      <c r="D555" s="4">
        <v>1271149.06</v>
      </c>
      <c r="E555" s="4">
        <f t="shared" si="144"/>
        <v>10488250894.060001</v>
      </c>
      <c r="F555" s="2">
        <f t="shared" si="145"/>
        <v>68079001</v>
      </c>
      <c r="G555" s="2">
        <f t="shared" si="146"/>
        <v>1615819932738.8838</v>
      </c>
      <c r="H555" s="42">
        <f t="shared" si="147"/>
        <v>3226.5190000000002</v>
      </c>
      <c r="I555" s="2">
        <f t="shared" si="148"/>
        <v>10410424.857361002</v>
      </c>
      <c r="J555" s="4">
        <f t="shared" si="149"/>
        <v>-17952.836809999077</v>
      </c>
      <c r="K555" s="2">
        <f t="shared" si="150"/>
        <v>322304349.52645785</v>
      </c>
      <c r="L555" s="2">
        <f t="shared" si="151"/>
        <v>-57925169.071361415</v>
      </c>
      <c r="N555" s="42">
        <f t="shared" si="152"/>
        <v>2106170.5538262017</v>
      </c>
      <c r="O555" s="42">
        <f t="shared" si="153"/>
        <v>667601190278.26086</v>
      </c>
      <c r="P555" s="4">
        <f t="shared" si="154"/>
        <v>-835021.49382620165</v>
      </c>
      <c r="Q555" s="4">
        <f t="shared" si="155"/>
        <v>697260895151.74133</v>
      </c>
      <c r="R555" s="43">
        <f t="shared" si="156"/>
        <v>2.3114659189282633E-3</v>
      </c>
      <c r="S555" s="4">
        <f t="shared" si="157"/>
        <v>-0.68701813689872593</v>
      </c>
      <c r="T555" s="30">
        <f t="shared" si="158"/>
        <v>1991253.2188051543</v>
      </c>
      <c r="U555" s="31">
        <f t="shared" si="159"/>
        <v>2221087.8888472491</v>
      </c>
      <c r="V555" s="31">
        <f t="shared" si="160"/>
        <v>4496039.875133656</v>
      </c>
      <c r="W555" s="42">
        <f t="shared" si="161"/>
        <v>4499173.0300031547</v>
      </c>
    </row>
    <row r="556" spans="2:23" x14ac:dyDescent="0.3">
      <c r="B556" s="2">
        <v>548</v>
      </c>
      <c r="C556" s="2">
        <v>5455</v>
      </c>
      <c r="D556" s="4">
        <v>832323.9</v>
      </c>
      <c r="E556" s="4">
        <f t="shared" si="144"/>
        <v>4540326874.5</v>
      </c>
      <c r="F556" s="2">
        <f t="shared" si="145"/>
        <v>29757025</v>
      </c>
      <c r="G556" s="2">
        <f t="shared" si="146"/>
        <v>692763074511.21008</v>
      </c>
      <c r="H556" s="42">
        <f t="shared" si="147"/>
        <v>430.51900000000023</v>
      </c>
      <c r="I556" s="2">
        <f t="shared" si="148"/>
        <v>185346.60936100021</v>
      </c>
      <c r="J556" s="4">
        <f t="shared" si="149"/>
        <v>-456777.99680999911</v>
      </c>
      <c r="K556" s="2">
        <f t="shared" si="150"/>
        <v>208646138369.75555</v>
      </c>
      <c r="L556" s="2">
        <f t="shared" si="151"/>
        <v>-196651606.40864411</v>
      </c>
      <c r="N556" s="42">
        <f t="shared" si="152"/>
        <v>1398124.5249581547</v>
      </c>
      <c r="O556" s="42">
        <f t="shared" si="153"/>
        <v>11885933448.330992</v>
      </c>
      <c r="P556" s="4">
        <f t="shared" si="154"/>
        <v>-565800.62495815463</v>
      </c>
      <c r="Q556" s="4">
        <f t="shared" si="155"/>
        <v>320130347203.03833</v>
      </c>
      <c r="R556" s="43">
        <f t="shared" si="156"/>
        <v>1.0233492642900148E-3</v>
      </c>
      <c r="S556" s="4">
        <f t="shared" si="157"/>
        <v>-0.46521508902977893</v>
      </c>
      <c r="T556" s="30">
        <f t="shared" si="158"/>
        <v>1321661.101318382</v>
      </c>
      <c r="U556" s="31">
        <f t="shared" si="159"/>
        <v>1474587.9485979273</v>
      </c>
      <c r="V556" s="31">
        <f t="shared" si="160"/>
        <v>3789533.0454038312</v>
      </c>
      <c r="W556" s="42">
        <f t="shared" si="161"/>
        <v>3789588.8279021499</v>
      </c>
    </row>
    <row r="557" spans="2:23" x14ac:dyDescent="0.3">
      <c r="B557" s="2">
        <v>549</v>
      </c>
      <c r="C557" s="2">
        <v>8680</v>
      </c>
      <c r="D557" s="4">
        <v>948550.4</v>
      </c>
      <c r="E557" s="4">
        <f t="shared" si="144"/>
        <v>8233417472</v>
      </c>
      <c r="F557" s="2">
        <f t="shared" si="145"/>
        <v>75342400</v>
      </c>
      <c r="G557" s="2">
        <f t="shared" si="146"/>
        <v>899747861340.16003</v>
      </c>
      <c r="H557" s="42">
        <f t="shared" si="147"/>
        <v>3655.5190000000002</v>
      </c>
      <c r="I557" s="2">
        <f t="shared" si="148"/>
        <v>13362819.159361001</v>
      </c>
      <c r="J557" s="4">
        <f t="shared" si="149"/>
        <v>-340551.49680999911</v>
      </c>
      <c r="K557" s="2">
        <f t="shared" si="150"/>
        <v>115975321979.53084</v>
      </c>
      <c r="L557" s="2">
        <f t="shared" si="151"/>
        <v>-1244892467.0673912</v>
      </c>
      <c r="N557" s="42">
        <f t="shared" si="152"/>
        <v>2214808.5174829941</v>
      </c>
      <c r="O557" s="42">
        <f t="shared" si="153"/>
        <v>856932747557.81628</v>
      </c>
      <c r="P557" s="4">
        <f t="shared" si="154"/>
        <v>-1266258.1174829942</v>
      </c>
      <c r="Q557" s="4">
        <f t="shared" si="155"/>
        <v>1603409620091.5764</v>
      </c>
      <c r="R557" s="43">
        <f t="shared" si="156"/>
        <v>2.6833973779573543E-3</v>
      </c>
      <c r="S557" s="4">
        <f t="shared" si="157"/>
        <v>-1.0420144855647346</v>
      </c>
      <c r="T557" s="30">
        <f t="shared" si="158"/>
        <v>2090990.3721926284</v>
      </c>
      <c r="U557" s="31">
        <f t="shared" si="159"/>
        <v>2338626.66277336</v>
      </c>
      <c r="V557" s="31">
        <f t="shared" si="160"/>
        <v>4604233.2251713835</v>
      </c>
      <c r="W557" s="42">
        <f t="shared" si="161"/>
        <v>4608254.9426623508</v>
      </c>
    </row>
    <row r="558" spans="2:23" x14ac:dyDescent="0.3">
      <c r="B558" s="2">
        <v>550</v>
      </c>
      <c r="C558" s="2">
        <v>8713</v>
      </c>
      <c r="D558" s="4">
        <v>3809323.6</v>
      </c>
      <c r="E558" s="4">
        <f t="shared" si="144"/>
        <v>33190636526.799999</v>
      </c>
      <c r="F558" s="2">
        <f t="shared" si="145"/>
        <v>75916369</v>
      </c>
      <c r="G558" s="2">
        <f t="shared" si="146"/>
        <v>14510946289516.961</v>
      </c>
      <c r="H558" s="42">
        <f t="shared" si="147"/>
        <v>3688.5190000000002</v>
      </c>
      <c r="I558" s="2">
        <f t="shared" si="148"/>
        <v>13605172.413361002</v>
      </c>
      <c r="J558" s="4">
        <f t="shared" si="149"/>
        <v>2520221.7031900007</v>
      </c>
      <c r="K558" s="2">
        <f t="shared" si="150"/>
        <v>6351517433229.9082</v>
      </c>
      <c r="L558" s="2">
        <f t="shared" si="151"/>
        <v>9295885636.4286785</v>
      </c>
      <c r="N558" s="42">
        <f t="shared" si="152"/>
        <v>2223165.2839181321</v>
      </c>
      <c r="O558" s="42">
        <f t="shared" si="153"/>
        <v>872474411135.91785</v>
      </c>
      <c r="P558" s="4">
        <f t="shared" si="154"/>
        <v>1586158.316081868</v>
      </c>
      <c r="Q558" s="4">
        <f t="shared" si="155"/>
        <v>2515898203675.667</v>
      </c>
      <c r="R558" s="43">
        <f t="shared" si="156"/>
        <v>2.7139281235625764E-3</v>
      </c>
      <c r="S558" s="4">
        <f t="shared" si="157"/>
        <v>1.3052830366969157</v>
      </c>
      <c r="T558" s="30">
        <f t="shared" si="158"/>
        <v>2098644.7513390989</v>
      </c>
      <c r="U558" s="31">
        <f t="shared" si="159"/>
        <v>2347685.8164971652</v>
      </c>
      <c r="V558" s="31">
        <f t="shared" si="160"/>
        <v>4612553.4909245055</v>
      </c>
      <c r="W558" s="42">
        <f t="shared" si="161"/>
        <v>4616648.1478915634</v>
      </c>
    </row>
    <row r="559" spans="2:23" x14ac:dyDescent="0.3">
      <c r="B559" s="2">
        <v>551</v>
      </c>
      <c r="C559" s="2">
        <v>3371</v>
      </c>
      <c r="D559" s="4">
        <v>1422191.19</v>
      </c>
      <c r="E559" s="4">
        <f t="shared" si="144"/>
        <v>4794206501.4899998</v>
      </c>
      <c r="F559" s="2">
        <f t="shared" si="145"/>
        <v>11363641</v>
      </c>
      <c r="G559" s="2">
        <f t="shared" si="146"/>
        <v>2022627780913.616</v>
      </c>
      <c r="H559" s="42">
        <f t="shared" si="147"/>
        <v>-1653.4809999999998</v>
      </c>
      <c r="I559" s="2">
        <f t="shared" si="148"/>
        <v>2733999.4173609992</v>
      </c>
      <c r="J559" s="4">
        <f t="shared" si="149"/>
        <v>133089.29319000081</v>
      </c>
      <c r="K559" s="2">
        <f t="shared" si="150"/>
        <v>17712759961.813995</v>
      </c>
      <c r="L559" s="2">
        <f t="shared" si="151"/>
        <v>-220060617.59309569</v>
      </c>
      <c r="N559" s="42">
        <f t="shared" si="152"/>
        <v>870382.06281187083</v>
      </c>
      <c r="O559" s="42">
        <f t="shared" si="153"/>
        <v>175326299383.42014</v>
      </c>
      <c r="P559" s="4">
        <f t="shared" si="154"/>
        <v>551809.12718812912</v>
      </c>
      <c r="Q559" s="4">
        <f t="shared" si="155"/>
        <v>304493312848.12488</v>
      </c>
      <c r="R559" s="43">
        <f t="shared" si="156"/>
        <v>1.3444188981109077E-3</v>
      </c>
      <c r="S559" s="4">
        <f t="shared" si="157"/>
        <v>0.45378386652760366</v>
      </c>
      <c r="T559" s="30">
        <f t="shared" si="158"/>
        <v>782740.70385612373</v>
      </c>
      <c r="U559" s="31">
        <f t="shared" si="159"/>
        <v>958023.42176761793</v>
      </c>
      <c r="V559" s="31">
        <f t="shared" si="160"/>
        <v>3261407.0227433397</v>
      </c>
      <c r="W559" s="42">
        <f t="shared" si="161"/>
        <v>3262229.8558163308</v>
      </c>
    </row>
    <row r="560" spans="2:23" x14ac:dyDescent="0.3">
      <c r="B560" s="2">
        <v>552</v>
      </c>
      <c r="C560" s="2">
        <v>2502</v>
      </c>
      <c r="D560" s="4">
        <v>1672011.54</v>
      </c>
      <c r="E560" s="4">
        <f t="shared" si="144"/>
        <v>4183372873.0799999</v>
      </c>
      <c r="F560" s="2">
        <f t="shared" si="145"/>
        <v>6260004</v>
      </c>
      <c r="G560" s="2">
        <f t="shared" si="146"/>
        <v>2795622589893.1719</v>
      </c>
      <c r="H560" s="42">
        <f t="shared" si="147"/>
        <v>-2522.4809999999998</v>
      </c>
      <c r="I560" s="2">
        <f t="shared" si="148"/>
        <v>6362910.3953609988</v>
      </c>
      <c r="J560" s="4">
        <f t="shared" si="149"/>
        <v>382909.6431900009</v>
      </c>
      <c r="K560" s="2">
        <f t="shared" si="150"/>
        <v>146619794847.8938</v>
      </c>
      <c r="L560" s="2">
        <f t="shared" si="151"/>
        <v>-965882299.66355658</v>
      </c>
      <c r="N560" s="42">
        <f t="shared" si="152"/>
        <v>650320.54668657307</v>
      </c>
      <c r="O560" s="42">
        <f t="shared" si="153"/>
        <v>408041613265.50702</v>
      </c>
      <c r="P560" s="4">
        <f t="shared" si="154"/>
        <v>1021690.993313427</v>
      </c>
      <c r="Q560" s="4">
        <f t="shared" si="155"/>
        <v>1043852485817.7771</v>
      </c>
      <c r="R560" s="43">
        <f t="shared" si="156"/>
        <v>1.8015753672925186E-3</v>
      </c>
      <c r="S560" s="4">
        <f t="shared" si="157"/>
        <v>0.84038668558260476</v>
      </c>
      <c r="T560" s="30">
        <f t="shared" si="158"/>
        <v>548866.81724493578</v>
      </c>
      <c r="U560" s="31">
        <f t="shared" si="159"/>
        <v>751774.27612821036</v>
      </c>
      <c r="V560" s="31">
        <f t="shared" si="160"/>
        <v>3040799.2660223627</v>
      </c>
      <c r="W560" s="42">
        <f t="shared" si="161"/>
        <v>3042714.2676945324</v>
      </c>
    </row>
    <row r="561" spans="2:23" x14ac:dyDescent="0.3">
      <c r="B561" s="2">
        <v>553</v>
      </c>
      <c r="C561" s="2">
        <v>2986</v>
      </c>
      <c r="D561" s="4">
        <v>1995454.22</v>
      </c>
      <c r="E561" s="4">
        <f t="shared" si="144"/>
        <v>5958426300.9200001</v>
      </c>
      <c r="F561" s="2">
        <f t="shared" si="145"/>
        <v>8916196</v>
      </c>
      <c r="G561" s="2">
        <f t="shared" si="146"/>
        <v>3981837544115.8081</v>
      </c>
      <c r="H561" s="42">
        <f t="shared" si="147"/>
        <v>-2038.4809999999998</v>
      </c>
      <c r="I561" s="2">
        <f t="shared" si="148"/>
        <v>4155404.7873609993</v>
      </c>
      <c r="J561" s="4">
        <f t="shared" si="149"/>
        <v>706352.32319000084</v>
      </c>
      <c r="K561" s="2">
        <f t="shared" si="150"/>
        <v>498933604475.91138</v>
      </c>
      <c r="L561" s="2">
        <f t="shared" si="151"/>
        <v>-1439885790.1286759</v>
      </c>
      <c r="N561" s="42">
        <f t="shared" si="152"/>
        <v>772886.45440192882</v>
      </c>
      <c r="O561" s="42">
        <f t="shared" si="153"/>
        <v>266478382980.55975</v>
      </c>
      <c r="P561" s="4">
        <f t="shared" si="154"/>
        <v>1222567.7655980713</v>
      </c>
      <c r="Q561" s="4">
        <f t="shared" si="155"/>
        <v>1494671941479.4604</v>
      </c>
      <c r="R561" s="43">
        <f t="shared" si="156"/>
        <v>1.5234821664479854E-3</v>
      </c>
      <c r="S561" s="4">
        <f t="shared" si="157"/>
        <v>1.005476793482214</v>
      </c>
      <c r="T561" s="30">
        <f t="shared" si="158"/>
        <v>679590.99959749985</v>
      </c>
      <c r="U561" s="31">
        <f t="shared" si="159"/>
        <v>866181.90920635778</v>
      </c>
      <c r="V561" s="31">
        <f t="shared" si="160"/>
        <v>3163697.4726398261</v>
      </c>
      <c r="W561" s="42">
        <f t="shared" si="161"/>
        <v>3164948.096372691</v>
      </c>
    </row>
    <row r="562" spans="2:23" x14ac:dyDescent="0.3">
      <c r="B562" s="2">
        <v>554</v>
      </c>
      <c r="C562" s="2">
        <v>3735</v>
      </c>
      <c r="D562" s="4">
        <v>1575759.15</v>
      </c>
      <c r="E562" s="4">
        <f t="shared" si="144"/>
        <v>5885460425.25</v>
      </c>
      <c r="F562" s="2">
        <f t="shared" si="145"/>
        <v>13950225</v>
      </c>
      <c r="G562" s="2">
        <f t="shared" si="146"/>
        <v>2483016898808.7222</v>
      </c>
      <c r="H562" s="42">
        <f t="shared" si="147"/>
        <v>-1289.4809999999998</v>
      </c>
      <c r="I562" s="2">
        <f t="shared" si="148"/>
        <v>1662761.2493609993</v>
      </c>
      <c r="J562" s="4">
        <f t="shared" si="149"/>
        <v>286657.25319000077</v>
      </c>
      <c r="K562" s="2">
        <f t="shared" si="150"/>
        <v>82172380806.436203</v>
      </c>
      <c r="L562" s="2">
        <f t="shared" si="151"/>
        <v>-369639081.50069535</v>
      </c>
      <c r="N562" s="42">
        <f t="shared" si="152"/>
        <v>962559.72894490696</v>
      </c>
      <c r="O562" s="42">
        <f t="shared" si="153"/>
        <v>106629787394.03403</v>
      </c>
      <c r="P562" s="4">
        <f t="shared" si="154"/>
        <v>613199.42105509294</v>
      </c>
      <c r="Q562" s="4">
        <f t="shared" si="155"/>
        <v>376013529982.30115</v>
      </c>
      <c r="R562" s="43">
        <f t="shared" si="156"/>
        <v>1.2094683684604507E-3</v>
      </c>
      <c r="S562" s="4">
        <f t="shared" si="157"/>
        <v>0.50423451061444968</v>
      </c>
      <c r="T562" s="30">
        <f t="shared" si="158"/>
        <v>879433.31298333476</v>
      </c>
      <c r="U562" s="31">
        <f t="shared" si="159"/>
        <v>1045686.1449064792</v>
      </c>
      <c r="V562" s="31">
        <f t="shared" si="160"/>
        <v>3353745.9127842747</v>
      </c>
      <c r="W562" s="42">
        <f t="shared" si="161"/>
        <v>3354246.3426406286</v>
      </c>
    </row>
    <row r="563" spans="2:23" x14ac:dyDescent="0.3">
      <c r="B563" s="2">
        <v>555</v>
      </c>
      <c r="C563" s="2">
        <v>691</v>
      </c>
      <c r="D563" s="4">
        <v>176398.48</v>
      </c>
      <c r="E563" s="4">
        <f t="shared" si="144"/>
        <v>121891349.68000001</v>
      </c>
      <c r="F563" s="2">
        <f t="shared" si="145"/>
        <v>477481</v>
      </c>
      <c r="G563" s="2">
        <f t="shared" si="146"/>
        <v>31116423746.310402</v>
      </c>
      <c r="H563" s="42">
        <f t="shared" si="147"/>
        <v>-4333.4809999999998</v>
      </c>
      <c r="I563" s="2">
        <f t="shared" si="148"/>
        <v>18779057.577360999</v>
      </c>
      <c r="J563" s="4">
        <f t="shared" si="149"/>
        <v>-1112703.4168099992</v>
      </c>
      <c r="K563" s="2">
        <f t="shared" si="150"/>
        <v>1238108893780.6467</v>
      </c>
      <c r="L563" s="2">
        <f t="shared" si="151"/>
        <v>4821879115.3812113</v>
      </c>
      <c r="N563" s="42">
        <f t="shared" si="152"/>
        <v>191711.33414006635</v>
      </c>
      <c r="O563" s="42">
        <f t="shared" si="153"/>
        <v>1204266047037.0317</v>
      </c>
      <c r="P563" s="4">
        <f t="shared" si="154"/>
        <v>-15312.854140066338</v>
      </c>
      <c r="Q563" s="4">
        <f t="shared" si="155"/>
        <v>234483501.91494679</v>
      </c>
      <c r="R563" s="43">
        <f t="shared" si="156"/>
        <v>3.3657145927993974E-3</v>
      </c>
      <c r="S563" s="4">
        <f t="shared" si="157"/>
        <v>-1.2605389579132334E-2</v>
      </c>
      <c r="T563" s="30">
        <f t="shared" si="158"/>
        <v>53041.996343544655</v>
      </c>
      <c r="U563" s="31">
        <f t="shared" si="159"/>
        <v>330380.67193658801</v>
      </c>
      <c r="V563" s="31">
        <f t="shared" si="160"/>
        <v>2580320.1722652982</v>
      </c>
      <c r="W563" s="42">
        <f t="shared" si="161"/>
        <v>2585971.9804243469</v>
      </c>
    </row>
    <row r="564" spans="2:23" x14ac:dyDescent="0.3">
      <c r="B564" s="2">
        <v>556</v>
      </c>
      <c r="C564" s="2">
        <v>1827</v>
      </c>
      <c r="D564" s="4">
        <v>86691.150000000009</v>
      </c>
      <c r="E564" s="4">
        <f t="shared" si="144"/>
        <v>158384731.05000001</v>
      </c>
      <c r="F564" s="2">
        <f t="shared" si="145"/>
        <v>3337929</v>
      </c>
      <c r="G564" s="2">
        <f t="shared" si="146"/>
        <v>7515355488.3225012</v>
      </c>
      <c r="H564" s="42">
        <f t="shared" si="147"/>
        <v>-3197.4809999999998</v>
      </c>
      <c r="I564" s="2">
        <f t="shared" si="148"/>
        <v>10223884.745360998</v>
      </c>
      <c r="J564" s="4">
        <f t="shared" si="149"/>
        <v>-1202410.7468099992</v>
      </c>
      <c r="K564" s="2">
        <f t="shared" si="150"/>
        <v>1445791604044.1802</v>
      </c>
      <c r="L564" s="2">
        <f t="shared" si="151"/>
        <v>3844685517.1207829</v>
      </c>
      <c r="N564" s="42">
        <f t="shared" si="152"/>
        <v>479386.68778602529</v>
      </c>
      <c r="O564" s="42">
        <f t="shared" si="153"/>
        <v>655638719724.73779</v>
      </c>
      <c r="P564" s="4">
        <f t="shared" si="154"/>
        <v>-392695.53778602526</v>
      </c>
      <c r="Q564" s="4">
        <f t="shared" si="155"/>
        <v>154209785397.0556</v>
      </c>
      <c r="R564" s="43">
        <f t="shared" si="156"/>
        <v>2.2879663016933255E-3</v>
      </c>
      <c r="S564" s="4">
        <f t="shared" si="157"/>
        <v>-0.32308842523952958</v>
      </c>
      <c r="T564" s="30">
        <f t="shared" si="158"/>
        <v>365055.00107568194</v>
      </c>
      <c r="U564" s="31">
        <f t="shared" si="159"/>
        <v>593718.37449636869</v>
      </c>
      <c r="V564" s="31">
        <f t="shared" si="160"/>
        <v>2869284.0981844012</v>
      </c>
      <c r="W564" s="42">
        <f t="shared" si="161"/>
        <v>2872361.1113197841</v>
      </c>
    </row>
    <row r="565" spans="2:23" x14ac:dyDescent="0.3">
      <c r="B565" s="2">
        <v>557</v>
      </c>
      <c r="C565" s="2">
        <v>2149</v>
      </c>
      <c r="D565" s="4">
        <v>442049.3</v>
      </c>
      <c r="E565" s="4">
        <f t="shared" si="144"/>
        <v>949963945.69999993</v>
      </c>
      <c r="F565" s="2">
        <f t="shared" si="145"/>
        <v>4618201</v>
      </c>
      <c r="G565" s="2">
        <f t="shared" si="146"/>
        <v>195407583630.48999</v>
      </c>
      <c r="H565" s="42">
        <f t="shared" si="147"/>
        <v>-2875.4809999999998</v>
      </c>
      <c r="I565" s="2">
        <f t="shared" si="148"/>
        <v>8268390.9813609989</v>
      </c>
      <c r="J565" s="4">
        <f t="shared" si="149"/>
        <v>-847052.59680999909</v>
      </c>
      <c r="K565" s="2">
        <f t="shared" si="150"/>
        <v>717498101762.56287</v>
      </c>
      <c r="L565" s="2">
        <f t="shared" si="151"/>
        <v>2435683648.1278129</v>
      </c>
      <c r="N565" s="42">
        <f t="shared" si="152"/>
        <v>560928.46936524962</v>
      </c>
      <c r="O565" s="42">
        <f t="shared" si="153"/>
        <v>530236540436.63391</v>
      </c>
      <c r="P565" s="4">
        <f t="shared" si="154"/>
        <v>-118879.16936524963</v>
      </c>
      <c r="Q565" s="4">
        <f t="shared" si="155"/>
        <v>14132256908.971706</v>
      </c>
      <c r="R565" s="43">
        <f t="shared" si="156"/>
        <v>2.0416205990633892E-3</v>
      </c>
      <c r="S565" s="4">
        <f t="shared" si="157"/>
        <v>-9.7795210475425789E-2</v>
      </c>
      <c r="T565" s="30">
        <f t="shared" si="158"/>
        <v>452927.08602246211</v>
      </c>
      <c r="U565" s="31">
        <f t="shared" si="159"/>
        <v>668929.85270803713</v>
      </c>
      <c r="V565" s="31">
        <f t="shared" si="160"/>
        <v>2951120.3168977732</v>
      </c>
      <c r="W565" s="42">
        <f t="shared" si="161"/>
        <v>2953608.798181585</v>
      </c>
    </row>
    <row r="566" spans="2:23" x14ac:dyDescent="0.3">
      <c r="B566" s="2">
        <v>558</v>
      </c>
      <c r="C566" s="2">
        <v>8692</v>
      </c>
      <c r="D566" s="4">
        <v>412435.4</v>
      </c>
      <c r="E566" s="4">
        <f t="shared" si="144"/>
        <v>3584888496.8000002</v>
      </c>
      <c r="F566" s="2">
        <f t="shared" si="145"/>
        <v>75550864</v>
      </c>
      <c r="G566" s="2">
        <f t="shared" si="146"/>
        <v>170102959173.16003</v>
      </c>
      <c r="H566" s="42">
        <f t="shared" si="147"/>
        <v>3667.5190000000002</v>
      </c>
      <c r="I566" s="2">
        <f t="shared" si="148"/>
        <v>13450695.615361001</v>
      </c>
      <c r="J566" s="4">
        <f t="shared" si="149"/>
        <v>-876666.49680999911</v>
      </c>
      <c r="K566" s="2">
        <f t="shared" si="150"/>
        <v>768544146629.11621</v>
      </c>
      <c r="L566" s="2">
        <f t="shared" si="151"/>
        <v>-3215191033.7141113</v>
      </c>
      <c r="N566" s="42">
        <f t="shared" si="152"/>
        <v>2217847.3416412263</v>
      </c>
      <c r="O566" s="42">
        <f t="shared" si="153"/>
        <v>862568101294.75403</v>
      </c>
      <c r="P566" s="4">
        <f t="shared" si="154"/>
        <v>-1805411.9416412264</v>
      </c>
      <c r="Q566" s="4">
        <f t="shared" si="155"/>
        <v>3259512279020.7432</v>
      </c>
      <c r="R566" s="43">
        <f t="shared" si="156"/>
        <v>2.6944677212621922E-3</v>
      </c>
      <c r="S566" s="4">
        <f t="shared" si="157"/>
        <v>-1.4856969608793285</v>
      </c>
      <c r="T566" s="30">
        <f t="shared" si="158"/>
        <v>2093774.0536385211</v>
      </c>
      <c r="U566" s="31">
        <f t="shared" si="159"/>
        <v>2341920.6296439315</v>
      </c>
      <c r="V566" s="31">
        <f t="shared" si="160"/>
        <v>4607258.8143723449</v>
      </c>
      <c r="W566" s="42">
        <f t="shared" si="161"/>
        <v>4611306.9794660416</v>
      </c>
    </row>
    <row r="567" spans="2:23" x14ac:dyDescent="0.3">
      <c r="B567" s="2">
        <v>559</v>
      </c>
      <c r="C567" s="2">
        <v>5523</v>
      </c>
      <c r="D567" s="4">
        <v>1136081.0999999999</v>
      </c>
      <c r="E567" s="4">
        <f t="shared" si="144"/>
        <v>6274575915.2999992</v>
      </c>
      <c r="F567" s="2">
        <f t="shared" si="145"/>
        <v>30503529</v>
      </c>
      <c r="G567" s="2">
        <f t="shared" si="146"/>
        <v>1290680265777.2097</v>
      </c>
      <c r="H567" s="42">
        <f t="shared" si="147"/>
        <v>498.51900000000023</v>
      </c>
      <c r="I567" s="2">
        <f t="shared" si="148"/>
        <v>248521.19336100025</v>
      </c>
      <c r="J567" s="4">
        <f t="shared" si="149"/>
        <v>-153020.79680999927</v>
      </c>
      <c r="K567" s="2">
        <f t="shared" si="150"/>
        <v>23415364256.367085</v>
      </c>
      <c r="L567" s="2">
        <f t="shared" si="151"/>
        <v>-76283774.604924068</v>
      </c>
      <c r="N567" s="42">
        <f t="shared" si="152"/>
        <v>1415344.5285214691</v>
      </c>
      <c r="O567" s="42">
        <f t="shared" si="153"/>
        <v>15937202061.437841</v>
      </c>
      <c r="P567" s="4">
        <f t="shared" si="154"/>
        <v>-279263.42852146924</v>
      </c>
      <c r="Q567" s="4">
        <f t="shared" si="155"/>
        <v>77988062509.56575</v>
      </c>
      <c r="R567" s="43">
        <f t="shared" si="156"/>
        <v>1.0313077592595922E-3</v>
      </c>
      <c r="S567" s="4">
        <f t="shared" si="157"/>
        <v>-0.22961812436808654</v>
      </c>
      <c r="T567" s="30">
        <f t="shared" si="158"/>
        <v>1338584.3561352929</v>
      </c>
      <c r="U567" s="31">
        <f t="shared" si="159"/>
        <v>1492104.7009076453</v>
      </c>
      <c r="V567" s="31">
        <f t="shared" si="160"/>
        <v>3806743.5422266554</v>
      </c>
      <c r="W567" s="42">
        <f t="shared" si="161"/>
        <v>3806818.3379464122</v>
      </c>
    </row>
    <row r="568" spans="2:23" x14ac:dyDescent="0.3">
      <c r="B568" s="2">
        <v>560</v>
      </c>
      <c r="C568" s="2">
        <v>8743</v>
      </c>
      <c r="D568" s="4">
        <v>2231913.04</v>
      </c>
      <c r="E568" s="4">
        <f t="shared" si="144"/>
        <v>19513615708.720001</v>
      </c>
      <c r="F568" s="2">
        <f t="shared" si="145"/>
        <v>76440049</v>
      </c>
      <c r="G568" s="2">
        <f t="shared" si="146"/>
        <v>4981435818122.042</v>
      </c>
      <c r="H568" s="42">
        <f t="shared" si="147"/>
        <v>3718.5190000000002</v>
      </c>
      <c r="I568" s="2">
        <f t="shared" si="148"/>
        <v>13827383.553361002</v>
      </c>
      <c r="J568" s="4">
        <f t="shared" si="149"/>
        <v>942811.1431900009</v>
      </c>
      <c r="K568" s="2">
        <f t="shared" si="150"/>
        <v>888892851723.23645</v>
      </c>
      <c r="L568" s="2">
        <f t="shared" si="151"/>
        <v>3505861149.363739</v>
      </c>
      <c r="N568" s="42">
        <f t="shared" si="152"/>
        <v>2230762.3443137119</v>
      </c>
      <c r="O568" s="42">
        <f t="shared" si="153"/>
        <v>886724398392.89246</v>
      </c>
      <c r="P568" s="4">
        <f t="shared" si="154"/>
        <v>1150.695686288178</v>
      </c>
      <c r="Q568" s="4">
        <f t="shared" si="155"/>
        <v>1324100.562442221</v>
      </c>
      <c r="R568" s="43">
        <f t="shared" si="156"/>
        <v>2.741921441886193E-3</v>
      </c>
      <c r="S568" s="4">
        <f t="shared" si="157"/>
        <v>9.4694497068096596E-4</v>
      </c>
      <c r="T568" s="30">
        <f t="shared" si="158"/>
        <v>2105601.2641184498</v>
      </c>
      <c r="U568" s="31">
        <f t="shared" si="159"/>
        <v>2355923.424508974</v>
      </c>
      <c r="V568" s="31">
        <f t="shared" si="160"/>
        <v>4620117.0837400807</v>
      </c>
      <c r="W568" s="42">
        <f t="shared" si="161"/>
        <v>4624278.6181452349</v>
      </c>
    </row>
    <row r="569" spans="2:23" x14ac:dyDescent="0.3">
      <c r="B569" s="2">
        <v>561</v>
      </c>
      <c r="C569" s="2">
        <v>1479</v>
      </c>
      <c r="D569" s="4">
        <v>646618.79999999993</v>
      </c>
      <c r="E569" s="4">
        <f t="shared" si="144"/>
        <v>956349205.19999993</v>
      </c>
      <c r="F569" s="2">
        <f t="shared" si="145"/>
        <v>2187441</v>
      </c>
      <c r="G569" s="2">
        <f t="shared" si="146"/>
        <v>418115872513.43988</v>
      </c>
      <c r="H569" s="42">
        <f t="shared" si="147"/>
        <v>-3545.4809999999998</v>
      </c>
      <c r="I569" s="2">
        <f t="shared" si="148"/>
        <v>12570435.521360999</v>
      </c>
      <c r="J569" s="4">
        <f t="shared" si="149"/>
        <v>-642483.0968099992</v>
      </c>
      <c r="K569" s="2">
        <f t="shared" si="150"/>
        <v>412784529686.56683</v>
      </c>
      <c r="L569" s="2">
        <f t="shared" si="151"/>
        <v>2277911612.5610127</v>
      </c>
      <c r="N569" s="42">
        <f t="shared" si="152"/>
        <v>391260.78719729843</v>
      </c>
      <c r="O569" s="42">
        <f t="shared" si="153"/>
        <v>806118658110.5658</v>
      </c>
      <c r="P569" s="4">
        <f t="shared" si="154"/>
        <v>255358.0128027015</v>
      </c>
      <c r="Q569" s="4">
        <f t="shared" si="155"/>
        <v>65207714702.544662</v>
      </c>
      <c r="R569" s="43">
        <f t="shared" si="156"/>
        <v>2.5835758865012581E-3</v>
      </c>
      <c r="S569" s="4">
        <f t="shared" si="157"/>
        <v>0.21012574715244375</v>
      </c>
      <c r="T569" s="30">
        <f t="shared" si="158"/>
        <v>269767.464408589</v>
      </c>
      <c r="U569" s="31">
        <f t="shared" si="159"/>
        <v>512754.10998600785</v>
      </c>
      <c r="V569" s="31">
        <f t="shared" si="160"/>
        <v>2780804.8314309786</v>
      </c>
      <c r="W569" s="42">
        <f t="shared" si="161"/>
        <v>2784588.0704126414</v>
      </c>
    </row>
    <row r="570" spans="2:23" x14ac:dyDescent="0.3">
      <c r="B570" s="2">
        <v>562</v>
      </c>
      <c r="C570" s="2">
        <v>8894</v>
      </c>
      <c r="D570" s="4">
        <v>5943593.3799999999</v>
      </c>
      <c r="E570" s="4">
        <f t="shared" si="144"/>
        <v>52862319521.720001</v>
      </c>
      <c r="F570" s="2">
        <f t="shared" si="145"/>
        <v>79103236</v>
      </c>
      <c r="G570" s="2">
        <f t="shared" si="146"/>
        <v>35326302266779.82</v>
      </c>
      <c r="H570" s="42">
        <f t="shared" si="147"/>
        <v>3869.5190000000002</v>
      </c>
      <c r="I570" s="2">
        <f t="shared" si="148"/>
        <v>14973177.291361002</v>
      </c>
      <c r="J570" s="4">
        <f t="shared" si="149"/>
        <v>4654491.483190001</v>
      </c>
      <c r="K570" s="2">
        <f t="shared" si="150"/>
        <v>21664290967088.254</v>
      </c>
      <c r="L570" s="2">
        <f t="shared" si="151"/>
        <v>18010643229.541889</v>
      </c>
      <c r="N570" s="42">
        <f t="shared" si="152"/>
        <v>2269000.8816381306</v>
      </c>
      <c r="O570" s="42">
        <f t="shared" si="153"/>
        <v>960202020467.20276</v>
      </c>
      <c r="P570" s="4">
        <f t="shared" si="154"/>
        <v>3674592.4983618692</v>
      </c>
      <c r="Q570" s="4">
        <f t="shared" si="155"/>
        <v>13502630029017.324</v>
      </c>
      <c r="R570" s="43">
        <f t="shared" si="156"/>
        <v>2.8862642000442246E-3</v>
      </c>
      <c r="S570" s="4">
        <f t="shared" si="157"/>
        <v>3.0241607534445132</v>
      </c>
      <c r="T570" s="30">
        <f t="shared" si="158"/>
        <v>2140587.6309208525</v>
      </c>
      <c r="U570" s="31">
        <f t="shared" si="159"/>
        <v>2397414.1323554087</v>
      </c>
      <c r="V570" s="31">
        <f t="shared" si="160"/>
        <v>4658183.0437712558</v>
      </c>
      <c r="W570" s="42">
        <f t="shared" si="161"/>
        <v>4662689.4202873157</v>
      </c>
    </row>
    <row r="571" spans="2:23" x14ac:dyDescent="0.3">
      <c r="B571" s="2">
        <v>563</v>
      </c>
      <c r="C571" s="2">
        <v>3180</v>
      </c>
      <c r="D571" s="4">
        <v>811790.4</v>
      </c>
      <c r="E571" s="4">
        <f t="shared" si="144"/>
        <v>2581493472</v>
      </c>
      <c r="F571" s="2">
        <f t="shared" si="145"/>
        <v>10112400</v>
      </c>
      <c r="G571" s="2">
        <f t="shared" si="146"/>
        <v>659003653532.16003</v>
      </c>
      <c r="H571" s="42">
        <f t="shared" si="147"/>
        <v>-1844.4809999999998</v>
      </c>
      <c r="I571" s="2">
        <f t="shared" si="148"/>
        <v>3402110.1593609992</v>
      </c>
      <c r="J571" s="4">
        <f t="shared" si="149"/>
        <v>-477311.49680999911</v>
      </c>
      <c r="K571" s="2">
        <f t="shared" si="150"/>
        <v>227826264987.0018</v>
      </c>
      <c r="L571" s="2">
        <f t="shared" si="151"/>
        <v>880391986.94760382</v>
      </c>
      <c r="N571" s="42">
        <f t="shared" si="152"/>
        <v>822014.11162667884</v>
      </c>
      <c r="O571" s="42">
        <f t="shared" si="153"/>
        <v>218170999067.45956</v>
      </c>
      <c r="P571" s="4">
        <f t="shared" si="154"/>
        <v>-10223.711626678822</v>
      </c>
      <c r="Q571" s="4">
        <f t="shared" si="155"/>
        <v>104524279.42548771</v>
      </c>
      <c r="R571" s="43">
        <f t="shared" si="156"/>
        <v>1.4285849605154912E-3</v>
      </c>
      <c r="S571" s="4">
        <f t="shared" si="157"/>
        <v>-8.4078908393392469E-3</v>
      </c>
      <c r="T571" s="30">
        <f t="shared" si="158"/>
        <v>731671.04346732236</v>
      </c>
      <c r="U571" s="31">
        <f t="shared" si="159"/>
        <v>912357.17978603533</v>
      </c>
      <c r="V571" s="31">
        <f t="shared" si="160"/>
        <v>3212938.513787996</v>
      </c>
      <c r="W571" s="42">
        <f t="shared" si="161"/>
        <v>3213962.4235818386</v>
      </c>
    </row>
    <row r="572" spans="2:23" x14ac:dyDescent="0.3">
      <c r="B572" s="2">
        <v>564</v>
      </c>
      <c r="C572" s="2">
        <v>8561</v>
      </c>
      <c r="D572" s="4">
        <v>1760997.7</v>
      </c>
      <c r="E572" s="4">
        <f t="shared" si="144"/>
        <v>15075901309.699999</v>
      </c>
      <c r="F572" s="2">
        <f t="shared" si="145"/>
        <v>73290721</v>
      </c>
      <c r="G572" s="2">
        <f t="shared" si="146"/>
        <v>3101112899405.29</v>
      </c>
      <c r="H572" s="42">
        <f t="shared" si="147"/>
        <v>3536.5190000000002</v>
      </c>
      <c r="I572" s="2">
        <f t="shared" si="148"/>
        <v>12506966.637361001</v>
      </c>
      <c r="J572" s="4">
        <f t="shared" si="149"/>
        <v>471895.80319000082</v>
      </c>
      <c r="K572" s="2">
        <f t="shared" si="150"/>
        <v>222685649068.336</v>
      </c>
      <c r="L572" s="2">
        <f t="shared" si="151"/>
        <v>1668868474.0016987</v>
      </c>
      <c r="N572" s="42">
        <f t="shared" si="152"/>
        <v>2184673.5112471939</v>
      </c>
      <c r="O572" s="42">
        <f t="shared" si="153"/>
        <v>802048516585.64343</v>
      </c>
      <c r="P572" s="4">
        <f t="shared" si="154"/>
        <v>-423675.81124719395</v>
      </c>
      <c r="Q572" s="4">
        <f t="shared" si="155"/>
        <v>179501193035.96793</v>
      </c>
      <c r="R572" s="43">
        <f t="shared" si="156"/>
        <v>2.5755803167316392E-3</v>
      </c>
      <c r="S572" s="4">
        <f t="shared" si="157"/>
        <v>-0.34862755465673667</v>
      </c>
      <c r="T572" s="30">
        <f t="shared" si="158"/>
        <v>2063368.3310015837</v>
      </c>
      <c r="U572" s="31">
        <f t="shared" si="159"/>
        <v>2305978.6914928043</v>
      </c>
      <c r="V572" s="31">
        <f t="shared" si="160"/>
        <v>4574227.1139229061</v>
      </c>
      <c r="W572" s="42">
        <f t="shared" si="161"/>
        <v>4577991.2510918453</v>
      </c>
    </row>
    <row r="573" spans="2:23" x14ac:dyDescent="0.3">
      <c r="B573" s="2">
        <v>565</v>
      </c>
      <c r="C573" s="2">
        <v>6291</v>
      </c>
      <c r="D573" s="4">
        <v>1294058.7</v>
      </c>
      <c r="E573" s="4">
        <f t="shared" si="144"/>
        <v>8140923281.6999998</v>
      </c>
      <c r="F573" s="2">
        <f t="shared" si="145"/>
        <v>39576681</v>
      </c>
      <c r="G573" s="2">
        <f t="shared" si="146"/>
        <v>1674587919045.6899</v>
      </c>
      <c r="H573" s="42">
        <f t="shared" si="147"/>
        <v>1266.5190000000002</v>
      </c>
      <c r="I573" s="2">
        <f t="shared" si="148"/>
        <v>1604070.3773610005</v>
      </c>
      <c r="J573" s="4">
        <f t="shared" si="149"/>
        <v>4956.8031900008209</v>
      </c>
      <c r="K573" s="2">
        <f t="shared" si="150"/>
        <v>24569897.864402313</v>
      </c>
      <c r="L573" s="2">
        <f t="shared" si="151"/>
        <v>6277885.419396651</v>
      </c>
      <c r="N573" s="42">
        <f t="shared" si="152"/>
        <v>1609829.2746483146</v>
      </c>
      <c r="O573" s="42">
        <f t="shared" si="153"/>
        <v>102866050895.04155</v>
      </c>
      <c r="P573" s="4">
        <f t="shared" si="154"/>
        <v>-315770.57464831462</v>
      </c>
      <c r="Q573" s="4">
        <f t="shared" si="155"/>
        <v>99711055813.726837</v>
      </c>
      <c r="R573" s="43">
        <f t="shared" si="156"/>
        <v>1.202074714557291E-3</v>
      </c>
      <c r="S573" s="4">
        <f t="shared" si="157"/>
        <v>-0.25965750517675157</v>
      </c>
      <c r="T573" s="30">
        <f t="shared" si="158"/>
        <v>1526957.3300497814</v>
      </c>
      <c r="U573" s="31">
        <f t="shared" si="159"/>
        <v>1692701.2192468478</v>
      </c>
      <c r="V573" s="31">
        <f t="shared" si="160"/>
        <v>4001024.2912902767</v>
      </c>
      <c r="W573" s="42">
        <f t="shared" si="161"/>
        <v>4001507.0573569797</v>
      </c>
    </row>
    <row r="574" spans="2:23" x14ac:dyDescent="0.3">
      <c r="B574" s="2">
        <v>566</v>
      </c>
      <c r="C574" s="2">
        <v>9656</v>
      </c>
      <c r="D574" s="4">
        <v>2464983.6800000002</v>
      </c>
      <c r="E574" s="4">
        <f t="shared" si="144"/>
        <v>23801882414.080002</v>
      </c>
      <c r="F574" s="2">
        <f t="shared" si="145"/>
        <v>93238336</v>
      </c>
      <c r="G574" s="2">
        <f t="shared" si="146"/>
        <v>6076144542666.3428</v>
      </c>
      <c r="H574" s="42">
        <f t="shared" si="147"/>
        <v>4631.5190000000002</v>
      </c>
      <c r="I574" s="2">
        <f t="shared" si="148"/>
        <v>21450968.247361001</v>
      </c>
      <c r="J574" s="4">
        <f t="shared" si="149"/>
        <v>1175881.783190001</v>
      </c>
      <c r="K574" s="2">
        <f t="shared" si="150"/>
        <v>1382697968038.0967</v>
      </c>
      <c r="L574" s="2">
        <f t="shared" si="151"/>
        <v>5446118820.5983706</v>
      </c>
      <c r="N574" s="42">
        <f t="shared" si="152"/>
        <v>2461966.2156858603</v>
      </c>
      <c r="O574" s="42">
        <f t="shared" si="153"/>
        <v>1375610710492.1377</v>
      </c>
      <c r="P574" s="4">
        <f t="shared" si="154"/>
        <v>3017.4643141399138</v>
      </c>
      <c r="Q574" s="4">
        <f t="shared" si="155"/>
        <v>9105090.8871078603</v>
      </c>
      <c r="R574" s="43">
        <f t="shared" si="156"/>
        <v>3.7023117855304981E-3</v>
      </c>
      <c r="S574" s="4">
        <f t="shared" si="157"/>
        <v>2.4843662439856598E-3</v>
      </c>
      <c r="T574" s="30">
        <f t="shared" si="158"/>
        <v>2316528.0817897487</v>
      </c>
      <c r="U574" s="31">
        <f t="shared" si="159"/>
        <v>2607404.3495819718</v>
      </c>
      <c r="V574" s="31">
        <f t="shared" si="160"/>
        <v>4850172.4706026576</v>
      </c>
      <c r="W574" s="42">
        <f t="shared" si="161"/>
        <v>4856628.4273332311</v>
      </c>
    </row>
    <row r="575" spans="2:23" x14ac:dyDescent="0.3">
      <c r="B575" s="2">
        <v>567</v>
      </c>
      <c r="C575" s="2">
        <v>8975</v>
      </c>
      <c r="D575" s="4">
        <v>1369405.5</v>
      </c>
      <c r="E575" s="4">
        <f t="shared" si="144"/>
        <v>12290414362.5</v>
      </c>
      <c r="F575" s="2">
        <f t="shared" si="145"/>
        <v>80550625</v>
      </c>
      <c r="G575" s="2">
        <f t="shared" si="146"/>
        <v>1875271423430.25</v>
      </c>
      <c r="H575" s="42">
        <f t="shared" si="147"/>
        <v>3950.5190000000002</v>
      </c>
      <c r="I575" s="2">
        <f t="shared" si="148"/>
        <v>15606600.369361002</v>
      </c>
      <c r="J575" s="4">
        <f t="shared" si="149"/>
        <v>80303.603190000867</v>
      </c>
      <c r="K575" s="2">
        <f t="shared" si="150"/>
        <v>6448668685.2971172</v>
      </c>
      <c r="L575" s="2">
        <f t="shared" si="151"/>
        <v>317240910.17055905</v>
      </c>
      <c r="N575" s="42">
        <f t="shared" si="152"/>
        <v>2289512.9447061964</v>
      </c>
      <c r="O575" s="42">
        <f t="shared" si="153"/>
        <v>1000822264752.7676</v>
      </c>
      <c r="P575" s="4">
        <f t="shared" si="154"/>
        <v>-920107.44470619643</v>
      </c>
      <c r="Q575" s="4">
        <f t="shared" si="155"/>
        <v>846597709803.76636</v>
      </c>
      <c r="R575" s="43">
        <f t="shared" si="156"/>
        <v>2.9660604418347081E-3</v>
      </c>
      <c r="S575" s="4">
        <f t="shared" si="157"/>
        <v>-0.75727149912317571</v>
      </c>
      <c r="T575" s="30">
        <f t="shared" si="158"/>
        <v>2159336.6825622618</v>
      </c>
      <c r="U575" s="31">
        <f t="shared" si="159"/>
        <v>2419689.206850131</v>
      </c>
      <c r="V575" s="31">
        <f t="shared" si="160"/>
        <v>4678599.696498422</v>
      </c>
      <c r="W575" s="42">
        <f t="shared" si="161"/>
        <v>4683296.7102803681</v>
      </c>
    </row>
    <row r="576" spans="2:23" x14ac:dyDescent="0.3">
      <c r="B576" s="2">
        <v>568</v>
      </c>
      <c r="C576" s="2">
        <v>6595</v>
      </c>
      <c r="D576" s="4">
        <v>61531.35</v>
      </c>
      <c r="E576" s="4">
        <f t="shared" si="144"/>
        <v>405799253.25</v>
      </c>
      <c r="F576" s="2">
        <f t="shared" si="145"/>
        <v>43494025</v>
      </c>
      <c r="G576" s="2">
        <f t="shared" si="146"/>
        <v>3786107032.8224998</v>
      </c>
      <c r="H576" s="42">
        <f t="shared" si="147"/>
        <v>1570.5190000000002</v>
      </c>
      <c r="I576" s="2">
        <f t="shared" si="148"/>
        <v>2466529.9293610007</v>
      </c>
      <c r="J576" s="4">
        <f t="shared" si="149"/>
        <v>-1227570.546809999</v>
      </c>
      <c r="K576" s="2">
        <f t="shared" si="150"/>
        <v>1506929447395.4001</v>
      </c>
      <c r="L576" s="2">
        <f t="shared" si="151"/>
        <v>-1927922867.6054931</v>
      </c>
      <c r="N576" s="42">
        <f t="shared" si="152"/>
        <v>1686812.8199901909</v>
      </c>
      <c r="O576" s="42">
        <f t="shared" si="153"/>
        <v>158173978416.84039</v>
      </c>
      <c r="P576" s="4">
        <f t="shared" si="154"/>
        <v>-1625281.4699901908</v>
      </c>
      <c r="Q576" s="4">
        <f t="shared" si="155"/>
        <v>2641539856693.4756</v>
      </c>
      <c r="R576" s="43">
        <f t="shared" si="156"/>
        <v>1.3107241044140719E-3</v>
      </c>
      <c r="S576" s="4">
        <f t="shared" si="157"/>
        <v>-1.3365383635308867</v>
      </c>
      <c r="T576" s="30">
        <f t="shared" si="158"/>
        <v>1600276.6954186419</v>
      </c>
      <c r="U576" s="31">
        <f t="shared" si="159"/>
        <v>1773348.9445617399</v>
      </c>
      <c r="V576" s="31">
        <f t="shared" si="160"/>
        <v>4077878.035737982</v>
      </c>
      <c r="W576" s="42">
        <f t="shared" si="161"/>
        <v>4078620.3703496587</v>
      </c>
    </row>
    <row r="577" spans="2:23" x14ac:dyDescent="0.3">
      <c r="B577" s="2">
        <v>569</v>
      </c>
      <c r="C577" s="2">
        <v>1896</v>
      </c>
      <c r="D577" s="4">
        <v>828931.2</v>
      </c>
      <c r="E577" s="4">
        <f t="shared" si="144"/>
        <v>1571653555.1999998</v>
      </c>
      <c r="F577" s="2">
        <f t="shared" si="145"/>
        <v>3594816</v>
      </c>
      <c r="G577" s="2">
        <f t="shared" si="146"/>
        <v>687126934333.43994</v>
      </c>
      <c r="H577" s="42">
        <f t="shared" si="147"/>
        <v>-3128.4809999999998</v>
      </c>
      <c r="I577" s="2">
        <f t="shared" si="148"/>
        <v>9787393.3673609979</v>
      </c>
      <c r="J577" s="4">
        <f t="shared" si="149"/>
        <v>-460170.69680999918</v>
      </c>
      <c r="K577" s="2">
        <f t="shared" si="150"/>
        <v>211757070202.60019</v>
      </c>
      <c r="L577" s="2">
        <f t="shared" si="151"/>
        <v>1439635281.7268429</v>
      </c>
      <c r="N577" s="42">
        <f t="shared" si="152"/>
        <v>496859.92669585906</v>
      </c>
      <c r="O577" s="42">
        <f t="shared" si="153"/>
        <v>627647339210.33398</v>
      </c>
      <c r="P577" s="4">
        <f t="shared" si="154"/>
        <v>332071.27330414089</v>
      </c>
      <c r="Q577" s="4">
        <f t="shared" si="155"/>
        <v>110271330553.83344</v>
      </c>
      <c r="R577" s="43">
        <f t="shared" si="156"/>
        <v>2.2329787700607166E-3</v>
      </c>
      <c r="S577" s="4">
        <f t="shared" si="157"/>
        <v>0.27320256542773402</v>
      </c>
      <c r="T577" s="30">
        <f t="shared" si="158"/>
        <v>383910.48312108032</v>
      </c>
      <c r="U577" s="31">
        <f t="shared" si="159"/>
        <v>609809.3702706378</v>
      </c>
      <c r="V577" s="31">
        <f t="shared" si="160"/>
        <v>2886823.0623971284</v>
      </c>
      <c r="W577" s="42">
        <f t="shared" si="161"/>
        <v>2889768.7076368597</v>
      </c>
    </row>
    <row r="578" spans="2:23" x14ac:dyDescent="0.3">
      <c r="B578" s="2">
        <v>570</v>
      </c>
      <c r="C578" s="2">
        <v>6290</v>
      </c>
      <c r="D578" s="4">
        <v>2749988</v>
      </c>
      <c r="E578" s="4">
        <f t="shared" si="144"/>
        <v>17297424520</v>
      </c>
      <c r="F578" s="2">
        <f t="shared" si="145"/>
        <v>39564100</v>
      </c>
      <c r="G578" s="2">
        <f t="shared" si="146"/>
        <v>7562434000144</v>
      </c>
      <c r="H578" s="42">
        <f t="shared" si="147"/>
        <v>1265.5190000000002</v>
      </c>
      <c r="I578" s="2">
        <f t="shared" si="148"/>
        <v>1601538.3393610006</v>
      </c>
      <c r="J578" s="4">
        <f t="shared" si="149"/>
        <v>1460886.1031900009</v>
      </c>
      <c r="K578" s="2">
        <f t="shared" si="150"/>
        <v>2134188206493.6658</v>
      </c>
      <c r="L578" s="2">
        <f t="shared" si="151"/>
        <v>1848779120.4229071</v>
      </c>
      <c r="N578" s="42">
        <f t="shared" si="152"/>
        <v>1609576.0393017954</v>
      </c>
      <c r="O578" s="42">
        <f t="shared" si="153"/>
        <v>102703676005.85216</v>
      </c>
      <c r="P578" s="4">
        <f t="shared" si="154"/>
        <v>1140411.9606982046</v>
      </c>
      <c r="Q578" s="4">
        <f t="shared" si="155"/>
        <v>1300539440103.5232</v>
      </c>
      <c r="R578" s="43">
        <f t="shared" si="156"/>
        <v>1.201755737994093E-3</v>
      </c>
      <c r="S578" s="4">
        <f t="shared" si="157"/>
        <v>0.93775830010277605</v>
      </c>
      <c r="T578" s="30">
        <f t="shared" si="158"/>
        <v>1526715.0906761407</v>
      </c>
      <c r="U578" s="31">
        <f t="shared" si="159"/>
        <v>1692436.9879274501</v>
      </c>
      <c r="V578" s="31">
        <f t="shared" si="160"/>
        <v>4000771.4370072507</v>
      </c>
      <c r="W578" s="42">
        <f t="shared" si="161"/>
        <v>4001253.4410238247</v>
      </c>
    </row>
    <row r="579" spans="2:23" x14ac:dyDescent="0.3">
      <c r="B579" s="2">
        <v>571</v>
      </c>
      <c r="C579" s="2">
        <v>8219</v>
      </c>
      <c r="D579" s="4">
        <v>389991.55000000005</v>
      </c>
      <c r="E579" s="4">
        <f t="shared" si="144"/>
        <v>3205340549.4500003</v>
      </c>
      <c r="F579" s="2">
        <f t="shared" si="145"/>
        <v>67551961</v>
      </c>
      <c r="G579" s="2">
        <f t="shared" si="146"/>
        <v>152093409071.40253</v>
      </c>
      <c r="H579" s="42">
        <f t="shared" si="147"/>
        <v>3194.5190000000002</v>
      </c>
      <c r="I579" s="2">
        <f t="shared" si="148"/>
        <v>10204951.641361002</v>
      </c>
      <c r="J579" s="4">
        <f t="shared" si="149"/>
        <v>-899110.34680999909</v>
      </c>
      <c r="K579" s="2">
        <f t="shared" si="150"/>
        <v>808399415740.79688</v>
      </c>
      <c r="L579" s="2">
        <f t="shared" si="151"/>
        <v>-2872225085.9811316</v>
      </c>
      <c r="N579" s="42">
        <f t="shared" si="152"/>
        <v>2098067.0227375831</v>
      </c>
      <c r="O579" s="42">
        <f t="shared" si="153"/>
        <v>654424574967.03186</v>
      </c>
      <c r="P579" s="4">
        <f t="shared" si="154"/>
        <v>-1708075.4727375831</v>
      </c>
      <c r="Q579" s="4">
        <f t="shared" si="155"/>
        <v>2917521820567.7178</v>
      </c>
      <c r="R579" s="43">
        <f t="shared" si="156"/>
        <v>2.285581180915285E-3</v>
      </c>
      <c r="S579" s="4">
        <f t="shared" si="157"/>
        <v>-1.4053094622736289</v>
      </c>
      <c r="T579" s="30">
        <f t="shared" si="158"/>
        <v>1983794.9448569294</v>
      </c>
      <c r="U579" s="31">
        <f t="shared" si="159"/>
        <v>2212339.1006182367</v>
      </c>
      <c r="V579" s="31">
        <f t="shared" si="160"/>
        <v>4487967.2840522118</v>
      </c>
      <c r="W579" s="42">
        <f t="shared" si="161"/>
        <v>4491038.5990175549</v>
      </c>
    </row>
    <row r="580" spans="2:23" x14ac:dyDescent="0.3">
      <c r="B580" s="2">
        <v>572</v>
      </c>
      <c r="C580" s="2">
        <v>8156</v>
      </c>
      <c r="D580" s="4">
        <v>1244442.4800000002</v>
      </c>
      <c r="E580" s="4">
        <f t="shared" si="144"/>
        <v>10149672866.880001</v>
      </c>
      <c r="F580" s="2">
        <f t="shared" si="145"/>
        <v>66520336</v>
      </c>
      <c r="G580" s="2">
        <f t="shared" si="146"/>
        <v>1548637086028.551</v>
      </c>
      <c r="H580" s="42">
        <f t="shared" si="147"/>
        <v>3131.5190000000002</v>
      </c>
      <c r="I580" s="2">
        <f t="shared" si="148"/>
        <v>9806411.2473610006</v>
      </c>
      <c r="J580" s="4">
        <f t="shared" si="149"/>
        <v>-44659.416809998918</v>
      </c>
      <c r="K580" s="2">
        <f t="shared" si="150"/>
        <v>1994463509.8092139</v>
      </c>
      <c r="L580" s="2">
        <f t="shared" si="151"/>
        <v>-139851812.26943102</v>
      </c>
      <c r="N580" s="42">
        <f t="shared" si="152"/>
        <v>2082113.1959068652</v>
      </c>
      <c r="O580" s="42">
        <f t="shared" si="153"/>
        <v>628866920495.29919</v>
      </c>
      <c r="P580" s="4">
        <f t="shared" si="154"/>
        <v>-837670.71590686496</v>
      </c>
      <c r="Q580" s="4">
        <f t="shared" si="155"/>
        <v>701692228287.91968</v>
      </c>
      <c r="R580" s="43">
        <f t="shared" si="156"/>
        <v>2.2353745705983516E-3</v>
      </c>
      <c r="S580" s="4">
        <f t="shared" si="157"/>
        <v>-0.68917151745876626</v>
      </c>
      <c r="T580" s="30">
        <f t="shared" si="158"/>
        <v>1969103.1758957598</v>
      </c>
      <c r="U580" s="31">
        <f t="shared" si="159"/>
        <v>2195123.2159179705</v>
      </c>
      <c r="V580" s="31">
        <f t="shared" si="160"/>
        <v>4472073.4680017773</v>
      </c>
      <c r="W580" s="42">
        <f t="shared" si="161"/>
        <v>4475024.836925732</v>
      </c>
    </row>
    <row r="581" spans="2:23" x14ac:dyDescent="0.3">
      <c r="B581" s="2">
        <v>573</v>
      </c>
      <c r="C581" s="2">
        <v>3607</v>
      </c>
      <c r="D581" s="4">
        <v>294800.11</v>
      </c>
      <c r="E581" s="4">
        <f t="shared" si="144"/>
        <v>1063343996.77</v>
      </c>
      <c r="F581" s="2">
        <f t="shared" si="145"/>
        <v>13010449</v>
      </c>
      <c r="G581" s="2">
        <f t="shared" si="146"/>
        <v>86907104856.012085</v>
      </c>
      <c r="H581" s="42">
        <f t="shared" si="147"/>
        <v>-1417.4809999999998</v>
      </c>
      <c r="I581" s="2">
        <f t="shared" si="148"/>
        <v>2009252.3853609993</v>
      </c>
      <c r="J581" s="4">
        <f t="shared" si="149"/>
        <v>-994301.78680999915</v>
      </c>
      <c r="K581" s="2">
        <f t="shared" si="150"/>
        <v>988636043253.55701</v>
      </c>
      <c r="L581" s="2">
        <f t="shared" si="151"/>
        <v>1409403891.0692241</v>
      </c>
      <c r="N581" s="42">
        <f t="shared" si="152"/>
        <v>930145.60459043272</v>
      </c>
      <c r="O581" s="42">
        <f t="shared" si="153"/>
        <v>128849619724.01875</v>
      </c>
      <c r="P581" s="4">
        <f t="shared" si="154"/>
        <v>-635345.49459043273</v>
      </c>
      <c r="Q581" s="4">
        <f t="shared" si="155"/>
        <v>403663897496.36157</v>
      </c>
      <c r="R581" s="43">
        <f t="shared" si="156"/>
        <v>1.2531180102667056E-3</v>
      </c>
      <c r="S581" s="4">
        <f t="shared" si="157"/>
        <v>-0.52245666597111184</v>
      </c>
      <c r="T581" s="30">
        <f t="shared" si="158"/>
        <v>845532.46992047376</v>
      </c>
      <c r="U581" s="31">
        <f t="shared" si="159"/>
        <v>1014758.7392603917</v>
      </c>
      <c r="V581" s="31">
        <f t="shared" si="160"/>
        <v>3321279.6418740428</v>
      </c>
      <c r="W581" s="42">
        <f t="shared" si="161"/>
        <v>3321884.3527942095</v>
      </c>
    </row>
    <row r="582" spans="2:23" x14ac:dyDescent="0.3">
      <c r="B582" s="2">
        <v>574</v>
      </c>
      <c r="C582" s="2">
        <v>4107</v>
      </c>
      <c r="D582" s="4">
        <v>38318.31</v>
      </c>
      <c r="E582" s="4">
        <f t="shared" si="144"/>
        <v>157373299.16999999</v>
      </c>
      <c r="F582" s="2">
        <f t="shared" si="145"/>
        <v>16867449</v>
      </c>
      <c r="G582" s="2">
        <f t="shared" si="146"/>
        <v>1468292881.2560999</v>
      </c>
      <c r="H582" s="42">
        <f t="shared" si="147"/>
        <v>-917.48099999999977</v>
      </c>
      <c r="I582" s="2">
        <f t="shared" si="148"/>
        <v>841771.38536099961</v>
      </c>
      <c r="J582" s="4">
        <f t="shared" si="149"/>
        <v>-1250783.5868099991</v>
      </c>
      <c r="K582" s="2">
        <f t="shared" si="150"/>
        <v>1564459581033.2864</v>
      </c>
      <c r="L582" s="2">
        <f t="shared" si="151"/>
        <v>1147570176.0100245</v>
      </c>
      <c r="N582" s="42">
        <f t="shared" si="152"/>
        <v>1056763.2778500977</v>
      </c>
      <c r="O582" s="42">
        <f t="shared" si="153"/>
        <v>53981233860.194252</v>
      </c>
      <c r="P582" s="4">
        <f t="shared" si="154"/>
        <v>-1018444.9678500977</v>
      </c>
      <c r="Q582" s="4">
        <f t="shared" si="155"/>
        <v>1037230152539.1865</v>
      </c>
      <c r="R582" s="43">
        <f t="shared" si="156"/>
        <v>1.1060431729305838E-3</v>
      </c>
      <c r="S582" s="4">
        <f t="shared" si="157"/>
        <v>-0.83742498116021102</v>
      </c>
      <c r="T582" s="30">
        <f t="shared" si="158"/>
        <v>977270.46981120203</v>
      </c>
      <c r="U582" s="31">
        <f t="shared" si="159"/>
        <v>1136256.0858889935</v>
      </c>
      <c r="V582" s="31">
        <f t="shared" si="160"/>
        <v>3448073.0152712008</v>
      </c>
      <c r="W582" s="42">
        <f t="shared" si="161"/>
        <v>3448326.3574343687</v>
      </c>
    </row>
    <row r="583" spans="2:23" x14ac:dyDescent="0.3">
      <c r="B583" s="2">
        <v>575</v>
      </c>
      <c r="C583" s="2">
        <v>6225</v>
      </c>
      <c r="D583" s="4">
        <v>4053782.25</v>
      </c>
      <c r="E583" s="4">
        <f t="shared" si="144"/>
        <v>25234794506.25</v>
      </c>
      <c r="F583" s="2">
        <f t="shared" si="145"/>
        <v>38750625</v>
      </c>
      <c r="G583" s="2">
        <f t="shared" si="146"/>
        <v>16433150530415.063</v>
      </c>
      <c r="H583" s="42">
        <f t="shared" si="147"/>
        <v>1200.5190000000002</v>
      </c>
      <c r="I583" s="2">
        <f t="shared" si="148"/>
        <v>1441245.8693610006</v>
      </c>
      <c r="J583" s="4">
        <f t="shared" si="149"/>
        <v>2764680.3531900011</v>
      </c>
      <c r="K583" s="2">
        <f t="shared" si="150"/>
        <v>7643457455314.7891</v>
      </c>
      <c r="L583" s="2">
        <f t="shared" si="151"/>
        <v>3319051292.9313078</v>
      </c>
      <c r="N583" s="42">
        <f t="shared" si="152"/>
        <v>1593115.7417780389</v>
      </c>
      <c r="O583" s="42">
        <f t="shared" si="153"/>
        <v>92424417932.251328</v>
      </c>
      <c r="P583" s="4">
        <f t="shared" si="154"/>
        <v>2460666.5082219611</v>
      </c>
      <c r="Q583" s="4">
        <f t="shared" si="155"/>
        <v>6054879664685.2588</v>
      </c>
      <c r="R583" s="43">
        <f t="shared" si="156"/>
        <v>1.1815626993481063E-3</v>
      </c>
      <c r="S583" s="4">
        <f t="shared" si="157"/>
        <v>2.0233803185958039</v>
      </c>
      <c r="T583" s="30">
        <f t="shared" si="158"/>
        <v>1510953.8964298507</v>
      </c>
      <c r="U583" s="31">
        <f t="shared" si="159"/>
        <v>1675277.5871262271</v>
      </c>
      <c r="V583" s="31">
        <f t="shared" si="160"/>
        <v>3984335.2628559084</v>
      </c>
      <c r="W583" s="42">
        <f t="shared" si="161"/>
        <v>3984769.0247460604</v>
      </c>
    </row>
    <row r="584" spans="2:23" x14ac:dyDescent="0.3">
      <c r="B584" s="2">
        <v>576</v>
      </c>
      <c r="C584" s="2">
        <v>8558</v>
      </c>
      <c r="D584" s="4">
        <v>1760380.5999999999</v>
      </c>
      <c r="E584" s="4">
        <f t="shared" si="144"/>
        <v>15065337174.799999</v>
      </c>
      <c r="F584" s="2">
        <f t="shared" si="145"/>
        <v>73239364</v>
      </c>
      <c r="G584" s="2">
        <f t="shared" si="146"/>
        <v>3098939856856.3594</v>
      </c>
      <c r="H584" s="42">
        <f t="shared" si="147"/>
        <v>3533.5190000000002</v>
      </c>
      <c r="I584" s="2">
        <f t="shared" si="148"/>
        <v>12485756.523361001</v>
      </c>
      <c r="J584" s="4">
        <f t="shared" si="149"/>
        <v>471278.70319000073</v>
      </c>
      <c r="K584" s="2">
        <f t="shared" si="150"/>
        <v>222103616080.44879</v>
      </c>
      <c r="L584" s="2">
        <f t="shared" si="151"/>
        <v>1665272252.0172284</v>
      </c>
      <c r="N584" s="42">
        <f t="shared" si="152"/>
        <v>2183913.8052076357</v>
      </c>
      <c r="O584" s="42">
        <f t="shared" si="153"/>
        <v>800688351410.22046</v>
      </c>
      <c r="P584" s="4">
        <f t="shared" si="154"/>
        <v>-423533.20520763588</v>
      </c>
      <c r="Q584" s="4">
        <f t="shared" si="155"/>
        <v>179380375913.4534</v>
      </c>
      <c r="R584" s="43">
        <f t="shared" si="156"/>
        <v>2.5729083468525316E-3</v>
      </c>
      <c r="S584" s="4">
        <f t="shared" si="157"/>
        <v>-0.34850974248093936</v>
      </c>
      <c r="T584" s="30">
        <f t="shared" si="158"/>
        <v>2062671.5637670795</v>
      </c>
      <c r="U584" s="31">
        <f t="shared" si="159"/>
        <v>2305156.0466481922</v>
      </c>
      <c r="V584" s="31">
        <f t="shared" si="160"/>
        <v>4573470.6021273835</v>
      </c>
      <c r="W584" s="42">
        <f t="shared" si="161"/>
        <v>4577228.3558278047</v>
      </c>
    </row>
    <row r="585" spans="2:23" x14ac:dyDescent="0.3">
      <c r="B585" s="2">
        <v>577</v>
      </c>
      <c r="C585" s="2">
        <v>6736</v>
      </c>
      <c r="D585" s="4">
        <v>2841851.04</v>
      </c>
      <c r="E585" s="4">
        <f t="shared" si="144"/>
        <v>19142708605.439999</v>
      </c>
      <c r="F585" s="2">
        <f t="shared" si="145"/>
        <v>45373696</v>
      </c>
      <c r="G585" s="2">
        <f t="shared" si="146"/>
        <v>8076117333549.082</v>
      </c>
      <c r="H585" s="42">
        <f t="shared" si="147"/>
        <v>1711.5190000000002</v>
      </c>
      <c r="I585" s="2">
        <f t="shared" si="148"/>
        <v>2929297.2873610007</v>
      </c>
      <c r="J585" s="4">
        <f t="shared" si="149"/>
        <v>1552749.1431900009</v>
      </c>
      <c r="K585" s="2">
        <f t="shared" si="150"/>
        <v>2411029901677.2817</v>
      </c>
      <c r="L585" s="2">
        <f t="shared" si="151"/>
        <v>2657559660.8034077</v>
      </c>
      <c r="N585" s="42">
        <f t="shared" si="152"/>
        <v>1722519.0038494165</v>
      </c>
      <c r="O585" s="42">
        <f t="shared" si="153"/>
        <v>187850388674.41779</v>
      </c>
      <c r="P585" s="4">
        <f t="shared" si="154"/>
        <v>1119332.0361505835</v>
      </c>
      <c r="Q585" s="4">
        <f t="shared" si="155"/>
        <v>1252904207153.0112</v>
      </c>
      <c r="R585" s="43">
        <f t="shared" si="156"/>
        <v>1.3690217845496089E-3</v>
      </c>
      <c r="S585" s="4">
        <f t="shared" si="157"/>
        <v>0.92050140370020483</v>
      </c>
      <c r="T585" s="30">
        <f t="shared" si="158"/>
        <v>1634079.3613803592</v>
      </c>
      <c r="U585" s="31">
        <f t="shared" si="159"/>
        <v>1810958.6463184739</v>
      </c>
      <c r="V585" s="31">
        <f t="shared" si="160"/>
        <v>4113514.5698124398</v>
      </c>
      <c r="W585" s="42">
        <f t="shared" si="161"/>
        <v>4114396.1803492359</v>
      </c>
    </row>
    <row r="586" spans="2:23" x14ac:dyDescent="0.3">
      <c r="B586" s="2">
        <v>578</v>
      </c>
      <c r="C586" s="2">
        <v>8421</v>
      </c>
      <c r="D586" s="4">
        <v>5627501.6699999999</v>
      </c>
      <c r="E586" s="4">
        <f t="shared" ref="E586:E649" si="162">C586*D586</f>
        <v>47389191563.07</v>
      </c>
      <c r="F586" s="2">
        <f t="shared" ref="F586:F649" si="163">POWER(C586,2)</f>
        <v>70913241</v>
      </c>
      <c r="G586" s="2">
        <f t="shared" ref="G586:G649" si="164">POWER(D586,2)</f>
        <v>31668775045852.789</v>
      </c>
      <c r="H586" s="42">
        <f t="shared" ref="H586:H649" si="165">C586-$AG$9</f>
        <v>3396.5190000000002</v>
      </c>
      <c r="I586" s="2">
        <f t="shared" ref="I586:I649" si="166">POWER(H586,2)</f>
        <v>11536341.317361001</v>
      </c>
      <c r="J586" s="4">
        <f t="shared" ref="J586:J649" si="167">D586-$AG$10</f>
        <v>4338399.773190001</v>
      </c>
      <c r="K586" s="2">
        <f t="shared" ref="K586:K649" si="168">POWER(J586,2)</f>
        <v>18821712592015.051</v>
      </c>
      <c r="L586" s="2">
        <f t="shared" ref="L586:L649" si="169">H586*J586</f>
        <v>14735457259.235531</v>
      </c>
      <c r="N586" s="42">
        <f t="shared" ref="N586:N649" si="170">$AG$18+$AG$17*C586</f>
        <v>2149220.5627344875</v>
      </c>
      <c r="O586" s="42">
        <f t="shared" ref="O586:O649" si="171">(N586-$AG$10)^2</f>
        <v>739804119471.72156</v>
      </c>
      <c r="P586" s="4">
        <f t="shared" ref="P586:P649" si="172">D586-N586</f>
        <v>3478281.1072655125</v>
      </c>
      <c r="Q586" s="4">
        <f t="shared" ref="Q586:Q649" si="173">P586^2</f>
        <v>12098439461160.199</v>
      </c>
      <c r="R586" s="43">
        <f t="shared" ref="R586:R649" si="174">(1/$AG$8)+((I586)/($I$1009))</f>
        <v>2.4533046128415361E-3</v>
      </c>
      <c r="S586" s="4">
        <f t="shared" ref="S586:S649" si="175">P586 / ($AG$19*SQRT(1-R586))</f>
        <v>2.8619767349793941</v>
      </c>
      <c r="T586" s="30">
        <f t="shared" ref="T586:T649" si="176">N586-$AK$16*SQRT($AG$25*((1/$AG$8)+((C586-$AG$9)^2)/$I$1009))</f>
        <v>2030829.876887735</v>
      </c>
      <c r="U586" s="31">
        <f t="shared" ref="U586:U649" si="177">N586+$AK$16*SQRT($AG$25*((1/$AG$8)+((C586-$AG$9)^2)/$I$1009))</f>
        <v>2267611.24858124</v>
      </c>
      <c r="V586" s="31">
        <f t="shared" ref="V586:V649" si="178">N586+$AK$16*SQRT($AG$25*(1+(1/$AG$8)-((C586-$AG$9)^2)/$I$1009))</f>
        <v>4538920.3372500297</v>
      </c>
      <c r="W586" s="42">
        <f t="shared" ref="W586:W649" si="179">N586+$AK$16*SQRT($AG$25*(1+(1/$AG$8)+((C586-$AG$9)^2)/$I$1009))</f>
        <v>4542392.3517199662</v>
      </c>
    </row>
    <row r="587" spans="2:23" x14ac:dyDescent="0.3">
      <c r="B587" s="2">
        <v>579</v>
      </c>
      <c r="C587" s="2">
        <v>8306</v>
      </c>
      <c r="D587" s="4">
        <v>678849.38</v>
      </c>
      <c r="E587" s="4">
        <f t="shared" si="162"/>
        <v>5638522950.2799997</v>
      </c>
      <c r="F587" s="2">
        <f t="shared" si="163"/>
        <v>68989636</v>
      </c>
      <c r="G587" s="2">
        <f t="shared" si="164"/>
        <v>460836480726.3844</v>
      </c>
      <c r="H587" s="42">
        <f t="shared" si="165"/>
        <v>3281.5190000000002</v>
      </c>
      <c r="I587" s="2">
        <f t="shared" si="166"/>
        <v>10768366.947361002</v>
      </c>
      <c r="J587" s="4">
        <f t="shared" si="167"/>
        <v>-610252.51680999913</v>
      </c>
      <c r="K587" s="2">
        <f t="shared" si="168"/>
        <v>372408134272.93829</v>
      </c>
      <c r="L587" s="2">
        <f t="shared" si="169"/>
        <v>-2002555228.7098317</v>
      </c>
      <c r="N587" s="42">
        <f t="shared" si="170"/>
        <v>2120098.4978847648</v>
      </c>
      <c r="O587" s="42">
        <f t="shared" si="171"/>
        <v>690555350997.81323</v>
      </c>
      <c r="P587" s="4">
        <f t="shared" si="172"/>
        <v>-1441249.1178847649</v>
      </c>
      <c r="Q587" s="4">
        <f t="shared" si="173"/>
        <v>2077199019803.613</v>
      </c>
      <c r="R587" s="43">
        <f t="shared" si="174"/>
        <v>2.3565581085763189E-3</v>
      </c>
      <c r="S587" s="4">
        <f t="shared" si="175"/>
        <v>-1.1858217637689576</v>
      </c>
      <c r="T587" s="30">
        <f t="shared" si="176"/>
        <v>2004065.6703752032</v>
      </c>
      <c r="U587" s="31">
        <f t="shared" si="177"/>
        <v>2236131.3253943264</v>
      </c>
      <c r="V587" s="31">
        <f t="shared" si="178"/>
        <v>4509913.9195763711</v>
      </c>
      <c r="W587" s="42">
        <f t="shared" si="179"/>
        <v>4513154.8018944636</v>
      </c>
    </row>
    <row r="588" spans="2:23" x14ac:dyDescent="0.3">
      <c r="B588" s="2">
        <v>580</v>
      </c>
      <c r="C588" s="2">
        <v>3112</v>
      </c>
      <c r="D588" s="4">
        <v>640138.39999999991</v>
      </c>
      <c r="E588" s="4">
        <f t="shared" si="162"/>
        <v>1992110700.7999997</v>
      </c>
      <c r="F588" s="2">
        <f t="shared" si="163"/>
        <v>9684544</v>
      </c>
      <c r="G588" s="2">
        <f t="shared" si="164"/>
        <v>409777171154.55988</v>
      </c>
      <c r="H588" s="42">
        <f t="shared" si="165"/>
        <v>-1912.4809999999998</v>
      </c>
      <c r="I588" s="2">
        <f t="shared" si="166"/>
        <v>3657583.575360999</v>
      </c>
      <c r="J588" s="4">
        <f t="shared" si="167"/>
        <v>-648963.49680999923</v>
      </c>
      <c r="K588" s="2">
        <f t="shared" si="168"/>
        <v>421153620191.86188</v>
      </c>
      <c r="L588" s="2">
        <f t="shared" si="169"/>
        <v>1241130357.342684</v>
      </c>
      <c r="N588" s="42">
        <f t="shared" si="170"/>
        <v>804794.1080633644</v>
      </c>
      <c r="O588" s="42">
        <f t="shared" si="171"/>
        <v>234554034240.65497</v>
      </c>
      <c r="P588" s="4">
        <f t="shared" si="172"/>
        <v>-164655.70806336449</v>
      </c>
      <c r="Q588" s="4">
        <f t="shared" si="173"/>
        <v>27111502197.847916</v>
      </c>
      <c r="R588" s="43">
        <f t="shared" si="174"/>
        <v>1.4607685344682178E-3</v>
      </c>
      <c r="S588" s="4">
        <f t="shared" si="175"/>
        <v>-0.13541359342085776</v>
      </c>
      <c r="T588" s="30">
        <f t="shared" si="176"/>
        <v>713439.07030052179</v>
      </c>
      <c r="U588" s="31">
        <f t="shared" si="177"/>
        <v>896149.14582620701</v>
      </c>
      <c r="V588" s="31">
        <f t="shared" si="178"/>
        <v>3195680.0576415211</v>
      </c>
      <c r="W588" s="42">
        <f t="shared" si="179"/>
        <v>3196780.8555235891</v>
      </c>
    </row>
    <row r="589" spans="2:23" x14ac:dyDescent="0.3">
      <c r="B589" s="2">
        <v>581</v>
      </c>
      <c r="C589" s="2">
        <v>6597</v>
      </c>
      <c r="D589" s="4">
        <v>2884208.4</v>
      </c>
      <c r="E589" s="4">
        <f t="shared" si="162"/>
        <v>19027122814.799999</v>
      </c>
      <c r="F589" s="2">
        <f t="shared" si="163"/>
        <v>43520409</v>
      </c>
      <c r="G589" s="2">
        <f t="shared" si="164"/>
        <v>8318658094630.5596</v>
      </c>
      <c r="H589" s="42">
        <f t="shared" si="165"/>
        <v>1572.5190000000002</v>
      </c>
      <c r="I589" s="2">
        <f t="shared" si="166"/>
        <v>2472816.0053610005</v>
      </c>
      <c r="J589" s="4">
        <f t="shared" si="167"/>
        <v>1595106.5031900008</v>
      </c>
      <c r="K589" s="2">
        <f t="shared" si="168"/>
        <v>2544364756519.0317</v>
      </c>
      <c r="L589" s="2">
        <f t="shared" si="169"/>
        <v>2508335283.2898374</v>
      </c>
      <c r="N589" s="42">
        <f t="shared" si="170"/>
        <v>1687319.2906832297</v>
      </c>
      <c r="O589" s="42">
        <f t="shared" si="171"/>
        <v>158577092783.18765</v>
      </c>
      <c r="P589" s="4">
        <f t="shared" si="172"/>
        <v>1196889.1093167702</v>
      </c>
      <c r="Q589" s="4">
        <f t="shared" si="173"/>
        <v>1432543540001.0916</v>
      </c>
      <c r="R589" s="43">
        <f t="shared" si="174"/>
        <v>1.3115160004750635E-3</v>
      </c>
      <c r="S589" s="4">
        <f t="shared" si="175"/>
        <v>0.98425342025766083</v>
      </c>
      <c r="T589" s="30">
        <f t="shared" si="176"/>
        <v>1600757.0289297414</v>
      </c>
      <c r="U589" s="31">
        <f t="shared" si="177"/>
        <v>1773881.552436718</v>
      </c>
      <c r="V589" s="31">
        <f t="shared" si="178"/>
        <v>4078383.5603453852</v>
      </c>
      <c r="W589" s="42">
        <f t="shared" si="179"/>
        <v>4079127.7868343266</v>
      </c>
    </row>
    <row r="590" spans="2:23" x14ac:dyDescent="0.3">
      <c r="B590" s="2">
        <v>582</v>
      </c>
      <c r="C590" s="2">
        <v>4545</v>
      </c>
      <c r="D590" s="4">
        <v>2959749.45</v>
      </c>
      <c r="E590" s="4">
        <f t="shared" si="162"/>
        <v>13452061250.25</v>
      </c>
      <c r="F590" s="2">
        <f t="shared" si="163"/>
        <v>20657025</v>
      </c>
      <c r="G590" s="2">
        <f t="shared" si="164"/>
        <v>8760116806775.3037</v>
      </c>
      <c r="H590" s="42">
        <f t="shared" si="165"/>
        <v>-479.48099999999977</v>
      </c>
      <c r="I590" s="2">
        <f t="shared" si="166"/>
        <v>229902.02936099979</v>
      </c>
      <c r="J590" s="4">
        <f t="shared" si="167"/>
        <v>1670647.5531900011</v>
      </c>
      <c r="K590" s="2">
        <f t="shared" si="168"/>
        <v>2791063246979.7373</v>
      </c>
      <c r="L590" s="2">
        <f t="shared" si="169"/>
        <v>-801043759.45109451</v>
      </c>
      <c r="N590" s="42">
        <f t="shared" si="170"/>
        <v>1167680.3596255644</v>
      </c>
      <c r="O590" s="42">
        <f t="shared" si="171"/>
        <v>14743189692.23106</v>
      </c>
      <c r="P590" s="4">
        <f t="shared" si="172"/>
        <v>1792069.0903744358</v>
      </c>
      <c r="Q590" s="4">
        <f t="shared" si="173"/>
        <v>3211511624675.4575</v>
      </c>
      <c r="R590" s="43">
        <f t="shared" si="174"/>
        <v>1.0289621874544539E-3</v>
      </c>
      <c r="S590" s="4">
        <f t="shared" si="175"/>
        <v>1.4734871026956606</v>
      </c>
      <c r="T590" s="30">
        <f t="shared" si="176"/>
        <v>1091007.5273102839</v>
      </c>
      <c r="U590" s="31">
        <f t="shared" si="177"/>
        <v>1244353.191940845</v>
      </c>
      <c r="V590" s="31">
        <f t="shared" si="178"/>
        <v>3559082.1752139959</v>
      </c>
      <c r="W590" s="42">
        <f t="shared" si="179"/>
        <v>3559151.3672516113</v>
      </c>
    </row>
    <row r="591" spans="2:23" x14ac:dyDescent="0.3">
      <c r="B591" s="2">
        <v>583</v>
      </c>
      <c r="C591" s="2">
        <v>9774</v>
      </c>
      <c r="D591" s="4">
        <v>798829.02</v>
      </c>
      <c r="E591" s="4">
        <f t="shared" si="162"/>
        <v>7807754841.4800005</v>
      </c>
      <c r="F591" s="2">
        <f t="shared" si="163"/>
        <v>95531076</v>
      </c>
      <c r="G591" s="2">
        <f t="shared" si="164"/>
        <v>638127803194.1604</v>
      </c>
      <c r="H591" s="42">
        <f t="shared" si="165"/>
        <v>4749.5190000000002</v>
      </c>
      <c r="I591" s="2">
        <f t="shared" si="166"/>
        <v>22557930.731361002</v>
      </c>
      <c r="J591" s="4">
        <f t="shared" si="167"/>
        <v>-490272.87680999911</v>
      </c>
      <c r="K591" s="2">
        <f t="shared" si="168"/>
        <v>240367493735.55258</v>
      </c>
      <c r="L591" s="2">
        <f t="shared" si="169"/>
        <v>-2328560343.5937505</v>
      </c>
      <c r="N591" s="42">
        <f t="shared" si="170"/>
        <v>2491847.9865751411</v>
      </c>
      <c r="O591" s="42">
        <f t="shared" si="171"/>
        <v>1446598156445.3389</v>
      </c>
      <c r="P591" s="4">
        <f t="shared" si="172"/>
        <v>-1693018.9665751411</v>
      </c>
      <c r="Q591" s="4">
        <f t="shared" si="173"/>
        <v>2866313221183.1587</v>
      </c>
      <c r="R591" s="43">
        <f t="shared" si="174"/>
        <v>3.8417627292901737E-3</v>
      </c>
      <c r="S591" s="4">
        <f t="shared" si="175"/>
        <v>-1.39400938160236</v>
      </c>
      <c r="T591" s="30">
        <f t="shared" si="176"/>
        <v>2343696.1402385347</v>
      </c>
      <c r="U591" s="31">
        <f t="shared" si="177"/>
        <v>2639999.8329117475</v>
      </c>
      <c r="V591" s="31">
        <f t="shared" si="178"/>
        <v>4879887.4329080423</v>
      </c>
      <c r="W591" s="42">
        <f t="shared" si="179"/>
        <v>4886676.5455065817</v>
      </c>
    </row>
    <row r="592" spans="2:23" x14ac:dyDescent="0.3">
      <c r="B592" s="2">
        <v>584</v>
      </c>
      <c r="C592" s="2">
        <v>7132</v>
      </c>
      <c r="D592" s="4">
        <v>3118110.4</v>
      </c>
      <c r="E592" s="4">
        <f t="shared" si="162"/>
        <v>22238363372.799999</v>
      </c>
      <c r="F592" s="2">
        <f t="shared" si="163"/>
        <v>50865424</v>
      </c>
      <c r="G592" s="2">
        <f t="shared" si="164"/>
        <v>9722612466588.1602</v>
      </c>
      <c r="H592" s="42">
        <f t="shared" si="165"/>
        <v>2107.5190000000002</v>
      </c>
      <c r="I592" s="2">
        <f t="shared" si="166"/>
        <v>4441636.3353610011</v>
      </c>
      <c r="J592" s="4">
        <f t="shared" si="167"/>
        <v>1829008.5031900008</v>
      </c>
      <c r="K592" s="2">
        <f t="shared" si="168"/>
        <v>3345272104741.3271</v>
      </c>
      <c r="L592" s="2">
        <f t="shared" si="169"/>
        <v>3854670171.6344876</v>
      </c>
      <c r="N592" s="42">
        <f t="shared" si="170"/>
        <v>1822800.2010710712</v>
      </c>
      <c r="O592" s="42">
        <f t="shared" si="171"/>
        <v>284833879971.14386</v>
      </c>
      <c r="P592" s="4">
        <f t="shared" si="172"/>
        <v>1295310.1989289287</v>
      </c>
      <c r="Q592" s="4">
        <f t="shared" si="173"/>
        <v>1677828511449.3008</v>
      </c>
      <c r="R592" s="43">
        <f t="shared" si="174"/>
        <v>1.5595405334471628E-3</v>
      </c>
      <c r="S592" s="4">
        <f t="shared" si="175"/>
        <v>1.0653216122531659</v>
      </c>
      <c r="T592" s="30">
        <f t="shared" si="176"/>
        <v>1728407.1264969141</v>
      </c>
      <c r="U592" s="31">
        <f t="shared" si="177"/>
        <v>1917193.2756452283</v>
      </c>
      <c r="V592" s="31">
        <f t="shared" si="178"/>
        <v>4213568.1350804204</v>
      </c>
      <c r="W592" s="42">
        <f t="shared" si="179"/>
        <v>4214904.9039693903</v>
      </c>
    </row>
    <row r="593" spans="2:23" x14ac:dyDescent="0.3">
      <c r="B593" s="2">
        <v>585</v>
      </c>
      <c r="C593" s="2">
        <v>8501</v>
      </c>
      <c r="D593" s="4">
        <v>1297082.58</v>
      </c>
      <c r="E593" s="4">
        <f t="shared" si="162"/>
        <v>11026499012.58</v>
      </c>
      <c r="F593" s="2">
        <f t="shared" si="163"/>
        <v>72267001</v>
      </c>
      <c r="G593" s="2">
        <f t="shared" si="164"/>
        <v>1682423219339.4565</v>
      </c>
      <c r="H593" s="42">
        <f t="shared" si="165"/>
        <v>3476.5190000000002</v>
      </c>
      <c r="I593" s="2">
        <f t="shared" si="166"/>
        <v>12086184.357361002</v>
      </c>
      <c r="J593" s="4">
        <f t="shared" si="167"/>
        <v>7980.683190000942</v>
      </c>
      <c r="K593" s="2">
        <f t="shared" si="168"/>
        <v>63691304.179163612</v>
      </c>
      <c r="L593" s="2">
        <f t="shared" si="169"/>
        <v>27744996.743018888</v>
      </c>
      <c r="N593" s="42">
        <f t="shared" si="170"/>
        <v>2169479.3904560339</v>
      </c>
      <c r="O593" s="42">
        <f t="shared" si="171"/>
        <v>775064531318.47388</v>
      </c>
      <c r="P593" s="4">
        <f t="shared" si="172"/>
        <v>-872396.8104560338</v>
      </c>
      <c r="Q593" s="4">
        <f t="shared" si="173"/>
        <v>761076194893.86096</v>
      </c>
      <c r="R593" s="43">
        <f t="shared" si="174"/>
        <v>2.5225717578044081E-3</v>
      </c>
      <c r="S593" s="4">
        <f t="shared" si="175"/>
        <v>-0.71784481695537683</v>
      </c>
      <c r="T593" s="30">
        <f t="shared" si="176"/>
        <v>2049429.0037525289</v>
      </c>
      <c r="U593" s="31">
        <f t="shared" si="177"/>
        <v>2289529.7771595386</v>
      </c>
      <c r="V593" s="31">
        <f t="shared" si="178"/>
        <v>4559096.362162428</v>
      </c>
      <c r="W593" s="42">
        <f t="shared" si="179"/>
        <v>4562733.859259624</v>
      </c>
    </row>
    <row r="594" spans="2:23" x14ac:dyDescent="0.3">
      <c r="B594" s="2">
        <v>586</v>
      </c>
      <c r="C594" s="2">
        <v>7789</v>
      </c>
      <c r="D594" s="4">
        <v>369588.05000000005</v>
      </c>
      <c r="E594" s="4">
        <f t="shared" si="162"/>
        <v>2878721321.4500003</v>
      </c>
      <c r="F594" s="2">
        <f t="shared" si="163"/>
        <v>60668521</v>
      </c>
      <c r="G594" s="2">
        <f t="shared" si="164"/>
        <v>136595326702.80254</v>
      </c>
      <c r="H594" s="42">
        <f t="shared" si="165"/>
        <v>2764.5190000000002</v>
      </c>
      <c r="I594" s="2">
        <f t="shared" si="166"/>
        <v>7642565.3013610011</v>
      </c>
      <c r="J594" s="4">
        <f t="shared" si="167"/>
        <v>-919513.84680999909</v>
      </c>
      <c r="K594" s="2">
        <f t="shared" si="168"/>
        <v>845505714475.32251</v>
      </c>
      <c r="L594" s="2">
        <f t="shared" si="169"/>
        <v>-2542013500.2693319</v>
      </c>
      <c r="N594" s="42">
        <f t="shared" si="170"/>
        <v>1989175.8237342711</v>
      </c>
      <c r="O594" s="42">
        <f t="shared" si="171"/>
        <v>490103503159.1709</v>
      </c>
      <c r="P594" s="4">
        <f t="shared" si="172"/>
        <v>-1619587.7737342711</v>
      </c>
      <c r="Q594" s="4">
        <f t="shared" si="173"/>
        <v>2623064556829.5322</v>
      </c>
      <c r="R594" s="43">
        <f t="shared" si="174"/>
        <v>1.9627814487159596E-3</v>
      </c>
      <c r="S594" s="4">
        <f t="shared" si="175"/>
        <v>-1.3322912001673282</v>
      </c>
      <c r="T594" s="30">
        <f t="shared" si="176"/>
        <v>1883280.2589295844</v>
      </c>
      <c r="U594" s="31">
        <f t="shared" si="177"/>
        <v>2095071.3885389578</v>
      </c>
      <c r="V594" s="31">
        <f t="shared" si="178"/>
        <v>4379461.8936785348</v>
      </c>
      <c r="W594" s="42">
        <f t="shared" si="179"/>
        <v>4381762.0244271522</v>
      </c>
    </row>
    <row r="595" spans="2:23" x14ac:dyDescent="0.3">
      <c r="B595" s="2">
        <v>587</v>
      </c>
      <c r="C595" s="2">
        <v>5941</v>
      </c>
      <c r="D595" s="4">
        <v>649232.48</v>
      </c>
      <c r="E595" s="4">
        <f t="shared" si="162"/>
        <v>3857090163.6799998</v>
      </c>
      <c r="F595" s="2">
        <f t="shared" si="163"/>
        <v>35295481</v>
      </c>
      <c r="G595" s="2">
        <f t="shared" si="164"/>
        <v>421502813086.95038</v>
      </c>
      <c r="H595" s="42">
        <f t="shared" si="165"/>
        <v>916.51900000000023</v>
      </c>
      <c r="I595" s="2">
        <f t="shared" si="166"/>
        <v>840007.07736100047</v>
      </c>
      <c r="J595" s="4">
        <f t="shared" si="167"/>
        <v>-639869.41680999915</v>
      </c>
      <c r="K595" s="2">
        <f t="shared" si="168"/>
        <v>409432870568.76843</v>
      </c>
      <c r="L595" s="2">
        <f t="shared" si="169"/>
        <v>-586452478.02528381</v>
      </c>
      <c r="N595" s="42">
        <f t="shared" si="170"/>
        <v>1521196.9033665492</v>
      </c>
      <c r="O595" s="42">
        <f t="shared" si="171"/>
        <v>53868092068.485008</v>
      </c>
      <c r="P595" s="4">
        <f t="shared" si="172"/>
        <v>-871964.42336654919</v>
      </c>
      <c r="Q595" s="4">
        <f t="shared" si="173"/>
        <v>760321955616.95862</v>
      </c>
      <c r="R595" s="43">
        <f t="shared" si="174"/>
        <v>1.1058209120868435E-3</v>
      </c>
      <c r="S595" s="4">
        <f t="shared" si="175"/>
        <v>-0.71698003586167081</v>
      </c>
      <c r="T595" s="30">
        <f t="shared" si="176"/>
        <v>1441712.0828215943</v>
      </c>
      <c r="U595" s="31">
        <f t="shared" si="177"/>
        <v>1600681.723911504</v>
      </c>
      <c r="V595" s="31">
        <f t="shared" si="178"/>
        <v>3912506.906297544</v>
      </c>
      <c r="W595" s="42">
        <f t="shared" si="179"/>
        <v>3912759.7174690254</v>
      </c>
    </row>
    <row r="596" spans="2:23" x14ac:dyDescent="0.3">
      <c r="B596" s="2">
        <v>588</v>
      </c>
      <c r="C596" s="2">
        <v>5930</v>
      </c>
      <c r="D596" s="4">
        <v>484658.9</v>
      </c>
      <c r="E596" s="4">
        <f t="shared" si="162"/>
        <v>2874027277</v>
      </c>
      <c r="F596" s="2">
        <f t="shared" si="163"/>
        <v>35164900</v>
      </c>
      <c r="G596" s="2">
        <f t="shared" si="164"/>
        <v>234894249349.21002</v>
      </c>
      <c r="H596" s="42">
        <f t="shared" si="165"/>
        <v>905.51900000000023</v>
      </c>
      <c r="I596" s="2">
        <f t="shared" si="166"/>
        <v>819964.65936100041</v>
      </c>
      <c r="J596" s="4">
        <f t="shared" si="167"/>
        <v>-804442.99680999911</v>
      </c>
      <c r="K596" s="2">
        <f t="shared" si="168"/>
        <v>647128535116.65222</v>
      </c>
      <c r="L596" s="2">
        <f t="shared" si="169"/>
        <v>-728438418.02839375</v>
      </c>
      <c r="N596" s="42">
        <f t="shared" si="170"/>
        <v>1518411.3145548366</v>
      </c>
      <c r="O596" s="42">
        <f t="shared" si="171"/>
        <v>52582809066.476379</v>
      </c>
      <c r="P596" s="4">
        <f t="shared" si="172"/>
        <v>-1033752.4145548366</v>
      </c>
      <c r="Q596" s="4">
        <f t="shared" si="173"/>
        <v>1068644054597.9547</v>
      </c>
      <c r="R596" s="43">
        <f t="shared" si="174"/>
        <v>1.1032960441299581E-3</v>
      </c>
      <c r="S596" s="4">
        <f t="shared" si="175"/>
        <v>-0.85001048973227511</v>
      </c>
      <c r="T596" s="30">
        <f t="shared" si="176"/>
        <v>1439017.2878088308</v>
      </c>
      <c r="U596" s="31">
        <f t="shared" si="177"/>
        <v>1597805.3413008424</v>
      </c>
      <c r="V596" s="31">
        <f t="shared" si="178"/>
        <v>3909724.3336579297</v>
      </c>
      <c r="W596" s="42">
        <f t="shared" si="179"/>
        <v>3909971.1128002494</v>
      </c>
    </row>
    <row r="597" spans="2:23" x14ac:dyDescent="0.3">
      <c r="B597" s="2">
        <v>589</v>
      </c>
      <c r="C597" s="2">
        <v>7760</v>
      </c>
      <c r="D597" s="4">
        <v>848012.80000000005</v>
      </c>
      <c r="E597" s="4">
        <f t="shared" si="162"/>
        <v>6580579328</v>
      </c>
      <c r="F597" s="2">
        <f t="shared" si="163"/>
        <v>60217600</v>
      </c>
      <c r="G597" s="2">
        <f t="shared" si="164"/>
        <v>719125708963.84009</v>
      </c>
      <c r="H597" s="42">
        <f t="shared" si="165"/>
        <v>2735.5190000000002</v>
      </c>
      <c r="I597" s="2">
        <f t="shared" si="166"/>
        <v>7483064.1993610011</v>
      </c>
      <c r="J597" s="4">
        <f t="shared" si="167"/>
        <v>-441089.09680999909</v>
      </c>
      <c r="K597" s="2">
        <f t="shared" si="168"/>
        <v>194559591324.66074</v>
      </c>
      <c r="L597" s="2">
        <f t="shared" si="169"/>
        <v>-1206607605.016592</v>
      </c>
      <c r="N597" s="42">
        <f t="shared" si="170"/>
        <v>1981831.9986852105</v>
      </c>
      <c r="O597" s="42">
        <f t="shared" si="171"/>
        <v>479874994044.04071</v>
      </c>
      <c r="P597" s="4">
        <f t="shared" si="172"/>
        <v>-1133819.1986852104</v>
      </c>
      <c r="Q597" s="4">
        <f t="shared" si="173"/>
        <v>1285545975307.1726</v>
      </c>
      <c r="R597" s="43">
        <f t="shared" si="174"/>
        <v>1.9426881036151982E-3</v>
      </c>
      <c r="S597" s="4">
        <f t="shared" si="175"/>
        <v>-0.93268309355879331</v>
      </c>
      <c r="T597" s="30">
        <f t="shared" si="176"/>
        <v>1876479.8641847114</v>
      </c>
      <c r="U597" s="31">
        <f t="shared" si="177"/>
        <v>2087184.1331857096</v>
      </c>
      <c r="V597" s="31">
        <f t="shared" si="178"/>
        <v>4372142.0820365492</v>
      </c>
      <c r="W597" s="42">
        <f t="shared" si="179"/>
        <v>4374394.2088157032</v>
      </c>
    </row>
    <row r="598" spans="2:23" x14ac:dyDescent="0.3">
      <c r="B598" s="2">
        <v>590</v>
      </c>
      <c r="C598" s="2">
        <v>3468</v>
      </c>
      <c r="D598" s="4">
        <v>32356.44</v>
      </c>
      <c r="E598" s="4">
        <f t="shared" si="162"/>
        <v>112212133.92</v>
      </c>
      <c r="F598" s="2">
        <f t="shared" si="163"/>
        <v>12027024</v>
      </c>
      <c r="G598" s="2">
        <f t="shared" si="164"/>
        <v>1046939209.4735999</v>
      </c>
      <c r="H598" s="42">
        <f t="shared" si="165"/>
        <v>-1556.4809999999998</v>
      </c>
      <c r="I598" s="2">
        <f t="shared" si="166"/>
        <v>2422633.1033609994</v>
      </c>
      <c r="J598" s="4">
        <f t="shared" si="167"/>
        <v>-1256745.4568099992</v>
      </c>
      <c r="K598" s="2">
        <f t="shared" si="168"/>
        <v>1579409143212.5735</v>
      </c>
      <c r="L598" s="2">
        <f t="shared" si="169"/>
        <v>1956100425.361084</v>
      </c>
      <c r="N598" s="42">
        <f t="shared" si="170"/>
        <v>894945.8914242459</v>
      </c>
      <c r="O598" s="42">
        <f t="shared" si="171"/>
        <v>155358956581.65393</v>
      </c>
      <c r="P598" s="4">
        <f t="shared" si="172"/>
        <v>-862589.45142424596</v>
      </c>
      <c r="Q598" s="4">
        <f t="shared" si="173"/>
        <v>744060561708.38159</v>
      </c>
      <c r="R598" s="43">
        <f t="shared" si="174"/>
        <v>1.305194148428902E-3</v>
      </c>
      <c r="S598" s="4">
        <f t="shared" si="175"/>
        <v>-0.70934218055381459</v>
      </c>
      <c r="T598" s="30">
        <f t="shared" si="176"/>
        <v>808592.50812069012</v>
      </c>
      <c r="U598" s="31">
        <f t="shared" si="177"/>
        <v>981299.27472780168</v>
      </c>
      <c r="V598" s="31">
        <f t="shared" si="178"/>
        <v>3286017.7138517788</v>
      </c>
      <c r="W598" s="42">
        <f t="shared" si="179"/>
        <v>3286746.8371362137</v>
      </c>
    </row>
    <row r="599" spans="2:23" x14ac:dyDescent="0.3">
      <c r="B599" s="2">
        <v>591</v>
      </c>
      <c r="C599" s="2">
        <v>2121</v>
      </c>
      <c r="D599" s="4">
        <v>927301.2</v>
      </c>
      <c r="E599" s="4">
        <f t="shared" si="162"/>
        <v>1966805845.1999998</v>
      </c>
      <c r="F599" s="2">
        <f t="shared" si="163"/>
        <v>4498641</v>
      </c>
      <c r="G599" s="2">
        <f t="shared" si="164"/>
        <v>859887515521.43994</v>
      </c>
      <c r="H599" s="42">
        <f t="shared" si="165"/>
        <v>-2903.4809999999998</v>
      </c>
      <c r="I599" s="2">
        <f t="shared" si="166"/>
        <v>8430201.9173609987</v>
      </c>
      <c r="J599" s="4">
        <f t="shared" si="167"/>
        <v>-361800.69680999918</v>
      </c>
      <c r="K599" s="2">
        <f t="shared" si="168"/>
        <v>130899744212.20094</v>
      </c>
      <c r="L599" s="2">
        <f t="shared" si="169"/>
        <v>1050481448.9745932</v>
      </c>
      <c r="N599" s="42">
        <f t="shared" si="170"/>
        <v>553837.87966270838</v>
      </c>
      <c r="O599" s="42">
        <f t="shared" si="171"/>
        <v>540613174911.57147</v>
      </c>
      <c r="P599" s="4">
        <f t="shared" si="172"/>
        <v>373463.32033729157</v>
      </c>
      <c r="Q599" s="4">
        <f t="shared" si="173"/>
        <v>139474851637.35446</v>
      </c>
      <c r="R599" s="43">
        <f t="shared" si="174"/>
        <v>2.0620049283084953E-3</v>
      </c>
      <c r="S599" s="4">
        <f t="shared" si="175"/>
        <v>0.30723041914881455</v>
      </c>
      <c r="T599" s="30">
        <f t="shared" si="176"/>
        <v>445298.67166843527</v>
      </c>
      <c r="U599" s="31">
        <f t="shared" si="177"/>
        <v>662377.08765698143</v>
      </c>
      <c r="V599" s="31">
        <f t="shared" si="178"/>
        <v>2944005.3648283128</v>
      </c>
      <c r="W599" s="42">
        <f t="shared" si="179"/>
        <v>2946542.5452603493</v>
      </c>
    </row>
    <row r="600" spans="2:23" x14ac:dyDescent="0.3">
      <c r="B600" s="2">
        <v>592</v>
      </c>
      <c r="C600" s="2">
        <v>4818</v>
      </c>
      <c r="D600" s="4">
        <v>3137529.7800000003</v>
      </c>
      <c r="E600" s="4">
        <f t="shared" si="162"/>
        <v>15116618480.040001</v>
      </c>
      <c r="F600" s="2">
        <f t="shared" si="163"/>
        <v>23213124</v>
      </c>
      <c r="G600" s="2">
        <f t="shared" si="164"/>
        <v>9844093120386.8496</v>
      </c>
      <c r="H600" s="42">
        <f t="shared" si="165"/>
        <v>-206.48099999999977</v>
      </c>
      <c r="I600" s="2">
        <f t="shared" si="166"/>
        <v>42634.403360999902</v>
      </c>
      <c r="J600" s="4">
        <f t="shared" si="167"/>
        <v>1848427.8831900011</v>
      </c>
      <c r="K600" s="2">
        <f t="shared" si="168"/>
        <v>3416685639354.2686</v>
      </c>
      <c r="L600" s="2">
        <f t="shared" si="169"/>
        <v>-381665237.74895418</v>
      </c>
      <c r="N600" s="42">
        <f t="shared" si="170"/>
        <v>1236813.6092253416</v>
      </c>
      <c r="O600" s="42">
        <f t="shared" si="171"/>
        <v>2734065018.5358529</v>
      </c>
      <c r="P600" s="4">
        <f t="shared" si="172"/>
        <v>1900716.1707746587</v>
      </c>
      <c r="Q600" s="4">
        <f t="shared" si="173"/>
        <v>3612721961844.2813</v>
      </c>
      <c r="R600" s="43">
        <f t="shared" si="174"/>
        <v>1.005370920759517E-3</v>
      </c>
      <c r="S600" s="4">
        <f t="shared" si="175"/>
        <v>1.5628011829003026</v>
      </c>
      <c r="T600" s="30">
        <f t="shared" si="176"/>
        <v>1161024.8218210223</v>
      </c>
      <c r="U600" s="31">
        <f t="shared" si="177"/>
        <v>1312602.3966296609</v>
      </c>
      <c r="V600" s="31">
        <f t="shared" si="178"/>
        <v>3628243.6053821761</v>
      </c>
      <c r="W600" s="42">
        <f t="shared" si="179"/>
        <v>3628256.4367662612</v>
      </c>
    </row>
    <row r="601" spans="2:23" x14ac:dyDescent="0.3">
      <c r="B601" s="2">
        <v>593</v>
      </c>
      <c r="C601" s="2">
        <v>9689</v>
      </c>
      <c r="D601" s="4">
        <v>2473407.92</v>
      </c>
      <c r="E601" s="4">
        <f t="shared" si="162"/>
        <v>23964849336.880001</v>
      </c>
      <c r="F601" s="2">
        <f t="shared" si="163"/>
        <v>93876721</v>
      </c>
      <c r="G601" s="2">
        <f t="shared" si="164"/>
        <v>6117746738718.7256</v>
      </c>
      <c r="H601" s="42">
        <f t="shared" si="165"/>
        <v>4664.5190000000002</v>
      </c>
      <c r="I601" s="2">
        <f t="shared" si="166"/>
        <v>21757737.501361001</v>
      </c>
      <c r="J601" s="4">
        <f t="shared" si="167"/>
        <v>1184306.0231900008</v>
      </c>
      <c r="K601" s="2">
        <f t="shared" si="168"/>
        <v>1402580756564.1147</v>
      </c>
      <c r="L601" s="2">
        <f t="shared" si="169"/>
        <v>5524217946.9841995</v>
      </c>
      <c r="N601" s="42">
        <f t="shared" si="170"/>
        <v>2470322.9821209982</v>
      </c>
      <c r="O601" s="42">
        <f t="shared" si="171"/>
        <v>1395283252383.2944</v>
      </c>
      <c r="P601" s="4">
        <f t="shared" si="172"/>
        <v>3084.9378790017217</v>
      </c>
      <c r="Q601" s="4">
        <f t="shared" si="173"/>
        <v>9516841.717299642</v>
      </c>
      <c r="R601" s="43">
        <f t="shared" si="174"/>
        <v>3.7409574149940812E-3</v>
      </c>
      <c r="S601" s="4">
        <f t="shared" si="175"/>
        <v>2.5399684570915617E-3</v>
      </c>
      <c r="T601" s="30">
        <f t="shared" si="176"/>
        <v>2324127.7594855721</v>
      </c>
      <c r="U601" s="31">
        <f t="shared" si="177"/>
        <v>2616518.2047564243</v>
      </c>
      <c r="V601" s="31">
        <f t="shared" si="178"/>
        <v>4858483.0110331047</v>
      </c>
      <c r="W601" s="42">
        <f t="shared" si="179"/>
        <v>4865031.2942588497</v>
      </c>
    </row>
    <row r="602" spans="2:23" x14ac:dyDescent="0.3">
      <c r="B602" s="2">
        <v>594</v>
      </c>
      <c r="C602" s="2">
        <v>6894</v>
      </c>
      <c r="D602" s="4">
        <v>4607053.38</v>
      </c>
      <c r="E602" s="4">
        <f t="shared" si="162"/>
        <v>31761026001.719997</v>
      </c>
      <c r="F602" s="2">
        <f t="shared" si="163"/>
        <v>47527236</v>
      </c>
      <c r="G602" s="2">
        <f t="shared" si="164"/>
        <v>21224940846169.422</v>
      </c>
      <c r="H602" s="42">
        <f t="shared" si="165"/>
        <v>1869.5190000000002</v>
      </c>
      <c r="I602" s="2">
        <f t="shared" si="166"/>
        <v>3495101.2913610009</v>
      </c>
      <c r="J602" s="4">
        <f t="shared" si="167"/>
        <v>3317951.483190001</v>
      </c>
      <c r="K602" s="2">
        <f t="shared" si="168"/>
        <v>11008802044802.727</v>
      </c>
      <c r="L602" s="2">
        <f t="shared" si="169"/>
        <v>6202973338.9018879</v>
      </c>
      <c r="N602" s="42">
        <f t="shared" si="170"/>
        <v>1762530.1885994705</v>
      </c>
      <c r="O602" s="42">
        <f t="shared" si="171"/>
        <v>224134347466.69687</v>
      </c>
      <c r="P602" s="4">
        <f t="shared" si="172"/>
        <v>2844523.1914005294</v>
      </c>
      <c r="Q602" s="4">
        <f t="shared" si="173"/>
        <v>8091312186415.4521</v>
      </c>
      <c r="R602" s="43">
        <f t="shared" si="174"/>
        <v>1.4402996313431981E-3</v>
      </c>
      <c r="S602" s="4">
        <f t="shared" si="175"/>
        <v>2.3393246645488528</v>
      </c>
      <c r="T602" s="30">
        <f t="shared" si="176"/>
        <v>1671817.4614634623</v>
      </c>
      <c r="U602" s="31">
        <f t="shared" si="177"/>
        <v>1853242.9157354787</v>
      </c>
      <c r="V602" s="31">
        <f t="shared" si="178"/>
        <v>4153440.5942714275</v>
      </c>
      <c r="W602" s="42">
        <f t="shared" si="179"/>
        <v>4154492.4909707149</v>
      </c>
    </row>
    <row r="603" spans="2:23" x14ac:dyDescent="0.3">
      <c r="B603" s="2">
        <v>595</v>
      </c>
      <c r="C603" s="2">
        <v>3626</v>
      </c>
      <c r="D603" s="4">
        <v>745868.2</v>
      </c>
      <c r="E603" s="4">
        <f t="shared" si="162"/>
        <v>2704518093.1999998</v>
      </c>
      <c r="F603" s="2">
        <f t="shared" si="163"/>
        <v>13147876</v>
      </c>
      <c r="G603" s="2">
        <f t="shared" si="164"/>
        <v>556319371771.23999</v>
      </c>
      <c r="H603" s="42">
        <f t="shared" si="165"/>
        <v>-1398.4809999999998</v>
      </c>
      <c r="I603" s="2">
        <f t="shared" si="166"/>
        <v>1955749.1073609993</v>
      </c>
      <c r="J603" s="4">
        <f t="shared" si="167"/>
        <v>-543233.69680999918</v>
      </c>
      <c r="K603" s="2">
        <f t="shared" si="168"/>
        <v>295102849349.85809</v>
      </c>
      <c r="L603" s="2">
        <f t="shared" si="169"/>
        <v>759702003.54854429</v>
      </c>
      <c r="N603" s="42">
        <f t="shared" si="170"/>
        <v>934957.07617430005</v>
      </c>
      <c r="O603" s="42">
        <f t="shared" si="171"/>
        <v>125418553983.09148</v>
      </c>
      <c r="P603" s="4">
        <f t="shared" si="172"/>
        <v>-189088.87617430009</v>
      </c>
      <c r="Q603" s="4">
        <f t="shared" si="173"/>
        <v>35754603092.859795</v>
      </c>
      <c r="R603" s="43">
        <f t="shared" si="174"/>
        <v>1.2463778698200523E-3</v>
      </c>
      <c r="S603" s="4">
        <f t="shared" si="175"/>
        <v>-0.15549084917041886</v>
      </c>
      <c r="T603" s="30">
        <f t="shared" si="176"/>
        <v>850571.80246773304</v>
      </c>
      <c r="U603" s="31">
        <f t="shared" si="177"/>
        <v>1019342.3498808671</v>
      </c>
      <c r="V603" s="31">
        <f t="shared" si="178"/>
        <v>3326099.1657198719</v>
      </c>
      <c r="W603" s="42">
        <f t="shared" si="179"/>
        <v>3326687.774124892</v>
      </c>
    </row>
    <row r="604" spans="2:23" x14ac:dyDescent="0.3">
      <c r="B604" s="2">
        <v>596</v>
      </c>
      <c r="C604" s="2">
        <v>9109</v>
      </c>
      <c r="D604" s="4">
        <v>2325345.52</v>
      </c>
      <c r="E604" s="4">
        <f t="shared" si="162"/>
        <v>21181572341.68</v>
      </c>
      <c r="F604" s="2">
        <f t="shared" si="163"/>
        <v>82973881</v>
      </c>
      <c r="G604" s="2">
        <f t="shared" si="164"/>
        <v>5407231787384.0703</v>
      </c>
      <c r="H604" s="42">
        <f t="shared" si="165"/>
        <v>4084.5190000000002</v>
      </c>
      <c r="I604" s="2">
        <f t="shared" si="166"/>
        <v>16683295.461361002</v>
      </c>
      <c r="J604" s="4">
        <f t="shared" si="167"/>
        <v>1036243.6231900009</v>
      </c>
      <c r="K604" s="2">
        <f t="shared" si="168"/>
        <v>1073800846601.9406</v>
      </c>
      <c r="L604" s="2">
        <f t="shared" si="169"/>
        <v>4232556767.5483994</v>
      </c>
      <c r="N604" s="42">
        <f t="shared" si="170"/>
        <v>2323446.4811397865</v>
      </c>
      <c r="O604" s="42">
        <f t="shared" si="171"/>
        <v>1069868719132.3607</v>
      </c>
      <c r="P604" s="4">
        <f t="shared" si="172"/>
        <v>1899.0388602134772</v>
      </c>
      <c r="Q604" s="4">
        <f t="shared" si="173"/>
        <v>3606348.5926009025</v>
      </c>
      <c r="R604" s="43">
        <f t="shared" si="174"/>
        <v>3.101698414115628E-3</v>
      </c>
      <c r="S604" s="4">
        <f t="shared" si="175"/>
        <v>1.5630629255673229E-3</v>
      </c>
      <c r="T604" s="30">
        <f t="shared" si="176"/>
        <v>2190327.0102510108</v>
      </c>
      <c r="U604" s="31">
        <f t="shared" si="177"/>
        <v>2456565.9520285623</v>
      </c>
      <c r="V604" s="31">
        <f t="shared" si="178"/>
        <v>4712371.0453077694</v>
      </c>
      <c r="W604" s="42">
        <f t="shared" si="179"/>
        <v>4717392.105131777</v>
      </c>
    </row>
    <row r="605" spans="2:23" x14ac:dyDescent="0.3">
      <c r="B605" s="2">
        <v>597</v>
      </c>
      <c r="C605" s="2">
        <v>9598</v>
      </c>
      <c r="D605" s="4">
        <v>2450177.44</v>
      </c>
      <c r="E605" s="4">
        <f t="shared" si="162"/>
        <v>23516803069.119999</v>
      </c>
      <c r="F605" s="2">
        <f t="shared" si="163"/>
        <v>92121604</v>
      </c>
      <c r="G605" s="2">
        <f t="shared" si="164"/>
        <v>6003369487484.9531</v>
      </c>
      <c r="H605" s="42">
        <f t="shared" si="165"/>
        <v>4573.5190000000002</v>
      </c>
      <c r="I605" s="2">
        <f t="shared" si="166"/>
        <v>20917076.043361001</v>
      </c>
      <c r="J605" s="4">
        <f t="shared" si="167"/>
        <v>1161075.5431900008</v>
      </c>
      <c r="K605" s="2">
        <f t="shared" si="168"/>
        <v>1348096416993.9553</v>
      </c>
      <c r="L605" s="2">
        <f t="shared" si="169"/>
        <v>5310201057.2147894</v>
      </c>
      <c r="N605" s="42">
        <f t="shared" si="170"/>
        <v>2447278.565587739</v>
      </c>
      <c r="O605" s="42">
        <f t="shared" si="171"/>
        <v>1341373196101.1025</v>
      </c>
      <c r="P605" s="4">
        <f t="shared" si="172"/>
        <v>2898.8744122609496</v>
      </c>
      <c r="Q605" s="4">
        <f t="shared" si="173"/>
        <v>8403472.8580612652</v>
      </c>
      <c r="R605" s="43">
        <f t="shared" si="174"/>
        <v>3.6350540665112392E-3</v>
      </c>
      <c r="S605" s="4">
        <f t="shared" si="175"/>
        <v>2.3866471670955973E-3</v>
      </c>
      <c r="T605" s="30">
        <f t="shared" si="176"/>
        <v>2303167.5309605496</v>
      </c>
      <c r="U605" s="31">
        <f t="shared" si="177"/>
        <v>2591389.6002149284</v>
      </c>
      <c r="V605" s="31">
        <f t="shared" si="178"/>
        <v>4835565.2687524948</v>
      </c>
      <c r="W605" s="42">
        <f t="shared" si="179"/>
        <v>4841860.5431784019</v>
      </c>
    </row>
    <row r="606" spans="2:23" x14ac:dyDescent="0.3">
      <c r="B606" s="2">
        <v>598</v>
      </c>
      <c r="C606" s="2">
        <v>3378</v>
      </c>
      <c r="D606" s="4">
        <v>2199787.3800000004</v>
      </c>
      <c r="E606" s="4">
        <f t="shared" si="162"/>
        <v>7430881769.6400013</v>
      </c>
      <c r="F606" s="2">
        <f t="shared" si="163"/>
        <v>11410884</v>
      </c>
      <c r="G606" s="2">
        <f t="shared" si="164"/>
        <v>4839064517207.2656</v>
      </c>
      <c r="H606" s="42">
        <f t="shared" si="165"/>
        <v>-1646.4809999999998</v>
      </c>
      <c r="I606" s="2">
        <f t="shared" si="166"/>
        <v>2710899.6833609995</v>
      </c>
      <c r="J606" s="4">
        <f t="shared" si="167"/>
        <v>910685.48319000122</v>
      </c>
      <c r="K606" s="2">
        <f t="shared" si="168"/>
        <v>829348049293.00598</v>
      </c>
      <c r="L606" s="2">
        <f t="shared" si="169"/>
        <v>-1499426345.0481563</v>
      </c>
      <c r="N606" s="42">
        <f t="shared" si="170"/>
        <v>872154.71023750619</v>
      </c>
      <c r="O606" s="42">
        <f t="shared" si="171"/>
        <v>173844956390.71722</v>
      </c>
      <c r="P606" s="4">
        <f t="shared" si="172"/>
        <v>1327632.669762494</v>
      </c>
      <c r="Q606" s="4">
        <f t="shared" si="173"/>
        <v>1762608505820.6875</v>
      </c>
      <c r="R606" s="43">
        <f t="shared" si="174"/>
        <v>1.3415088810566193E-3</v>
      </c>
      <c r="S606" s="4">
        <f t="shared" si="175"/>
        <v>1.0917858708192185</v>
      </c>
      <c r="T606" s="30">
        <f t="shared" si="176"/>
        <v>784608.25325299741</v>
      </c>
      <c r="U606" s="31">
        <f t="shared" si="177"/>
        <v>959701.16722201498</v>
      </c>
      <c r="V606" s="31">
        <f t="shared" si="178"/>
        <v>3263183.1468489058</v>
      </c>
      <c r="W606" s="42">
        <f t="shared" si="179"/>
        <v>3263999.027753016</v>
      </c>
    </row>
    <row r="607" spans="2:23" x14ac:dyDescent="0.3">
      <c r="B607" s="2">
        <v>599</v>
      </c>
      <c r="C607" s="2">
        <v>5768</v>
      </c>
      <c r="D607" s="4">
        <v>880081.44000000006</v>
      </c>
      <c r="E607" s="4">
        <f t="shared" si="162"/>
        <v>5076309745.9200001</v>
      </c>
      <c r="F607" s="2">
        <f t="shared" si="163"/>
        <v>33269824</v>
      </c>
      <c r="G607" s="2">
        <f t="shared" si="164"/>
        <v>774543341032.47375</v>
      </c>
      <c r="H607" s="42">
        <f t="shared" si="165"/>
        <v>743.51900000000023</v>
      </c>
      <c r="I607" s="2">
        <f t="shared" si="166"/>
        <v>552820.50336100033</v>
      </c>
      <c r="J607" s="4">
        <f t="shared" si="167"/>
        <v>-409020.45680999907</v>
      </c>
      <c r="K607" s="2">
        <f t="shared" si="168"/>
        <v>167297734089.0603</v>
      </c>
      <c r="L607" s="2">
        <f t="shared" si="169"/>
        <v>-304114481.02691382</v>
      </c>
      <c r="N607" s="42">
        <f t="shared" si="170"/>
        <v>1477387.188418705</v>
      </c>
      <c r="O607" s="42">
        <f t="shared" si="171"/>
        <v>35451351036.175407</v>
      </c>
      <c r="P607" s="4">
        <f t="shared" si="172"/>
        <v>-597305.74841870496</v>
      </c>
      <c r="Q607" s="4">
        <f t="shared" si="173"/>
        <v>356774157094.02924</v>
      </c>
      <c r="R607" s="43">
        <f t="shared" si="174"/>
        <v>1.0696422345270649E-3</v>
      </c>
      <c r="S607" s="4">
        <f t="shared" si="175"/>
        <v>-0.49113075052935606</v>
      </c>
      <c r="T607" s="30">
        <f t="shared" si="176"/>
        <v>1399213.4160153484</v>
      </c>
      <c r="U607" s="31">
        <f t="shared" si="177"/>
        <v>1555560.9608220616</v>
      </c>
      <c r="V607" s="31">
        <f t="shared" si="178"/>
        <v>3868740.4095307859</v>
      </c>
      <c r="W607" s="42">
        <f t="shared" si="179"/>
        <v>3868906.7881277404</v>
      </c>
    </row>
    <row r="608" spans="2:23" x14ac:dyDescent="0.3">
      <c r="B608" s="2">
        <v>600</v>
      </c>
      <c r="C608" s="2">
        <v>4115</v>
      </c>
      <c r="D608" s="4">
        <v>1736077.3499999999</v>
      </c>
      <c r="E608" s="4">
        <f t="shared" si="162"/>
        <v>7143958295.249999</v>
      </c>
      <c r="F608" s="2">
        <f t="shared" si="163"/>
        <v>16933225</v>
      </c>
      <c r="G608" s="2">
        <f t="shared" si="164"/>
        <v>3013964565183.022</v>
      </c>
      <c r="H608" s="42">
        <f t="shared" si="165"/>
        <v>-909.48099999999977</v>
      </c>
      <c r="I608" s="2">
        <f t="shared" si="166"/>
        <v>827155.68936099962</v>
      </c>
      <c r="J608" s="4">
        <f t="shared" si="167"/>
        <v>446975.45319000073</v>
      </c>
      <c r="K608" s="2">
        <f t="shared" si="168"/>
        <v>199787055754.40652</v>
      </c>
      <c r="L608" s="2">
        <f t="shared" si="169"/>
        <v>-406515682.14269495</v>
      </c>
      <c r="N608" s="42">
        <f t="shared" si="170"/>
        <v>1058789.1606222524</v>
      </c>
      <c r="O608" s="42">
        <f t="shared" si="171"/>
        <v>53043956450.286629</v>
      </c>
      <c r="P608" s="4">
        <f t="shared" si="172"/>
        <v>677288.18937774748</v>
      </c>
      <c r="Q608" s="4">
        <f t="shared" si="173"/>
        <v>458719291470.58752</v>
      </c>
      <c r="R608" s="43">
        <f t="shared" si="174"/>
        <v>1.1042019428705193E-3</v>
      </c>
      <c r="S608" s="4">
        <f t="shared" si="175"/>
        <v>0.55690542386095621</v>
      </c>
      <c r="T608" s="30">
        <f t="shared" si="176"/>
        <v>979362.54598128318</v>
      </c>
      <c r="U608" s="31">
        <f t="shared" si="177"/>
        <v>1138215.7752632215</v>
      </c>
      <c r="V608" s="31">
        <f t="shared" si="178"/>
        <v>3450101.0975517631</v>
      </c>
      <c r="W608" s="42">
        <f t="shared" si="179"/>
        <v>3450350.0409290902</v>
      </c>
    </row>
    <row r="609" spans="2:23" x14ac:dyDescent="0.3">
      <c r="B609" s="2">
        <v>601</v>
      </c>
      <c r="C609" s="2">
        <v>2801</v>
      </c>
      <c r="D609" s="4">
        <v>306093.28000000003</v>
      </c>
      <c r="E609" s="4">
        <f t="shared" si="162"/>
        <v>857367277.28000009</v>
      </c>
      <c r="F609" s="2">
        <f t="shared" si="163"/>
        <v>7845601</v>
      </c>
      <c r="G609" s="2">
        <f t="shared" si="164"/>
        <v>93693096061.158417</v>
      </c>
      <c r="H609" s="42">
        <f t="shared" si="165"/>
        <v>-2223.4809999999998</v>
      </c>
      <c r="I609" s="2">
        <f t="shared" si="166"/>
        <v>4943867.7573609985</v>
      </c>
      <c r="J609" s="4">
        <f t="shared" si="167"/>
        <v>-983008.6168099991</v>
      </c>
      <c r="K609" s="2">
        <f t="shared" si="168"/>
        <v>966305940722.70764</v>
      </c>
      <c r="L609" s="2">
        <f t="shared" si="169"/>
        <v>2185700982.3133135</v>
      </c>
      <c r="N609" s="42">
        <f t="shared" si="170"/>
        <v>726037.91529585281</v>
      </c>
      <c r="O609" s="42">
        <f t="shared" si="171"/>
        <v>317041047278.56293</v>
      </c>
      <c r="P609" s="4">
        <f t="shared" si="172"/>
        <v>-419944.63529585279</v>
      </c>
      <c r="Q609" s="4">
        <f t="shared" si="173"/>
        <v>176353496713.76682</v>
      </c>
      <c r="R609" s="43">
        <f t="shared" si="174"/>
        <v>1.6228097469896006E-3</v>
      </c>
      <c r="S609" s="4">
        <f t="shared" si="175"/>
        <v>-0.34539237909725207</v>
      </c>
      <c r="T609" s="30">
        <f t="shared" si="176"/>
        <v>629749.15339115972</v>
      </c>
      <c r="U609" s="31">
        <f t="shared" si="177"/>
        <v>822326.67720054591</v>
      </c>
      <c r="V609" s="31">
        <f t="shared" si="178"/>
        <v>3116730.2504041907</v>
      </c>
      <c r="W609" s="42">
        <f t="shared" si="179"/>
        <v>3118218.1724608168</v>
      </c>
    </row>
    <row r="610" spans="2:23" x14ac:dyDescent="0.3">
      <c r="B610" s="2">
        <v>602</v>
      </c>
      <c r="C610" s="2">
        <v>8234</v>
      </c>
      <c r="D610" s="4">
        <v>5502535.1799999997</v>
      </c>
      <c r="E610" s="4">
        <f t="shared" si="162"/>
        <v>45307874672.119995</v>
      </c>
      <c r="F610" s="2">
        <f t="shared" si="163"/>
        <v>67798756</v>
      </c>
      <c r="G610" s="2">
        <f t="shared" si="164"/>
        <v>30277893407137.629</v>
      </c>
      <c r="H610" s="42">
        <f t="shared" si="165"/>
        <v>3209.5190000000002</v>
      </c>
      <c r="I610" s="2">
        <f t="shared" si="166"/>
        <v>10301012.211361002</v>
      </c>
      <c r="J610" s="4">
        <f t="shared" si="167"/>
        <v>4213433.2831900008</v>
      </c>
      <c r="K610" s="2">
        <f t="shared" si="168"/>
        <v>17753020031893.27</v>
      </c>
      <c r="L610" s="2">
        <f t="shared" si="169"/>
        <v>13523094177.63069</v>
      </c>
      <c r="N610" s="42">
        <f t="shared" si="170"/>
        <v>2101865.552935373</v>
      </c>
      <c r="O610" s="42">
        <f t="shared" si="171"/>
        <v>660584760718.28503</v>
      </c>
      <c r="P610" s="4">
        <f t="shared" si="172"/>
        <v>3400669.6270646267</v>
      </c>
      <c r="Q610" s="4">
        <f t="shared" si="173"/>
        <v>11564553912439.867</v>
      </c>
      <c r="R610" s="43">
        <f t="shared" si="174"/>
        <v>2.2976825279240718E-3</v>
      </c>
      <c r="S610" s="4">
        <f t="shared" si="175"/>
        <v>2.7978987251387335</v>
      </c>
      <c r="T610" s="30">
        <f t="shared" si="176"/>
        <v>1987291.3592321766</v>
      </c>
      <c r="U610" s="31">
        <f t="shared" si="177"/>
        <v>2216439.7466385695</v>
      </c>
      <c r="V610" s="31">
        <f t="shared" si="178"/>
        <v>4491751.3495692117</v>
      </c>
      <c r="W610" s="42">
        <f t="shared" si="179"/>
        <v>4494851.5752437841</v>
      </c>
    </row>
    <row r="611" spans="2:23" x14ac:dyDescent="0.3">
      <c r="B611" s="2">
        <v>603</v>
      </c>
      <c r="C611" s="2">
        <v>3860</v>
      </c>
      <c r="D611" s="4">
        <v>1628495.4</v>
      </c>
      <c r="E611" s="4">
        <f t="shared" si="162"/>
        <v>6285992244</v>
      </c>
      <c r="F611" s="2">
        <f t="shared" si="163"/>
        <v>14899600</v>
      </c>
      <c r="G611" s="2">
        <f t="shared" si="164"/>
        <v>2651997267821.1597</v>
      </c>
      <c r="H611" s="42">
        <f t="shared" si="165"/>
        <v>-1164.4809999999998</v>
      </c>
      <c r="I611" s="2">
        <f t="shared" si="166"/>
        <v>1356015.9993609996</v>
      </c>
      <c r="J611" s="4">
        <f t="shared" si="167"/>
        <v>339393.50319000077</v>
      </c>
      <c r="K611" s="2">
        <f t="shared" si="168"/>
        <v>115187950007.58107</v>
      </c>
      <c r="L611" s="2">
        <f t="shared" si="169"/>
        <v>-395217285.98819524</v>
      </c>
      <c r="N611" s="42">
        <f t="shared" si="170"/>
        <v>994214.14725982328</v>
      </c>
      <c r="O611" s="42">
        <f t="shared" si="171"/>
        <v>86958784834.767242</v>
      </c>
      <c r="P611" s="4">
        <f t="shared" si="172"/>
        <v>634281.25274017663</v>
      </c>
      <c r="Q611" s="4">
        <f t="shared" si="173"/>
        <v>402312707577.64783</v>
      </c>
      <c r="R611" s="43">
        <f t="shared" si="174"/>
        <v>1.1708257629299301E-3</v>
      </c>
      <c r="S611" s="4">
        <f t="shared" si="175"/>
        <v>0.52156003302985898</v>
      </c>
      <c r="T611" s="30">
        <f t="shared" si="176"/>
        <v>912426.45884110068</v>
      </c>
      <c r="U611" s="31">
        <f t="shared" si="177"/>
        <v>1076001.8356785458</v>
      </c>
      <c r="V611" s="31">
        <f t="shared" si="178"/>
        <v>3385446.494991431</v>
      </c>
      <c r="W611" s="42">
        <f t="shared" si="179"/>
        <v>3385854.6058316315</v>
      </c>
    </row>
    <row r="612" spans="2:23" x14ac:dyDescent="0.3">
      <c r="B612" s="2">
        <v>604</v>
      </c>
      <c r="C612" s="2">
        <v>5150</v>
      </c>
      <c r="D612" s="4">
        <v>1059355</v>
      </c>
      <c r="E612" s="4">
        <f t="shared" si="162"/>
        <v>5455678250</v>
      </c>
      <c r="F612" s="2">
        <f t="shared" si="163"/>
        <v>26522500</v>
      </c>
      <c r="G612" s="2">
        <f t="shared" si="164"/>
        <v>1122233016025</v>
      </c>
      <c r="H612" s="42">
        <f t="shared" si="165"/>
        <v>125.51900000000023</v>
      </c>
      <c r="I612" s="2">
        <f t="shared" si="166"/>
        <v>15755.019361000059</v>
      </c>
      <c r="J612" s="4">
        <f t="shared" si="167"/>
        <v>-229746.89680999913</v>
      </c>
      <c r="K612" s="2">
        <f t="shared" si="168"/>
        <v>52783636593.824387</v>
      </c>
      <c r="L612" s="2">
        <f t="shared" si="169"/>
        <v>-28837600.740694333</v>
      </c>
      <c r="N612" s="42">
        <f t="shared" si="170"/>
        <v>1320887.7442697589</v>
      </c>
      <c r="O612" s="42">
        <f t="shared" si="171"/>
        <v>1010340098.7351183</v>
      </c>
      <c r="P612" s="4">
        <f t="shared" si="172"/>
        <v>-261532.74426975893</v>
      </c>
      <c r="Q612" s="4">
        <f t="shared" si="173"/>
        <v>68399376325.271118</v>
      </c>
      <c r="R612" s="43">
        <f t="shared" si="174"/>
        <v>1.0019847577046191E-3</v>
      </c>
      <c r="S612" s="4">
        <f t="shared" si="175"/>
        <v>-0.21503630878680194</v>
      </c>
      <c r="T612" s="30">
        <f t="shared" si="176"/>
        <v>1245226.6956139493</v>
      </c>
      <c r="U612" s="31">
        <f t="shared" si="177"/>
        <v>1396548.7929255685</v>
      </c>
      <c r="V612" s="31">
        <f t="shared" si="178"/>
        <v>3712321.7852859851</v>
      </c>
      <c r="W612" s="42">
        <f t="shared" si="179"/>
        <v>3712326.5269661485</v>
      </c>
    </row>
    <row r="613" spans="2:23" x14ac:dyDescent="0.3">
      <c r="B613" s="2">
        <v>605</v>
      </c>
      <c r="C613" s="2">
        <v>4609</v>
      </c>
      <c r="D613" s="4">
        <v>376693.57</v>
      </c>
      <c r="E613" s="4">
        <f t="shared" si="162"/>
        <v>1736180664.1300001</v>
      </c>
      <c r="F613" s="2">
        <f t="shared" si="163"/>
        <v>21242881</v>
      </c>
      <c r="G613" s="2">
        <f t="shared" si="164"/>
        <v>141898045679.34491</v>
      </c>
      <c r="H613" s="42">
        <f t="shared" si="165"/>
        <v>-415.48099999999977</v>
      </c>
      <c r="I613" s="2">
        <f t="shared" si="166"/>
        <v>172624.46136099982</v>
      </c>
      <c r="J613" s="4">
        <f t="shared" si="167"/>
        <v>-912408.32680999907</v>
      </c>
      <c r="K613" s="2">
        <f t="shared" si="168"/>
        <v>832488954832.22205</v>
      </c>
      <c r="L613" s="2">
        <f t="shared" si="169"/>
        <v>379088324.03134501</v>
      </c>
      <c r="N613" s="42">
        <f t="shared" si="170"/>
        <v>1183887.4218028015</v>
      </c>
      <c r="O613" s="42">
        <f t="shared" si="171"/>
        <v>11070085751.040205</v>
      </c>
      <c r="P613" s="4">
        <f t="shared" si="172"/>
        <v>-807193.85180280148</v>
      </c>
      <c r="Q613" s="4">
        <f t="shared" si="173"/>
        <v>651561914388.24304</v>
      </c>
      <c r="R613" s="43">
        <f t="shared" si="174"/>
        <v>1.0217465762397031E-3</v>
      </c>
      <c r="S613" s="4">
        <f t="shared" si="175"/>
        <v>-0.66369396186313789</v>
      </c>
      <c r="T613" s="30">
        <f t="shared" si="176"/>
        <v>1107483.89708419</v>
      </c>
      <c r="U613" s="31">
        <f t="shared" si="177"/>
        <v>1260290.946521413</v>
      </c>
      <c r="V613" s="31">
        <f t="shared" si="178"/>
        <v>3575297.8567188713</v>
      </c>
      <c r="W613" s="42">
        <f t="shared" si="179"/>
        <v>3575349.8103195271</v>
      </c>
    </row>
    <row r="614" spans="2:23" x14ac:dyDescent="0.3">
      <c r="B614" s="2">
        <v>606</v>
      </c>
      <c r="C614" s="2">
        <v>6775</v>
      </c>
      <c r="D614" s="4">
        <v>740372</v>
      </c>
      <c r="E614" s="4">
        <f t="shared" si="162"/>
        <v>5016020300</v>
      </c>
      <c r="F614" s="2">
        <f t="shared" si="163"/>
        <v>45900625</v>
      </c>
      <c r="G614" s="2">
        <f t="shared" si="164"/>
        <v>548150698384</v>
      </c>
      <c r="H614" s="42">
        <f t="shared" si="165"/>
        <v>1750.5190000000002</v>
      </c>
      <c r="I614" s="2">
        <f t="shared" si="166"/>
        <v>3064316.769361001</v>
      </c>
      <c r="J614" s="4">
        <f t="shared" si="167"/>
        <v>-548729.89680999913</v>
      </c>
      <c r="K614" s="2">
        <f t="shared" si="168"/>
        <v>301104499653.1123</v>
      </c>
      <c r="L614" s="2">
        <f t="shared" si="169"/>
        <v>-960562110.23394299</v>
      </c>
      <c r="N614" s="42">
        <f t="shared" si="170"/>
        <v>1732395.1823636703</v>
      </c>
      <c r="O614" s="42">
        <f t="shared" si="171"/>
        <v>196508937016.96866</v>
      </c>
      <c r="P614" s="4">
        <f t="shared" si="172"/>
        <v>-992023.18236367032</v>
      </c>
      <c r="Q614" s="4">
        <f t="shared" si="173"/>
        <v>984109994346.94385</v>
      </c>
      <c r="R614" s="43">
        <f t="shared" si="174"/>
        <v>1.3860310278283924E-3</v>
      </c>
      <c r="S614" s="4">
        <f t="shared" si="175"/>
        <v>-0.81581378821663975</v>
      </c>
      <c r="T614" s="30">
        <f t="shared" si="176"/>
        <v>1643407.8321287474</v>
      </c>
      <c r="U614" s="31">
        <f t="shared" si="177"/>
        <v>1821382.5325985933</v>
      </c>
      <c r="V614" s="31">
        <f t="shared" si="178"/>
        <v>4123370.4265502472</v>
      </c>
      <c r="W614" s="42">
        <f t="shared" si="179"/>
        <v>4124292.6729770377</v>
      </c>
    </row>
    <row r="615" spans="2:23" x14ac:dyDescent="0.3">
      <c r="B615" s="2">
        <v>607</v>
      </c>
      <c r="C615" s="2">
        <v>3213</v>
      </c>
      <c r="D615" s="4">
        <v>494994.78</v>
      </c>
      <c r="E615" s="4">
        <f t="shared" si="162"/>
        <v>1590418228.1400001</v>
      </c>
      <c r="F615" s="2">
        <f t="shared" si="163"/>
        <v>10323369</v>
      </c>
      <c r="G615" s="2">
        <f t="shared" si="164"/>
        <v>245019832227.24841</v>
      </c>
      <c r="H615" s="42">
        <f t="shared" si="165"/>
        <v>-1811.4809999999998</v>
      </c>
      <c r="I615" s="2">
        <f t="shared" si="166"/>
        <v>3281463.413360999</v>
      </c>
      <c r="J615" s="4">
        <f t="shared" si="167"/>
        <v>-794107.1168099991</v>
      </c>
      <c r="K615" s="2">
        <f t="shared" si="168"/>
        <v>630606112968.28955</v>
      </c>
      <c r="L615" s="2">
        <f t="shared" si="169"/>
        <v>1438509954.0660939</v>
      </c>
      <c r="N615" s="42">
        <f t="shared" si="170"/>
        <v>830370.87806181679</v>
      </c>
      <c r="O615" s="42">
        <f t="shared" si="171"/>
        <v>210434147561.74521</v>
      </c>
      <c r="P615" s="4">
        <f t="shared" si="172"/>
        <v>-335376.09806181677</v>
      </c>
      <c r="Q615" s="4">
        <f t="shared" si="173"/>
        <v>112477127151.16934</v>
      </c>
      <c r="R615" s="43">
        <f t="shared" si="174"/>
        <v>1.4133863401156025E-3</v>
      </c>
      <c r="S615" s="4">
        <f t="shared" si="175"/>
        <v>-0.27580826480669129</v>
      </c>
      <c r="T615" s="30">
        <f t="shared" si="176"/>
        <v>740509.67190128705</v>
      </c>
      <c r="U615" s="31">
        <f t="shared" si="177"/>
        <v>920232.08422234654</v>
      </c>
      <c r="V615" s="31">
        <f t="shared" si="178"/>
        <v>3221313.4391540457</v>
      </c>
      <c r="W615" s="42">
        <f t="shared" si="179"/>
        <v>3222301.0387214711</v>
      </c>
    </row>
    <row r="616" spans="2:23" x14ac:dyDescent="0.3">
      <c r="B616" s="2">
        <v>608</v>
      </c>
      <c r="C616" s="2">
        <v>7524</v>
      </c>
      <c r="D616" s="4">
        <v>1547686.7999999998</v>
      </c>
      <c r="E616" s="4">
        <f t="shared" si="162"/>
        <v>11644795483.199999</v>
      </c>
      <c r="F616" s="2">
        <f t="shared" si="163"/>
        <v>56610576</v>
      </c>
      <c r="G616" s="2">
        <f t="shared" si="164"/>
        <v>2395334430894.2393</v>
      </c>
      <c r="H616" s="42">
        <f t="shared" si="165"/>
        <v>2499.5190000000002</v>
      </c>
      <c r="I616" s="2">
        <f t="shared" si="166"/>
        <v>6247595.2313610008</v>
      </c>
      <c r="J616" s="4">
        <f t="shared" si="167"/>
        <v>258584.90319000068</v>
      </c>
      <c r="K616" s="2">
        <f t="shared" si="168"/>
        <v>66866152157.782028</v>
      </c>
      <c r="L616" s="2">
        <f t="shared" si="169"/>
        <v>646337878.63656735</v>
      </c>
      <c r="N616" s="42">
        <f t="shared" si="170"/>
        <v>1922068.4569066486</v>
      </c>
      <c r="O616" s="42">
        <f t="shared" si="171"/>
        <v>400646666200.58533</v>
      </c>
      <c r="P616" s="4">
        <f t="shared" si="172"/>
        <v>-374381.65690664877</v>
      </c>
      <c r="Q616" s="4">
        <f t="shared" si="173"/>
        <v>140161625028.16766</v>
      </c>
      <c r="R616" s="43">
        <f t="shared" si="174"/>
        <v>1.7870483994123665E-3</v>
      </c>
      <c r="S616" s="4">
        <f t="shared" si="175"/>
        <v>-0.30794347065208677</v>
      </c>
      <c r="T616" s="30">
        <f t="shared" si="176"/>
        <v>1821024.5904534259</v>
      </c>
      <c r="U616" s="31">
        <f t="shared" si="177"/>
        <v>2023112.3233598713</v>
      </c>
      <c r="V616" s="31">
        <f t="shared" si="178"/>
        <v>4312564.535938588</v>
      </c>
      <c r="W616" s="42">
        <f t="shared" si="179"/>
        <v>4314444.831988235</v>
      </c>
    </row>
    <row r="617" spans="2:23" x14ac:dyDescent="0.3">
      <c r="B617" s="2">
        <v>609</v>
      </c>
      <c r="C617" s="2">
        <v>336</v>
      </c>
      <c r="D617" s="4">
        <v>36718.080000000002</v>
      </c>
      <c r="E617" s="4">
        <f t="shared" si="162"/>
        <v>12337274.880000001</v>
      </c>
      <c r="F617" s="2">
        <f t="shared" si="163"/>
        <v>112896</v>
      </c>
      <c r="G617" s="2">
        <f t="shared" si="164"/>
        <v>1348217398.8864002</v>
      </c>
      <c r="H617" s="42">
        <f t="shared" si="165"/>
        <v>-4688.4809999999998</v>
      </c>
      <c r="I617" s="2">
        <f t="shared" si="166"/>
        <v>21981854.087360997</v>
      </c>
      <c r="J617" s="4">
        <f t="shared" si="167"/>
        <v>-1252383.8168099991</v>
      </c>
      <c r="K617" s="2">
        <f t="shared" si="168"/>
        <v>1568465224607.5813</v>
      </c>
      <c r="L617" s="2">
        <f t="shared" si="169"/>
        <v>5871777729.8211613</v>
      </c>
      <c r="N617" s="42">
        <f t="shared" si="170"/>
        <v>101812.78612570418</v>
      </c>
      <c r="O617" s="42">
        <f t="shared" si="171"/>
        <v>1409655432349.5039</v>
      </c>
      <c r="P617" s="4">
        <f t="shared" si="172"/>
        <v>-65094.706125704179</v>
      </c>
      <c r="Q617" s="4">
        <f t="shared" si="173"/>
        <v>4237320765.5917892</v>
      </c>
      <c r="R617" s="43">
        <f t="shared" si="174"/>
        <v>3.7691907741924549E-3</v>
      </c>
      <c r="S617" s="4">
        <f t="shared" si="175"/>
        <v>-5.359616615073088E-2</v>
      </c>
      <c r="T617" s="30">
        <f t="shared" si="176"/>
        <v>-44933.074115715135</v>
      </c>
      <c r="U617" s="31">
        <f t="shared" si="177"/>
        <v>248558.6463671235</v>
      </c>
      <c r="V617" s="31">
        <f t="shared" si="178"/>
        <v>2489939.0431139939</v>
      </c>
      <c r="W617" s="42">
        <f t="shared" si="179"/>
        <v>2496554.7773637343</v>
      </c>
    </row>
    <row r="618" spans="2:23" x14ac:dyDescent="0.3">
      <c r="B618" s="2">
        <v>610</v>
      </c>
      <c r="C618" s="2">
        <v>4311</v>
      </c>
      <c r="D618" s="4">
        <v>471106.08</v>
      </c>
      <c r="E618" s="4">
        <f t="shared" si="162"/>
        <v>2030938310.8800001</v>
      </c>
      <c r="F618" s="2">
        <f t="shared" si="163"/>
        <v>18584721</v>
      </c>
      <c r="G618" s="2">
        <f t="shared" si="164"/>
        <v>221940938612.9664</v>
      </c>
      <c r="H618" s="42">
        <f t="shared" si="165"/>
        <v>-713.48099999999977</v>
      </c>
      <c r="I618" s="2">
        <f t="shared" si="166"/>
        <v>509055.13736099965</v>
      </c>
      <c r="J618" s="4">
        <f t="shared" si="167"/>
        <v>-817995.81680999906</v>
      </c>
      <c r="K618" s="2">
        <f t="shared" si="168"/>
        <v>669117156318.65759</v>
      </c>
      <c r="L618" s="2">
        <f t="shared" si="169"/>
        <v>583624473.37341475</v>
      </c>
      <c r="N618" s="42">
        <f t="shared" si="170"/>
        <v>1108423.2885400411</v>
      </c>
      <c r="O618" s="42">
        <f t="shared" si="171"/>
        <v>32644759486.368958</v>
      </c>
      <c r="P618" s="4">
        <f t="shared" si="172"/>
        <v>-637317.208540041</v>
      </c>
      <c r="Q618" s="4">
        <f t="shared" si="173"/>
        <v>406173224301.27008</v>
      </c>
      <c r="R618" s="43">
        <f t="shared" si="174"/>
        <v>1.0641288393751043E-3</v>
      </c>
      <c r="S618" s="4">
        <f t="shared" si="175"/>
        <v>-0.52402846615945264</v>
      </c>
      <c r="T618" s="30">
        <f t="shared" si="176"/>
        <v>1030451.2470114217</v>
      </c>
      <c r="U618" s="31">
        <f t="shared" si="177"/>
        <v>1186395.3300686604</v>
      </c>
      <c r="V618" s="31">
        <f t="shared" si="178"/>
        <v>3499783.0957532413</v>
      </c>
      <c r="W618" s="42">
        <f t="shared" si="179"/>
        <v>3499936.3025880167</v>
      </c>
    </row>
    <row r="619" spans="2:23" x14ac:dyDescent="0.3">
      <c r="B619" s="2">
        <v>611</v>
      </c>
      <c r="C619" s="2">
        <v>9142</v>
      </c>
      <c r="D619" s="4">
        <v>747175.66</v>
      </c>
      <c r="E619" s="4">
        <f t="shared" si="162"/>
        <v>6830679883.7200003</v>
      </c>
      <c r="F619" s="2">
        <f t="shared" si="163"/>
        <v>83576164</v>
      </c>
      <c r="G619" s="2">
        <f t="shared" si="164"/>
        <v>558271466896.43567</v>
      </c>
      <c r="H619" s="42">
        <f t="shared" si="165"/>
        <v>4117.5190000000002</v>
      </c>
      <c r="I619" s="2">
        <f t="shared" si="166"/>
        <v>16953962.715361003</v>
      </c>
      <c r="J619" s="4">
        <f t="shared" si="167"/>
        <v>-541926.2368099991</v>
      </c>
      <c r="K619" s="2">
        <f t="shared" si="168"/>
        <v>293684046143.04724</v>
      </c>
      <c r="L619" s="2">
        <f t="shared" si="169"/>
        <v>-2231391576.663671</v>
      </c>
      <c r="N619" s="42">
        <f t="shared" si="170"/>
        <v>2331803.2475749245</v>
      </c>
      <c r="O619" s="42">
        <f t="shared" si="171"/>
        <v>1087226106886.9999</v>
      </c>
      <c r="P619" s="4">
        <f t="shared" si="172"/>
        <v>-1584627.5875749243</v>
      </c>
      <c r="Q619" s="4">
        <f t="shared" si="173"/>
        <v>2511044591303.5244</v>
      </c>
      <c r="R619" s="43">
        <f t="shared" si="174"/>
        <v>3.1357960502692486E-3</v>
      </c>
      <c r="S619" s="4">
        <f t="shared" si="175"/>
        <v>-1.304299266900709</v>
      </c>
      <c r="T619" s="30">
        <f t="shared" si="176"/>
        <v>2197954.071204362</v>
      </c>
      <c r="U619" s="31">
        <f t="shared" si="177"/>
        <v>2465652.423945487</v>
      </c>
      <c r="V619" s="31">
        <f t="shared" si="178"/>
        <v>4720687.0381348208</v>
      </c>
      <c r="W619" s="42">
        <f t="shared" si="179"/>
        <v>4725789.5589634776</v>
      </c>
    </row>
    <row r="620" spans="2:23" x14ac:dyDescent="0.3">
      <c r="B620" s="2">
        <v>612</v>
      </c>
      <c r="C620" s="2">
        <v>6551</v>
      </c>
      <c r="D620" s="4">
        <v>4377836.7699999996</v>
      </c>
      <c r="E620" s="4">
        <f t="shared" si="162"/>
        <v>28679208680.269997</v>
      </c>
      <c r="F620" s="2">
        <f t="shared" si="163"/>
        <v>42915601</v>
      </c>
      <c r="G620" s="2">
        <f t="shared" si="164"/>
        <v>19165454784764.027</v>
      </c>
      <c r="H620" s="42">
        <f t="shared" si="165"/>
        <v>1526.5190000000002</v>
      </c>
      <c r="I620" s="2">
        <f t="shared" si="166"/>
        <v>2330260.2573610009</v>
      </c>
      <c r="J620" s="4">
        <f t="shared" si="167"/>
        <v>3088734.8731900007</v>
      </c>
      <c r="K620" s="2">
        <f t="shared" si="168"/>
        <v>9540283116860.0488</v>
      </c>
      <c r="L620" s="2">
        <f t="shared" si="169"/>
        <v>4715012469.8871269</v>
      </c>
      <c r="N620" s="42">
        <f t="shared" si="170"/>
        <v>1675670.4647433404</v>
      </c>
      <c r="O620" s="42">
        <f t="shared" si="171"/>
        <v>149435257714.03427</v>
      </c>
      <c r="P620" s="4">
        <f t="shared" si="172"/>
        <v>2702166.3052566592</v>
      </c>
      <c r="Q620" s="4">
        <f t="shared" si="173"/>
        <v>7301702741264.4248</v>
      </c>
      <c r="R620" s="43">
        <f t="shared" si="174"/>
        <v>1.2935573669311949E-3</v>
      </c>
      <c r="S620" s="4">
        <f t="shared" si="175"/>
        <v>2.2220876560519622</v>
      </c>
      <c r="T620" s="30">
        <f t="shared" si="176"/>
        <v>1589702.8958027333</v>
      </c>
      <c r="U620" s="31">
        <f t="shared" si="177"/>
        <v>1761638.0336839475</v>
      </c>
      <c r="V620" s="31">
        <f t="shared" si="178"/>
        <v>4066756.1896610684</v>
      </c>
      <c r="W620" s="42">
        <f t="shared" si="179"/>
        <v>4067457.512122402</v>
      </c>
    </row>
    <row r="621" spans="2:23" x14ac:dyDescent="0.3">
      <c r="B621" s="2">
        <v>613</v>
      </c>
      <c r="C621" s="2">
        <v>5294</v>
      </c>
      <c r="D621" s="4">
        <v>3447505.74</v>
      </c>
      <c r="E621" s="4">
        <f t="shared" si="162"/>
        <v>18251095387.560001</v>
      </c>
      <c r="F621" s="2">
        <f t="shared" si="163"/>
        <v>28026436</v>
      </c>
      <c r="G621" s="2">
        <f t="shared" si="164"/>
        <v>11885295827332.949</v>
      </c>
      <c r="H621" s="42">
        <f t="shared" si="165"/>
        <v>269.51900000000023</v>
      </c>
      <c r="I621" s="2">
        <f t="shared" si="166"/>
        <v>72640.491361000124</v>
      </c>
      <c r="J621" s="4">
        <f t="shared" si="167"/>
        <v>2158403.8431900013</v>
      </c>
      <c r="K621" s="2">
        <f t="shared" si="168"/>
        <v>4658707150297.3682</v>
      </c>
      <c r="L621" s="2">
        <f t="shared" si="169"/>
        <v>581730845.41272652</v>
      </c>
      <c r="N621" s="42">
        <f t="shared" si="170"/>
        <v>1357353.6341685425</v>
      </c>
      <c r="O621" s="42">
        <f t="shared" si="171"/>
        <v>4658299652.4595785</v>
      </c>
      <c r="P621" s="4">
        <f t="shared" si="172"/>
        <v>2090152.1058314578</v>
      </c>
      <c r="Q621" s="4">
        <f t="shared" si="173"/>
        <v>4368735825511.6772</v>
      </c>
      <c r="R621" s="43">
        <f t="shared" si="174"/>
        <v>1.0091509741494166E-3</v>
      </c>
      <c r="S621" s="4">
        <f t="shared" si="175"/>
        <v>1.7185618840143759</v>
      </c>
      <c r="T621" s="30">
        <f t="shared" si="176"/>
        <v>1281422.5028414836</v>
      </c>
      <c r="U621" s="31">
        <f t="shared" si="177"/>
        <v>1433284.7654956013</v>
      </c>
      <c r="V621" s="31">
        <f t="shared" si="178"/>
        <v>3748779.114945706</v>
      </c>
      <c r="W621" s="42">
        <f t="shared" si="179"/>
        <v>3748800.9770563804</v>
      </c>
    </row>
    <row r="622" spans="2:23" x14ac:dyDescent="0.3">
      <c r="B622" s="2">
        <v>614</v>
      </c>
      <c r="C622" s="2">
        <v>6157</v>
      </c>
      <c r="D622" s="4">
        <v>292149.65000000002</v>
      </c>
      <c r="E622" s="4">
        <f t="shared" si="162"/>
        <v>1798765395.0500002</v>
      </c>
      <c r="F622" s="2">
        <f t="shared" si="163"/>
        <v>37908649</v>
      </c>
      <c r="G622" s="2">
        <f t="shared" si="164"/>
        <v>85351417995.122513</v>
      </c>
      <c r="H622" s="42">
        <f t="shared" si="165"/>
        <v>1132.5190000000002</v>
      </c>
      <c r="I622" s="2">
        <f t="shared" si="166"/>
        <v>1282599.2853610006</v>
      </c>
      <c r="J622" s="4">
        <f t="shared" si="167"/>
        <v>-996952.24680999911</v>
      </c>
      <c r="K622" s="2">
        <f t="shared" si="168"/>
        <v>993913782419.50537</v>
      </c>
      <c r="L622" s="2">
        <f t="shared" si="169"/>
        <v>-1129067361.6050136</v>
      </c>
      <c r="N622" s="42">
        <f t="shared" si="170"/>
        <v>1575895.7382147245</v>
      </c>
      <c r="O622" s="42">
        <f t="shared" si="171"/>
        <v>82250707467.678741</v>
      </c>
      <c r="P622" s="4">
        <f t="shared" si="172"/>
        <v>-1283746.0882147243</v>
      </c>
      <c r="Q622" s="4">
        <f t="shared" si="173"/>
        <v>1648004019006.6067</v>
      </c>
      <c r="R622" s="43">
        <f t="shared" si="174"/>
        <v>1.1615770031905403E-3</v>
      </c>
      <c r="S622" s="4">
        <f t="shared" si="175"/>
        <v>-1.0556004129307557</v>
      </c>
      <c r="T622" s="30">
        <f t="shared" si="176"/>
        <v>1494431.724961173</v>
      </c>
      <c r="U622" s="31">
        <f t="shared" si="177"/>
        <v>1657359.7514682759</v>
      </c>
      <c r="V622" s="31">
        <f t="shared" si="178"/>
        <v>3967139.1347261546</v>
      </c>
      <c r="W622" s="42">
        <f t="shared" si="179"/>
        <v>3967525.1498410469</v>
      </c>
    </row>
    <row r="623" spans="2:23" x14ac:dyDescent="0.3">
      <c r="B623" s="2">
        <v>615</v>
      </c>
      <c r="C623" s="2">
        <v>6958</v>
      </c>
      <c r="D623" s="4">
        <v>2935510.62</v>
      </c>
      <c r="E623" s="4">
        <f t="shared" si="162"/>
        <v>20425282893.959999</v>
      </c>
      <c r="F623" s="2">
        <f t="shared" si="163"/>
        <v>48413764</v>
      </c>
      <c r="G623" s="2">
        <f t="shared" si="164"/>
        <v>8617222600132.7852</v>
      </c>
      <c r="H623" s="42">
        <f t="shared" si="165"/>
        <v>1933.5190000000002</v>
      </c>
      <c r="I623" s="2">
        <f t="shared" si="166"/>
        <v>3738495.7233610009</v>
      </c>
      <c r="J623" s="4">
        <f t="shared" si="167"/>
        <v>1646408.723190001</v>
      </c>
      <c r="K623" s="2">
        <f t="shared" si="168"/>
        <v>2710661683796.1294</v>
      </c>
      <c r="L623" s="2">
        <f t="shared" si="169"/>
        <v>3183362548.0536079</v>
      </c>
      <c r="N623" s="42">
        <f t="shared" si="170"/>
        <v>1778737.2507767077</v>
      </c>
      <c r="O623" s="42">
        <f t="shared" si="171"/>
        <v>239742779854.10394</v>
      </c>
      <c r="P623" s="4">
        <f t="shared" si="172"/>
        <v>1156773.3692232925</v>
      </c>
      <c r="Q623" s="4">
        <f t="shared" si="173"/>
        <v>1338124627744.2078</v>
      </c>
      <c r="R623" s="43">
        <f t="shared" si="174"/>
        <v>1.4709615406118867E-3</v>
      </c>
      <c r="S623" s="4">
        <f t="shared" si="175"/>
        <v>0.95134046700955832</v>
      </c>
      <c r="T623" s="30">
        <f t="shared" si="176"/>
        <v>1687064.0367689661</v>
      </c>
      <c r="U623" s="31">
        <f t="shared" si="177"/>
        <v>1870410.4647844492</v>
      </c>
      <c r="V623" s="31">
        <f t="shared" si="178"/>
        <v>4169611.0217333394</v>
      </c>
      <c r="W623" s="42">
        <f t="shared" si="179"/>
        <v>4170736.1711918493</v>
      </c>
    </row>
    <row r="624" spans="2:23" x14ac:dyDescent="0.3">
      <c r="B624" s="2">
        <v>616</v>
      </c>
      <c r="C624" s="2">
        <v>7544</v>
      </c>
      <c r="D624" s="4">
        <v>1551800.7999999998</v>
      </c>
      <c r="E624" s="4">
        <f t="shared" si="162"/>
        <v>11706785235.199999</v>
      </c>
      <c r="F624" s="2">
        <f t="shared" si="163"/>
        <v>56911936</v>
      </c>
      <c r="G624" s="2">
        <f t="shared" si="164"/>
        <v>2408085722880.6396</v>
      </c>
      <c r="H624" s="42">
        <f t="shared" si="165"/>
        <v>2519.5190000000002</v>
      </c>
      <c r="I624" s="2">
        <f t="shared" si="166"/>
        <v>6347975.9913610015</v>
      </c>
      <c r="J624" s="4">
        <f t="shared" si="167"/>
        <v>262698.90319000068</v>
      </c>
      <c r="K624" s="2">
        <f t="shared" si="168"/>
        <v>69010713737.229355</v>
      </c>
      <c r="L624" s="2">
        <f t="shared" si="169"/>
        <v>661874877.86636734</v>
      </c>
      <c r="N624" s="42">
        <f t="shared" si="170"/>
        <v>1927133.1638370352</v>
      </c>
      <c r="O624" s="42">
        <f t="shared" si="171"/>
        <v>407083897704.125</v>
      </c>
      <c r="P624" s="4">
        <f t="shared" si="172"/>
        <v>-375332.36383703537</v>
      </c>
      <c r="Q624" s="4">
        <f t="shared" si="173"/>
        <v>140874383343.4967</v>
      </c>
      <c r="R624" s="43">
        <f t="shared" si="174"/>
        <v>1.7996939876049594E-3</v>
      </c>
      <c r="S624" s="4">
        <f t="shared" si="175"/>
        <v>-0.30872741959130667</v>
      </c>
      <c r="T624" s="30">
        <f t="shared" si="176"/>
        <v>1825732.422143599</v>
      </c>
      <c r="U624" s="31">
        <f t="shared" si="177"/>
        <v>2028533.9055304714</v>
      </c>
      <c r="V624" s="31">
        <f t="shared" si="178"/>
        <v>4317614.131424712</v>
      </c>
      <c r="W624" s="42">
        <f t="shared" si="179"/>
        <v>4319524.6383906193</v>
      </c>
    </row>
    <row r="625" spans="2:23" x14ac:dyDescent="0.3">
      <c r="B625" s="2">
        <v>617</v>
      </c>
      <c r="C625" s="2">
        <v>4796</v>
      </c>
      <c r="D625" s="4">
        <v>731773.68</v>
      </c>
      <c r="E625" s="4">
        <f t="shared" si="162"/>
        <v>3509586569.2800002</v>
      </c>
      <c r="F625" s="2">
        <f t="shared" si="163"/>
        <v>23001616</v>
      </c>
      <c r="G625" s="2">
        <f t="shared" si="164"/>
        <v>535492718740.74249</v>
      </c>
      <c r="H625" s="42">
        <f t="shared" si="165"/>
        <v>-228.48099999999977</v>
      </c>
      <c r="I625" s="2">
        <f t="shared" si="166"/>
        <v>52203.567360999892</v>
      </c>
      <c r="J625" s="4">
        <f t="shared" si="167"/>
        <v>-557328.21680999908</v>
      </c>
      <c r="K625" s="2">
        <f t="shared" si="168"/>
        <v>310614741252.61334</v>
      </c>
      <c r="L625" s="2">
        <f t="shared" si="169"/>
        <v>127338908.30496527</v>
      </c>
      <c r="N625" s="42">
        <f t="shared" si="170"/>
        <v>1231242.4316019162</v>
      </c>
      <c r="O625" s="42">
        <f t="shared" si="171"/>
        <v>3347717714.1653585</v>
      </c>
      <c r="P625" s="4">
        <f t="shared" si="172"/>
        <v>-499468.75160191616</v>
      </c>
      <c r="Q625" s="4">
        <f t="shared" si="173"/>
        <v>249469033826.77661</v>
      </c>
      <c r="R625" s="43">
        <f t="shared" si="174"/>
        <v>1.0065764078198997E-3</v>
      </c>
      <c r="S625" s="4">
        <f t="shared" si="175"/>
        <v>-0.41067195554227659</v>
      </c>
      <c r="T625" s="30">
        <f t="shared" si="176"/>
        <v>1155408.2206478883</v>
      </c>
      <c r="U625" s="31">
        <f t="shared" si="177"/>
        <v>1307076.6425559442</v>
      </c>
      <c r="V625" s="31">
        <f t="shared" si="178"/>
        <v>3622670.9877716117</v>
      </c>
      <c r="W625" s="42">
        <f t="shared" si="179"/>
        <v>3622686.6991213821</v>
      </c>
    </row>
    <row r="626" spans="2:23" x14ac:dyDescent="0.3">
      <c r="B626" s="2">
        <v>618</v>
      </c>
      <c r="C626" s="2">
        <v>7625</v>
      </c>
      <c r="D626" s="4">
        <v>623191.25</v>
      </c>
      <c r="E626" s="4">
        <f t="shared" si="162"/>
        <v>4751833281.25</v>
      </c>
      <c r="F626" s="2">
        <f t="shared" si="163"/>
        <v>58140625</v>
      </c>
      <c r="G626" s="2">
        <f t="shared" si="164"/>
        <v>388367334076.5625</v>
      </c>
      <c r="H626" s="42">
        <f t="shared" si="165"/>
        <v>2600.5190000000002</v>
      </c>
      <c r="I626" s="2">
        <f t="shared" si="166"/>
        <v>6762699.0693610013</v>
      </c>
      <c r="J626" s="4">
        <f t="shared" si="167"/>
        <v>-665910.64680999913</v>
      </c>
      <c r="K626" s="2">
        <f t="shared" si="168"/>
        <v>443436989534.91144</v>
      </c>
      <c r="L626" s="2">
        <f t="shared" si="169"/>
        <v>-1731713289.3316922</v>
      </c>
      <c r="N626" s="42">
        <f t="shared" si="170"/>
        <v>1947645.226905101</v>
      </c>
      <c r="O626" s="42">
        <f t="shared" si="171"/>
        <v>433679317612.74628</v>
      </c>
      <c r="P626" s="4">
        <f t="shared" si="172"/>
        <v>-1324453.976905101</v>
      </c>
      <c r="Q626" s="4">
        <f t="shared" si="173"/>
        <v>1754178336939.7378</v>
      </c>
      <c r="R626" s="43">
        <f t="shared" si="174"/>
        <v>1.8519392311989757E-3</v>
      </c>
      <c r="S626" s="4">
        <f t="shared" si="175"/>
        <v>-1.089450308977624</v>
      </c>
      <c r="T626" s="30">
        <f t="shared" si="176"/>
        <v>1844783.1794449086</v>
      </c>
      <c r="U626" s="31">
        <f t="shared" si="177"/>
        <v>2050507.2743652933</v>
      </c>
      <c r="V626" s="31">
        <f t="shared" si="178"/>
        <v>4338063.7605529623</v>
      </c>
      <c r="W626" s="42">
        <f t="shared" si="179"/>
        <v>4340099.0839122524</v>
      </c>
    </row>
    <row r="627" spans="2:23" x14ac:dyDescent="0.3">
      <c r="B627" s="2">
        <v>619</v>
      </c>
      <c r="C627" s="2">
        <v>1973</v>
      </c>
      <c r="D627" s="4">
        <v>18408.09</v>
      </c>
      <c r="E627" s="4">
        <f t="shared" si="162"/>
        <v>36319161.57</v>
      </c>
      <c r="F627" s="2">
        <f t="shared" si="163"/>
        <v>3892729</v>
      </c>
      <c r="G627" s="2">
        <f t="shared" si="164"/>
        <v>338857777.44810003</v>
      </c>
      <c r="H627" s="42">
        <f t="shared" si="165"/>
        <v>-3051.4809999999998</v>
      </c>
      <c r="I627" s="2">
        <f t="shared" si="166"/>
        <v>9311536.2933609989</v>
      </c>
      <c r="J627" s="4">
        <f t="shared" si="167"/>
        <v>-1270693.806809999</v>
      </c>
      <c r="K627" s="2">
        <f t="shared" si="168"/>
        <v>1614662750665.2871</v>
      </c>
      <c r="L627" s="2">
        <f t="shared" si="169"/>
        <v>3877498008.2983823</v>
      </c>
      <c r="N627" s="42">
        <f t="shared" si="170"/>
        <v>516359.04837784747</v>
      </c>
      <c r="O627" s="42">
        <f t="shared" si="171"/>
        <v>597131509803.03528</v>
      </c>
      <c r="P627" s="4">
        <f t="shared" si="172"/>
        <v>-497950.95837784745</v>
      </c>
      <c r="Q627" s="4">
        <f t="shared" si="173"/>
        <v>247955156949.41675</v>
      </c>
      <c r="R627" s="43">
        <f t="shared" si="174"/>
        <v>2.1730320970495135E-3</v>
      </c>
      <c r="S627" s="4">
        <f t="shared" si="175"/>
        <v>-0.40966323697300489</v>
      </c>
      <c r="T627" s="30">
        <f t="shared" si="176"/>
        <v>404936.04275017721</v>
      </c>
      <c r="U627" s="31">
        <f t="shared" si="177"/>
        <v>627782.05400551774</v>
      </c>
      <c r="V627" s="31">
        <f t="shared" si="178"/>
        <v>2906393.8348677405</v>
      </c>
      <c r="W627" s="42">
        <f t="shared" si="179"/>
        <v>2909196.2645887197</v>
      </c>
    </row>
    <row r="628" spans="2:23" x14ac:dyDescent="0.3">
      <c r="B628" s="2">
        <v>620</v>
      </c>
      <c r="C628" s="2">
        <v>5814</v>
      </c>
      <c r="D628" s="4">
        <v>2452868.46</v>
      </c>
      <c r="E628" s="4">
        <f t="shared" si="162"/>
        <v>14260977226.440001</v>
      </c>
      <c r="F628" s="2">
        <f t="shared" si="163"/>
        <v>33802596</v>
      </c>
      <c r="G628" s="2">
        <f t="shared" si="164"/>
        <v>6016563682062.7715</v>
      </c>
      <c r="H628" s="42">
        <f t="shared" si="165"/>
        <v>789.51900000000023</v>
      </c>
      <c r="I628" s="2">
        <f t="shared" si="166"/>
        <v>623340.25136100035</v>
      </c>
      <c r="J628" s="4">
        <f t="shared" si="167"/>
        <v>1163766.5631900008</v>
      </c>
      <c r="K628" s="2">
        <f t="shared" si="168"/>
        <v>1354352613599.0662</v>
      </c>
      <c r="L628" s="2">
        <f t="shared" si="169"/>
        <v>918815813.20320654</v>
      </c>
      <c r="N628" s="42">
        <f t="shared" si="170"/>
        <v>1489036.0143585941</v>
      </c>
      <c r="O628" s="42">
        <f t="shared" si="171"/>
        <v>39973651359.935387</v>
      </c>
      <c r="P628" s="4">
        <f t="shared" si="172"/>
        <v>963832.44564140588</v>
      </c>
      <c r="Q628" s="4">
        <f t="shared" si="173"/>
        <v>928972983271.09363</v>
      </c>
      <c r="R628" s="43">
        <f t="shared" si="174"/>
        <v>1.0785260454551093E-3</v>
      </c>
      <c r="S628" s="4">
        <f t="shared" si="175"/>
        <v>0.79250845749591492</v>
      </c>
      <c r="T628" s="30">
        <f t="shared" si="176"/>
        <v>1410538.2808390458</v>
      </c>
      <c r="U628" s="31">
        <f t="shared" si="177"/>
        <v>1567533.7478781424</v>
      </c>
      <c r="V628" s="31">
        <f t="shared" si="178"/>
        <v>3880378.623155416</v>
      </c>
      <c r="W628" s="42">
        <f t="shared" si="179"/>
        <v>3880566.2255974989</v>
      </c>
    </row>
    <row r="629" spans="2:23" x14ac:dyDescent="0.3">
      <c r="B629" s="2">
        <v>621</v>
      </c>
      <c r="C629" s="2">
        <v>4153</v>
      </c>
      <c r="D629" s="4">
        <v>1815691.5999999999</v>
      </c>
      <c r="E629" s="4">
        <f t="shared" si="162"/>
        <v>7540567214.7999992</v>
      </c>
      <c r="F629" s="2">
        <f t="shared" si="163"/>
        <v>17247409</v>
      </c>
      <c r="G629" s="2">
        <f t="shared" si="164"/>
        <v>3296735986310.5596</v>
      </c>
      <c r="H629" s="42">
        <f t="shared" si="165"/>
        <v>-871.48099999999977</v>
      </c>
      <c r="I629" s="2">
        <f t="shared" si="166"/>
        <v>759479.13336099964</v>
      </c>
      <c r="J629" s="4">
        <f t="shared" si="167"/>
        <v>526589.70319000073</v>
      </c>
      <c r="K629" s="2">
        <f t="shared" si="168"/>
        <v>277296715505.73303</v>
      </c>
      <c r="L629" s="2">
        <f t="shared" si="169"/>
        <v>-458912921.12572491</v>
      </c>
      <c r="N629" s="42">
        <f t="shared" si="170"/>
        <v>1068412.103789987</v>
      </c>
      <c r="O629" s="42">
        <f t="shared" si="171"/>
        <v>48703984743.215775</v>
      </c>
      <c r="P629" s="4">
        <f t="shared" si="172"/>
        <v>747279.49621001282</v>
      </c>
      <c r="Q629" s="4">
        <f t="shared" si="173"/>
        <v>558426645455.8905</v>
      </c>
      <c r="R629" s="43">
        <f t="shared" si="174"/>
        <v>1.0956763065088407E-3</v>
      </c>
      <c r="S629" s="4">
        <f t="shared" si="175"/>
        <v>0.61445369212862488</v>
      </c>
      <c r="T629" s="30">
        <f t="shared" si="176"/>
        <v>989292.71312011534</v>
      </c>
      <c r="U629" s="31">
        <f t="shared" si="177"/>
        <v>1147531.4944598589</v>
      </c>
      <c r="V629" s="31">
        <f t="shared" si="178"/>
        <v>3459734.225302462</v>
      </c>
      <c r="W629" s="42">
        <f t="shared" si="179"/>
        <v>3459962.800530632</v>
      </c>
    </row>
    <row r="630" spans="2:23" x14ac:dyDescent="0.3">
      <c r="B630" s="2">
        <v>622</v>
      </c>
      <c r="C630" s="2">
        <v>4026</v>
      </c>
      <c r="D630" s="4">
        <v>614287.08000000007</v>
      </c>
      <c r="E630" s="4">
        <f t="shared" si="162"/>
        <v>2473119784.0800004</v>
      </c>
      <c r="F630" s="2">
        <f t="shared" si="163"/>
        <v>16208676</v>
      </c>
      <c r="G630" s="2">
        <f t="shared" si="164"/>
        <v>377348616654.92651</v>
      </c>
      <c r="H630" s="42">
        <f t="shared" si="165"/>
        <v>-998.48099999999977</v>
      </c>
      <c r="I630" s="2">
        <f t="shared" si="166"/>
        <v>996964.30736099952</v>
      </c>
      <c r="J630" s="4">
        <f t="shared" si="167"/>
        <v>-674814.81680999906</v>
      </c>
      <c r="K630" s="2">
        <f t="shared" si="168"/>
        <v>455375036986.31256</v>
      </c>
      <c r="L630" s="2">
        <f t="shared" si="169"/>
        <v>673789773.10326457</v>
      </c>
      <c r="N630" s="42">
        <f t="shared" si="170"/>
        <v>1036251.2147820321</v>
      </c>
      <c r="O630" s="42">
        <f t="shared" si="171"/>
        <v>63933467402.00811</v>
      </c>
      <c r="P630" s="4">
        <f t="shared" si="172"/>
        <v>-421964.13478203199</v>
      </c>
      <c r="Q630" s="4">
        <f t="shared" si="173"/>
        <v>178053731042.34888</v>
      </c>
      <c r="R630" s="43">
        <f t="shared" si="174"/>
        <v>1.12559378982188E-3</v>
      </c>
      <c r="S630" s="4">
        <f t="shared" si="175"/>
        <v>-0.34696697110392177</v>
      </c>
      <c r="T630" s="30">
        <f t="shared" si="176"/>
        <v>956058.91972307872</v>
      </c>
      <c r="U630" s="31">
        <f t="shared" si="177"/>
        <v>1116443.5098409855</v>
      </c>
      <c r="V630" s="31">
        <f t="shared" si="178"/>
        <v>3427537.5971770962</v>
      </c>
      <c r="W630" s="42">
        <f t="shared" si="179"/>
        <v>3427837.6466902574</v>
      </c>
    </row>
    <row r="631" spans="2:23" x14ac:dyDescent="0.3">
      <c r="B631" s="2">
        <v>623</v>
      </c>
      <c r="C631" s="2">
        <v>9501</v>
      </c>
      <c r="D631" s="4">
        <v>2425415.2799999998</v>
      </c>
      <c r="E631" s="4">
        <f t="shared" si="162"/>
        <v>23043870575.279999</v>
      </c>
      <c r="F631" s="2">
        <f t="shared" si="163"/>
        <v>90269001</v>
      </c>
      <c r="G631" s="2">
        <f t="shared" si="164"/>
        <v>5882639280457.4775</v>
      </c>
      <c r="H631" s="42">
        <f t="shared" si="165"/>
        <v>4476.5190000000002</v>
      </c>
      <c r="I631" s="2">
        <f t="shared" si="166"/>
        <v>20039222.357361004</v>
      </c>
      <c r="J631" s="4">
        <f t="shared" si="167"/>
        <v>1136313.3831900007</v>
      </c>
      <c r="K631" s="2">
        <f t="shared" si="168"/>
        <v>1291208104816.7053</v>
      </c>
      <c r="L631" s="2">
        <f t="shared" si="169"/>
        <v>5086728449.8043184</v>
      </c>
      <c r="N631" s="42">
        <f t="shared" si="170"/>
        <v>2422714.7369753639</v>
      </c>
      <c r="O631" s="42">
        <f t="shared" si="171"/>
        <v>1285078071387.7849</v>
      </c>
      <c r="P631" s="4">
        <f t="shared" si="172"/>
        <v>2700.5430246358737</v>
      </c>
      <c r="Q631" s="4">
        <f t="shared" si="173"/>
        <v>7292932.6279094731</v>
      </c>
      <c r="R631" s="43">
        <f t="shared" si="174"/>
        <v>3.5244653819216276E-3</v>
      </c>
      <c r="S631" s="4">
        <f t="shared" si="175"/>
        <v>2.2232372938203585E-3</v>
      </c>
      <c r="T631" s="30">
        <f t="shared" si="176"/>
        <v>2280812.7674261467</v>
      </c>
      <c r="U631" s="31">
        <f t="shared" si="177"/>
        <v>2564616.7065245812</v>
      </c>
      <c r="V631" s="31">
        <f t="shared" si="178"/>
        <v>4811133.7114965739</v>
      </c>
      <c r="W631" s="42">
        <f t="shared" si="179"/>
        <v>4817164.7836588696</v>
      </c>
    </row>
    <row r="632" spans="2:23" x14ac:dyDescent="0.3">
      <c r="B632" s="2">
        <v>624</v>
      </c>
      <c r="C632" s="2">
        <v>6675</v>
      </c>
      <c r="D632" s="4">
        <v>2918310</v>
      </c>
      <c r="E632" s="4">
        <f t="shared" si="162"/>
        <v>19479719250</v>
      </c>
      <c r="F632" s="2">
        <f t="shared" si="163"/>
        <v>44555625</v>
      </c>
      <c r="G632" s="2">
        <f t="shared" si="164"/>
        <v>8516533256100</v>
      </c>
      <c r="H632" s="42">
        <f t="shared" si="165"/>
        <v>1650.5190000000002</v>
      </c>
      <c r="I632" s="2">
        <f t="shared" si="166"/>
        <v>2724212.9693610007</v>
      </c>
      <c r="J632" s="4">
        <f t="shared" si="167"/>
        <v>1629208.1031900009</v>
      </c>
      <c r="K632" s="2">
        <f t="shared" si="168"/>
        <v>2654319043499.9604</v>
      </c>
      <c r="L632" s="2">
        <f t="shared" si="169"/>
        <v>2689038929.2690573</v>
      </c>
      <c r="N632" s="42">
        <f t="shared" si="170"/>
        <v>1707071.6477117373</v>
      </c>
      <c r="O632" s="42">
        <f t="shared" si="171"/>
        <v>174698712668.86105</v>
      </c>
      <c r="P632" s="4">
        <f t="shared" si="172"/>
        <v>1211238.3522882627</v>
      </c>
      <c r="Q632" s="4">
        <f t="shared" si="173"/>
        <v>1467098346053.9856</v>
      </c>
      <c r="R632" s="43">
        <f t="shared" si="174"/>
        <v>1.343186038434649E-3</v>
      </c>
      <c r="S632" s="4">
        <f t="shared" si="175"/>
        <v>0.99606921385687242</v>
      </c>
      <c r="T632" s="30">
        <f t="shared" si="176"/>
        <v>1619470.4824336623</v>
      </c>
      <c r="U632" s="31">
        <f t="shared" si="177"/>
        <v>1794672.8129898123</v>
      </c>
      <c r="V632" s="31">
        <f t="shared" si="178"/>
        <v>4098098.0805762541</v>
      </c>
      <c r="W632" s="42">
        <f t="shared" si="179"/>
        <v>4098917.9682889534</v>
      </c>
    </row>
    <row r="633" spans="2:23" x14ac:dyDescent="0.3">
      <c r="B633" s="2">
        <v>625</v>
      </c>
      <c r="C633" s="2">
        <v>8679</v>
      </c>
      <c r="D633" s="4">
        <v>5799915.3300000001</v>
      </c>
      <c r="E633" s="4">
        <f t="shared" si="162"/>
        <v>50337465149.07</v>
      </c>
      <c r="F633" s="2">
        <f t="shared" si="163"/>
        <v>75325041</v>
      </c>
      <c r="G633" s="2">
        <f t="shared" si="164"/>
        <v>33639017835169.008</v>
      </c>
      <c r="H633" s="42">
        <f t="shared" si="165"/>
        <v>3654.5190000000002</v>
      </c>
      <c r="I633" s="2">
        <f t="shared" si="166"/>
        <v>13355509.121361002</v>
      </c>
      <c r="J633" s="4">
        <f t="shared" si="167"/>
        <v>4510813.4331900012</v>
      </c>
      <c r="K633" s="2">
        <f t="shared" si="168"/>
        <v>20347437829047.363</v>
      </c>
      <c r="L633" s="2">
        <f t="shared" si="169"/>
        <v>16484853397.048092</v>
      </c>
      <c r="N633" s="42">
        <f t="shared" si="170"/>
        <v>2214555.2821364747</v>
      </c>
      <c r="O633" s="42">
        <f t="shared" si="171"/>
        <v>856463968412.23413</v>
      </c>
      <c r="P633" s="4">
        <f t="shared" si="172"/>
        <v>3585360.0478635253</v>
      </c>
      <c r="Q633" s="4">
        <f t="shared" si="173"/>
        <v>12854806672815.941</v>
      </c>
      <c r="R633" s="43">
        <f t="shared" si="174"/>
        <v>2.6824764870394119E-3</v>
      </c>
      <c r="S633" s="4">
        <f t="shared" si="175"/>
        <v>2.9504216631715834</v>
      </c>
      <c r="T633" s="30">
        <f t="shared" si="176"/>
        <v>2090758.3846848975</v>
      </c>
      <c r="U633" s="31">
        <f t="shared" si="177"/>
        <v>2338352.179588052</v>
      </c>
      <c r="V633" s="31">
        <f t="shared" si="178"/>
        <v>4603981.0907767545</v>
      </c>
      <c r="W633" s="42">
        <f t="shared" si="179"/>
        <v>4608000.6082133688</v>
      </c>
    </row>
    <row r="634" spans="2:23" x14ac:dyDescent="0.3">
      <c r="B634" s="2">
        <v>626</v>
      </c>
      <c r="C634" s="2">
        <v>674</v>
      </c>
      <c r="D634" s="4">
        <v>31981.300000000003</v>
      </c>
      <c r="E634" s="4">
        <f t="shared" si="162"/>
        <v>21555396.200000003</v>
      </c>
      <c r="F634" s="2">
        <f t="shared" si="163"/>
        <v>454276</v>
      </c>
      <c r="G634" s="2">
        <f t="shared" si="164"/>
        <v>1022803549.6900002</v>
      </c>
      <c r="H634" s="42">
        <f t="shared" si="165"/>
        <v>-4350.4809999999998</v>
      </c>
      <c r="I634" s="2">
        <f t="shared" si="166"/>
        <v>18926684.931360997</v>
      </c>
      <c r="J634" s="4">
        <f t="shared" si="167"/>
        <v>-1257120.5968099991</v>
      </c>
      <c r="K634" s="2">
        <f t="shared" si="168"/>
        <v>1580352194923.9282</v>
      </c>
      <c r="L634" s="2">
        <f t="shared" si="169"/>
        <v>5469079271.1305609</v>
      </c>
      <c r="N634" s="42">
        <f t="shared" si="170"/>
        <v>187406.33324923774</v>
      </c>
      <c r="O634" s="42">
        <f t="shared" si="171"/>
        <v>1213733114769.4639</v>
      </c>
      <c r="P634" s="4">
        <f t="shared" si="172"/>
        <v>-155425.03324923775</v>
      </c>
      <c r="Q634" s="4">
        <f t="shared" si="173"/>
        <v>24156940960.526661</v>
      </c>
      <c r="R634" s="43">
        <f t="shared" si="174"/>
        <v>3.3843121280705598E-3</v>
      </c>
      <c r="S634" s="4">
        <f t="shared" si="175"/>
        <v>-0.12794553885229229</v>
      </c>
      <c r="T634" s="30">
        <f t="shared" si="176"/>
        <v>48354.408761858154</v>
      </c>
      <c r="U634" s="31">
        <f t="shared" si="177"/>
        <v>326458.25773661735</v>
      </c>
      <c r="V634" s="31">
        <f t="shared" si="178"/>
        <v>2575992.9297768269</v>
      </c>
      <c r="W634" s="42">
        <f t="shared" si="179"/>
        <v>2581689.1684222962</v>
      </c>
    </row>
    <row r="635" spans="2:23" x14ac:dyDescent="0.3">
      <c r="B635" s="2">
        <v>627</v>
      </c>
      <c r="C635" s="2">
        <v>4853</v>
      </c>
      <c r="D635" s="4">
        <v>998262.1</v>
      </c>
      <c r="E635" s="4">
        <f t="shared" si="162"/>
        <v>4844565971.3000002</v>
      </c>
      <c r="F635" s="2">
        <f t="shared" si="163"/>
        <v>23551609</v>
      </c>
      <c r="G635" s="2">
        <f t="shared" si="164"/>
        <v>996527220296.40991</v>
      </c>
      <c r="H635" s="42">
        <f t="shared" si="165"/>
        <v>-171.48099999999977</v>
      </c>
      <c r="I635" s="2">
        <f t="shared" si="166"/>
        <v>29405.733360999919</v>
      </c>
      <c r="J635" s="4">
        <f t="shared" si="167"/>
        <v>-290839.79680999916</v>
      </c>
      <c r="K635" s="2">
        <f t="shared" si="168"/>
        <v>84587787408.481598</v>
      </c>
      <c r="L635" s="2">
        <f t="shared" si="169"/>
        <v>49873499.196775399</v>
      </c>
      <c r="N635" s="42">
        <f t="shared" si="170"/>
        <v>1245676.8463535181</v>
      </c>
      <c r="O635" s="42">
        <f t="shared" si="171"/>
        <v>1885735007.1479254</v>
      </c>
      <c r="P635" s="4">
        <f t="shared" si="172"/>
        <v>-247414.7463535181</v>
      </c>
      <c r="Q635" s="4">
        <f t="shared" si="173"/>
        <v>61214056713.175697</v>
      </c>
      <c r="R635" s="43">
        <f t="shared" si="174"/>
        <v>1.0037044229848867E-3</v>
      </c>
      <c r="S635" s="4">
        <f t="shared" si="175"/>
        <v>-0.20342844539633109</v>
      </c>
      <c r="T635" s="30">
        <f t="shared" si="176"/>
        <v>1169950.8985567961</v>
      </c>
      <c r="U635" s="31">
        <f t="shared" si="177"/>
        <v>1321402.79415024</v>
      </c>
      <c r="V635" s="31">
        <f t="shared" si="178"/>
        <v>3637108.8331859224</v>
      </c>
      <c r="W635" s="42">
        <f t="shared" si="179"/>
        <v>3637117.683227892</v>
      </c>
    </row>
    <row r="636" spans="2:23" x14ac:dyDescent="0.3">
      <c r="B636" s="2">
        <v>628</v>
      </c>
      <c r="C636" s="2">
        <v>5439</v>
      </c>
      <c r="D636" s="4">
        <v>50745.87</v>
      </c>
      <c r="E636" s="4">
        <f t="shared" si="162"/>
        <v>276006786.93000001</v>
      </c>
      <c r="F636" s="2">
        <f t="shared" si="163"/>
        <v>29582721</v>
      </c>
      <c r="G636" s="2">
        <f t="shared" si="164"/>
        <v>2575143322.0569005</v>
      </c>
      <c r="H636" s="42">
        <f t="shared" si="165"/>
        <v>414.51900000000023</v>
      </c>
      <c r="I636" s="2">
        <f t="shared" si="166"/>
        <v>171826.00136100021</v>
      </c>
      <c r="J636" s="4">
        <f t="shared" si="167"/>
        <v>-1238356.026809999</v>
      </c>
      <c r="K636" s="2">
        <f t="shared" si="168"/>
        <v>1533525649136.647</v>
      </c>
      <c r="L636" s="2">
        <f t="shared" si="169"/>
        <v>-513322101.87725425</v>
      </c>
      <c r="N636" s="42">
        <f t="shared" si="170"/>
        <v>1394072.7594138454</v>
      </c>
      <c r="O636" s="42">
        <f t="shared" si="171"/>
        <v>11018881995.795565</v>
      </c>
      <c r="P636" s="4">
        <f t="shared" si="172"/>
        <v>-1343326.8894138453</v>
      </c>
      <c r="Q636" s="4">
        <f t="shared" si="173"/>
        <v>1804527131822.2773</v>
      </c>
      <c r="R636" s="43">
        <f t="shared" si="174"/>
        <v>1.0216459892711618E-3</v>
      </c>
      <c r="S636" s="4">
        <f t="shared" si="175"/>
        <v>-1.1045152269627982</v>
      </c>
      <c r="T636" s="30">
        <f t="shared" si="176"/>
        <v>1317672.9956024245</v>
      </c>
      <c r="U636" s="31">
        <f t="shared" si="177"/>
        <v>1470472.5232252663</v>
      </c>
      <c r="V636" s="31">
        <f t="shared" si="178"/>
        <v>3785483.3144847336</v>
      </c>
      <c r="W636" s="42">
        <f t="shared" si="179"/>
        <v>3785535.0277783568</v>
      </c>
    </row>
    <row r="637" spans="2:23" x14ac:dyDescent="0.3">
      <c r="B637" s="2">
        <v>629</v>
      </c>
      <c r="C637" s="2">
        <v>3686</v>
      </c>
      <c r="D637" s="4">
        <v>301256.78000000003</v>
      </c>
      <c r="E637" s="4">
        <f t="shared" si="162"/>
        <v>1110432491.0800002</v>
      </c>
      <c r="F637" s="2">
        <f t="shared" si="163"/>
        <v>13586596</v>
      </c>
      <c r="G637" s="2">
        <f t="shared" si="164"/>
        <v>90755647495.968414</v>
      </c>
      <c r="H637" s="42">
        <f t="shared" si="165"/>
        <v>-1338.4809999999998</v>
      </c>
      <c r="I637" s="2">
        <f t="shared" si="166"/>
        <v>1791531.3873609994</v>
      </c>
      <c r="J637" s="4">
        <f t="shared" si="167"/>
        <v>-987845.1168099991</v>
      </c>
      <c r="K637" s="2">
        <f t="shared" si="168"/>
        <v>975837974805.36072</v>
      </c>
      <c r="L637" s="2">
        <f t="shared" si="169"/>
        <v>1322211919.7929642</v>
      </c>
      <c r="N637" s="42">
        <f t="shared" si="170"/>
        <v>950151.19696545985</v>
      </c>
      <c r="O637" s="42">
        <f t="shared" si="171"/>
        <v>114887576925.10297</v>
      </c>
      <c r="P637" s="4">
        <f t="shared" si="172"/>
        <v>-648894.41696545982</v>
      </c>
      <c r="Q637" s="4">
        <f t="shared" si="173"/>
        <v>421063964368.94403</v>
      </c>
      <c r="R637" s="43">
        <f t="shared" si="174"/>
        <v>1.2256903430365681E-3</v>
      </c>
      <c r="S637" s="4">
        <f t="shared" si="175"/>
        <v>-0.53359087543856665</v>
      </c>
      <c r="T637" s="30">
        <f t="shared" si="176"/>
        <v>866469.17198007193</v>
      </c>
      <c r="U637" s="31">
        <f t="shared" si="177"/>
        <v>1033833.2219508478</v>
      </c>
      <c r="V637" s="31">
        <f t="shared" si="178"/>
        <v>3341318.0011657099</v>
      </c>
      <c r="W637" s="42">
        <f t="shared" si="179"/>
        <v>3341857.1860883594</v>
      </c>
    </row>
    <row r="638" spans="2:23" x14ac:dyDescent="0.3">
      <c r="B638" s="2">
        <v>630</v>
      </c>
      <c r="C638" s="2">
        <v>2882</v>
      </c>
      <c r="D638" s="4">
        <v>592827.4</v>
      </c>
      <c r="E638" s="4">
        <f t="shared" si="162"/>
        <v>1708528566.8</v>
      </c>
      <c r="F638" s="2">
        <f t="shared" si="163"/>
        <v>8305924</v>
      </c>
      <c r="G638" s="2">
        <f t="shared" si="164"/>
        <v>351444326190.76001</v>
      </c>
      <c r="H638" s="42">
        <f t="shared" si="165"/>
        <v>-2142.4809999999998</v>
      </c>
      <c r="I638" s="2">
        <f t="shared" si="166"/>
        <v>4590224.8353609992</v>
      </c>
      <c r="J638" s="4">
        <f t="shared" si="167"/>
        <v>-696274.49680999911</v>
      </c>
      <c r="K638" s="2">
        <f t="shared" si="168"/>
        <v>484798174908.01746</v>
      </c>
      <c r="L638" s="2">
        <f t="shared" si="169"/>
        <v>1491754880.1999836</v>
      </c>
      <c r="N638" s="42">
        <f t="shared" si="170"/>
        <v>746549.97836391849</v>
      </c>
      <c r="O638" s="42">
        <f t="shared" si="171"/>
        <v>294362584209.52252</v>
      </c>
      <c r="P638" s="4">
        <f t="shared" si="172"/>
        <v>-153722.57836391847</v>
      </c>
      <c r="Q638" s="4">
        <f t="shared" si="173"/>
        <v>23630631098.851055</v>
      </c>
      <c r="R638" s="43">
        <f t="shared" si="174"/>
        <v>1.5782591502533619E-3</v>
      </c>
      <c r="S638" s="4">
        <f t="shared" si="175"/>
        <v>-0.12642957670762864</v>
      </c>
      <c r="T638" s="30">
        <f t="shared" si="176"/>
        <v>651592.11004354898</v>
      </c>
      <c r="U638" s="31">
        <f t="shared" si="177"/>
        <v>841507.846684288</v>
      </c>
      <c r="V638" s="31">
        <f t="shared" si="178"/>
        <v>3137295.5461855857</v>
      </c>
      <c r="W638" s="42">
        <f t="shared" si="179"/>
        <v>3138677.0347421207</v>
      </c>
    </row>
    <row r="639" spans="2:23" x14ac:dyDescent="0.3">
      <c r="B639" s="2">
        <v>631</v>
      </c>
      <c r="C639" s="2">
        <v>3343</v>
      </c>
      <c r="D639" s="4">
        <v>273223.39</v>
      </c>
      <c r="E639" s="4">
        <f t="shared" si="162"/>
        <v>913385792.7700001</v>
      </c>
      <c r="F639" s="2">
        <f t="shared" si="163"/>
        <v>11175649</v>
      </c>
      <c r="G639" s="2">
        <f t="shared" si="164"/>
        <v>74651020843.092102</v>
      </c>
      <c r="H639" s="42">
        <f t="shared" si="165"/>
        <v>-1681.4809999999998</v>
      </c>
      <c r="I639" s="2">
        <f t="shared" si="166"/>
        <v>2827378.3533609994</v>
      </c>
      <c r="J639" s="4">
        <f t="shared" si="167"/>
        <v>-1015878.5068099991</v>
      </c>
      <c r="K639" s="2">
        <f t="shared" si="168"/>
        <v>1032009140598.5134</v>
      </c>
      <c r="L639" s="2">
        <f t="shared" si="169"/>
        <v>1708180407.5093839</v>
      </c>
      <c r="N639" s="42">
        <f t="shared" si="170"/>
        <v>863291.47310932958</v>
      </c>
      <c r="O639" s="42">
        <f t="shared" si="171"/>
        <v>181314516932.14371</v>
      </c>
      <c r="P639" s="4">
        <f t="shared" si="172"/>
        <v>-590068.08310932957</v>
      </c>
      <c r="Q639" s="4">
        <f t="shared" si="173"/>
        <v>348180342704.31866</v>
      </c>
      <c r="R639" s="43">
        <f t="shared" si="174"/>
        <v>1.3561824230186536E-3</v>
      </c>
      <c r="S639" s="4">
        <f t="shared" si="175"/>
        <v>-0.48524922863644931</v>
      </c>
      <c r="T639" s="30">
        <f t="shared" si="176"/>
        <v>775267.52287176123</v>
      </c>
      <c r="U639" s="31">
        <f t="shared" si="177"/>
        <v>951315.42334689794</v>
      </c>
      <c r="V639" s="31">
        <f t="shared" si="178"/>
        <v>3254302.378772344</v>
      </c>
      <c r="W639" s="42">
        <f t="shared" si="179"/>
        <v>3255153.315464803</v>
      </c>
    </row>
    <row r="640" spans="2:23" x14ac:dyDescent="0.3">
      <c r="B640" s="2">
        <v>632</v>
      </c>
      <c r="C640" s="2">
        <v>7418</v>
      </c>
      <c r="D640" s="4">
        <v>1893667.04</v>
      </c>
      <c r="E640" s="4">
        <f t="shared" si="162"/>
        <v>14047222102.720001</v>
      </c>
      <c r="F640" s="2">
        <f t="shared" si="163"/>
        <v>55026724</v>
      </c>
      <c r="G640" s="2">
        <f t="shared" si="164"/>
        <v>3585974858382.3618</v>
      </c>
      <c r="H640" s="42">
        <f t="shared" si="165"/>
        <v>2393.5190000000002</v>
      </c>
      <c r="I640" s="2">
        <f t="shared" si="166"/>
        <v>5728933.2033610009</v>
      </c>
      <c r="J640" s="4">
        <f t="shared" si="167"/>
        <v>604565.1431900009</v>
      </c>
      <c r="K640" s="2">
        <f t="shared" si="168"/>
        <v>365499012360.34631</v>
      </c>
      <c r="L640" s="2">
        <f t="shared" si="169"/>
        <v>1447038156.9629879</v>
      </c>
      <c r="N640" s="42">
        <f t="shared" si="170"/>
        <v>1895225.5101755997</v>
      </c>
      <c r="O640" s="42">
        <f t="shared" si="171"/>
        <v>367385834679.37207</v>
      </c>
      <c r="P640" s="4">
        <f t="shared" si="172"/>
        <v>-1558.4701755996794</v>
      </c>
      <c r="Q640" s="4">
        <f t="shared" si="173"/>
        <v>2428829.2882336956</v>
      </c>
      <c r="R640" s="43">
        <f t="shared" si="174"/>
        <v>1.7217093203176978E-3</v>
      </c>
      <c r="S640" s="4">
        <f t="shared" si="175"/>
        <v>-1.2818603685354948E-3</v>
      </c>
      <c r="T640" s="30">
        <f t="shared" si="176"/>
        <v>1796046.0559684876</v>
      </c>
      <c r="U640" s="31">
        <f t="shared" si="177"/>
        <v>1994404.9643827118</v>
      </c>
      <c r="V640" s="31">
        <f t="shared" si="178"/>
        <v>4285799.6677114153</v>
      </c>
      <c r="W640" s="42">
        <f t="shared" si="179"/>
        <v>4287523.8655730858</v>
      </c>
    </row>
    <row r="641" spans="2:23" x14ac:dyDescent="0.3">
      <c r="B641" s="2">
        <v>633</v>
      </c>
      <c r="C641" s="2">
        <v>4487</v>
      </c>
      <c r="D641" s="4">
        <v>922975.89999999991</v>
      </c>
      <c r="E641" s="4">
        <f t="shared" si="162"/>
        <v>4141392863.2999997</v>
      </c>
      <c r="F641" s="2">
        <f t="shared" si="163"/>
        <v>20133169</v>
      </c>
      <c r="G641" s="2">
        <f t="shared" si="164"/>
        <v>851884511980.80981</v>
      </c>
      <c r="H641" s="42">
        <f t="shared" si="165"/>
        <v>-537.48099999999977</v>
      </c>
      <c r="I641" s="2">
        <f t="shared" si="166"/>
        <v>288885.82536099973</v>
      </c>
      <c r="J641" s="4">
        <f t="shared" si="167"/>
        <v>-366125.99680999923</v>
      </c>
      <c r="K641" s="2">
        <f t="shared" si="168"/>
        <v>134048245540.11557</v>
      </c>
      <c r="L641" s="2">
        <f t="shared" si="169"/>
        <v>196785766.89143512</v>
      </c>
      <c r="N641" s="42">
        <f t="shared" si="170"/>
        <v>1152992.7095274432</v>
      </c>
      <c r="O641" s="42">
        <f t="shared" si="171"/>
        <v>18525710862.717896</v>
      </c>
      <c r="P641" s="4">
        <f t="shared" si="172"/>
        <v>-230016.80952744326</v>
      </c>
      <c r="Q641" s="4">
        <f t="shared" si="173"/>
        <v>52907732665.184113</v>
      </c>
      <c r="R641" s="43">
        <f t="shared" si="174"/>
        <v>1.0363927428143844E-3</v>
      </c>
      <c r="S641" s="4">
        <f t="shared" si="175"/>
        <v>-0.1891266718306619</v>
      </c>
      <c r="T641" s="30">
        <f t="shared" si="176"/>
        <v>1076043.5323275004</v>
      </c>
      <c r="U641" s="31">
        <f t="shared" si="177"/>
        <v>1229941.8867273859</v>
      </c>
      <c r="V641" s="31">
        <f t="shared" si="178"/>
        <v>3544385.6489966442</v>
      </c>
      <c r="W641" s="42">
        <f t="shared" si="179"/>
        <v>3544472.592982966</v>
      </c>
    </row>
    <row r="642" spans="2:23" x14ac:dyDescent="0.3">
      <c r="B642" s="2">
        <v>634</v>
      </c>
      <c r="C642" s="2">
        <v>5960</v>
      </c>
      <c r="D642" s="4">
        <v>2514464.4</v>
      </c>
      <c r="E642" s="4">
        <f t="shared" si="162"/>
        <v>14986207824</v>
      </c>
      <c r="F642" s="2">
        <f t="shared" si="163"/>
        <v>35521600</v>
      </c>
      <c r="G642" s="2">
        <f t="shared" si="164"/>
        <v>6322531218867.3594</v>
      </c>
      <c r="H642" s="42">
        <f t="shared" si="165"/>
        <v>935.51900000000023</v>
      </c>
      <c r="I642" s="2">
        <f t="shared" si="166"/>
        <v>875195.79936100042</v>
      </c>
      <c r="J642" s="4">
        <f t="shared" si="167"/>
        <v>1225362.5031900008</v>
      </c>
      <c r="K642" s="2">
        <f t="shared" si="168"/>
        <v>1501513264224.0647</v>
      </c>
      <c r="L642" s="2">
        <f t="shared" si="169"/>
        <v>1146349903.6218066</v>
      </c>
      <c r="N642" s="42">
        <f t="shared" si="170"/>
        <v>1526008.3749504164</v>
      </c>
      <c r="O642" s="42">
        <f t="shared" si="171"/>
        <v>56124679384.895996</v>
      </c>
      <c r="P642" s="4">
        <f t="shared" si="172"/>
        <v>988456.02504958352</v>
      </c>
      <c r="Q642" s="4">
        <f t="shared" si="173"/>
        <v>977045313456.82288</v>
      </c>
      <c r="R642" s="43">
        <f t="shared" si="174"/>
        <v>1.110253854091224E-3</v>
      </c>
      <c r="S642" s="4">
        <f t="shared" si="175"/>
        <v>0.81276803257165786</v>
      </c>
      <c r="T642" s="30">
        <f t="shared" si="176"/>
        <v>1446364.3969953854</v>
      </c>
      <c r="U642" s="31">
        <f t="shared" si="177"/>
        <v>1605652.3529054474</v>
      </c>
      <c r="V642" s="31">
        <f t="shared" si="178"/>
        <v>3917313.0823414242</v>
      </c>
      <c r="W642" s="42">
        <f t="shared" si="179"/>
        <v>3917576.4840213652</v>
      </c>
    </row>
    <row r="643" spans="2:23" x14ac:dyDescent="0.3">
      <c r="B643" s="2">
        <v>635</v>
      </c>
      <c r="C643" s="2">
        <v>282</v>
      </c>
      <c r="D643" s="4">
        <v>13380.900000000001</v>
      </c>
      <c r="E643" s="4">
        <f t="shared" si="162"/>
        <v>3773413.8000000003</v>
      </c>
      <c r="F643" s="2">
        <f t="shared" si="163"/>
        <v>79524</v>
      </c>
      <c r="G643" s="2">
        <f t="shared" si="164"/>
        <v>179048484.81000003</v>
      </c>
      <c r="H643" s="42">
        <f t="shared" si="165"/>
        <v>-4742.4809999999998</v>
      </c>
      <c r="I643" s="2">
        <f t="shared" si="166"/>
        <v>22491126.035360999</v>
      </c>
      <c r="J643" s="4">
        <f t="shared" si="167"/>
        <v>-1275720.9968099992</v>
      </c>
      <c r="K643" s="2">
        <f t="shared" si="168"/>
        <v>1627464061701.8979</v>
      </c>
      <c r="L643" s="2">
        <f t="shared" si="169"/>
        <v>6050082588.6724815</v>
      </c>
      <c r="N643" s="42">
        <f t="shared" si="170"/>
        <v>88138.077413660358</v>
      </c>
      <c r="O643" s="42">
        <f t="shared" si="171"/>
        <v>1442314095499.042</v>
      </c>
      <c r="P643" s="4">
        <f t="shared" si="172"/>
        <v>-74757.177413660364</v>
      </c>
      <c r="Q643" s="4">
        <f t="shared" si="173"/>
        <v>5588635574.8574915</v>
      </c>
      <c r="R643" s="43">
        <f t="shared" si="174"/>
        <v>3.8333469265512086E-3</v>
      </c>
      <c r="S643" s="4">
        <f t="shared" si="175"/>
        <v>-6.1553809207762968E-2</v>
      </c>
      <c r="T643" s="30">
        <f t="shared" si="176"/>
        <v>-59851.408520546189</v>
      </c>
      <c r="U643" s="31">
        <f t="shared" si="177"/>
        <v>236127.5633478669</v>
      </c>
      <c r="V643" s="31">
        <f t="shared" si="178"/>
        <v>2476187.5909011476</v>
      </c>
      <c r="W643" s="42">
        <f t="shared" si="179"/>
        <v>2482956.5976877469</v>
      </c>
    </row>
    <row r="644" spans="2:23" x14ac:dyDescent="0.3">
      <c r="B644" s="2">
        <v>636</v>
      </c>
      <c r="C644" s="2">
        <v>7924</v>
      </c>
      <c r="D644" s="4">
        <v>5295371.4799999995</v>
      </c>
      <c r="E644" s="4">
        <f t="shared" si="162"/>
        <v>41960523607.519997</v>
      </c>
      <c r="F644" s="2">
        <f t="shared" si="163"/>
        <v>62789776</v>
      </c>
      <c r="G644" s="2">
        <f t="shared" si="164"/>
        <v>28040959111197.387</v>
      </c>
      <c r="H644" s="42">
        <f t="shared" si="165"/>
        <v>2899.5190000000002</v>
      </c>
      <c r="I644" s="2">
        <f t="shared" si="166"/>
        <v>8407210.431361001</v>
      </c>
      <c r="J644" s="4">
        <f t="shared" si="167"/>
        <v>4006269.5831900006</v>
      </c>
      <c r="K644" s="2">
        <f t="shared" si="168"/>
        <v>16050195973193.381</v>
      </c>
      <c r="L644" s="2">
        <f t="shared" si="169"/>
        <v>11616254775.581488</v>
      </c>
      <c r="N644" s="42">
        <f t="shared" si="170"/>
        <v>2023362.5955143806</v>
      </c>
      <c r="O644" s="42">
        <f t="shared" si="171"/>
        <v>539138773661.8465</v>
      </c>
      <c r="P644" s="4">
        <f t="shared" si="172"/>
        <v>3272008.8844856191</v>
      </c>
      <c r="Q644" s="4">
        <f t="shared" si="173"/>
        <v>10706042140152.826</v>
      </c>
      <c r="R644" s="43">
        <f t="shared" si="174"/>
        <v>2.0591085479275168E-3</v>
      </c>
      <c r="S644" s="4">
        <f t="shared" si="175"/>
        <v>2.691721375255077</v>
      </c>
      <c r="T644" s="30">
        <f t="shared" si="176"/>
        <v>1914899.6437163383</v>
      </c>
      <c r="U644" s="31">
        <f t="shared" si="177"/>
        <v>2131825.5473124227</v>
      </c>
      <c r="V644" s="31">
        <f t="shared" si="178"/>
        <v>4413533.5423092227</v>
      </c>
      <c r="W644" s="42">
        <f t="shared" si="179"/>
        <v>4416063.8031484298</v>
      </c>
    </row>
    <row r="645" spans="2:23" x14ac:dyDescent="0.3">
      <c r="B645" s="2">
        <v>637</v>
      </c>
      <c r="C645" s="2">
        <v>6393</v>
      </c>
      <c r="D645" s="4">
        <v>4163185.5300000003</v>
      </c>
      <c r="E645" s="4">
        <f t="shared" si="162"/>
        <v>26615245093.290001</v>
      </c>
      <c r="F645" s="2">
        <f t="shared" si="163"/>
        <v>40870449</v>
      </c>
      <c r="G645" s="2">
        <f t="shared" si="164"/>
        <v>17332113757201.383</v>
      </c>
      <c r="H645" s="42">
        <f t="shared" si="165"/>
        <v>1368.5190000000002</v>
      </c>
      <c r="I645" s="2">
        <f t="shared" si="166"/>
        <v>1872844.2533610007</v>
      </c>
      <c r="J645" s="4">
        <f t="shared" si="167"/>
        <v>2874083.6331900014</v>
      </c>
      <c r="K645" s="2">
        <f t="shared" si="168"/>
        <v>8260356730570.6387</v>
      </c>
      <c r="L645" s="2">
        <f t="shared" si="169"/>
        <v>3933238059.6095481</v>
      </c>
      <c r="N645" s="42">
        <f t="shared" si="170"/>
        <v>1635659.2799932864</v>
      </c>
      <c r="O645" s="42">
        <f t="shared" si="171"/>
        <v>120102019838.84776</v>
      </c>
      <c r="P645" s="4">
        <f t="shared" si="172"/>
        <v>2527526.2500067139</v>
      </c>
      <c r="Q645" s="4">
        <f t="shared" si="173"/>
        <v>6388388944473.002</v>
      </c>
      <c r="R645" s="43">
        <f t="shared" si="174"/>
        <v>1.2359338301171151E-3</v>
      </c>
      <c r="S645" s="4">
        <f t="shared" si="175"/>
        <v>2.0784149550678905</v>
      </c>
      <c r="T645" s="30">
        <f t="shared" si="176"/>
        <v>1551628.3038120491</v>
      </c>
      <c r="U645" s="31">
        <f t="shared" si="177"/>
        <v>1719690.2561745236</v>
      </c>
      <c r="V645" s="31">
        <f t="shared" si="178"/>
        <v>4026813.8466946781</v>
      </c>
      <c r="W645" s="42">
        <f t="shared" si="179"/>
        <v>4027377.5037936289</v>
      </c>
    </row>
    <row r="646" spans="2:23" x14ac:dyDescent="0.3">
      <c r="B646" s="2">
        <v>638</v>
      </c>
      <c r="C646" s="2">
        <v>5223</v>
      </c>
      <c r="D646" s="4">
        <v>3401269.83</v>
      </c>
      <c r="E646" s="4">
        <f t="shared" si="162"/>
        <v>17764832322.09</v>
      </c>
      <c r="F646" s="2">
        <f t="shared" si="163"/>
        <v>27279729</v>
      </c>
      <c r="G646" s="2">
        <f t="shared" si="164"/>
        <v>11568636456468.229</v>
      </c>
      <c r="H646" s="42">
        <f t="shared" si="165"/>
        <v>198.51900000000023</v>
      </c>
      <c r="I646" s="2">
        <f t="shared" si="166"/>
        <v>39409.793361000091</v>
      </c>
      <c r="J646" s="4">
        <f t="shared" si="167"/>
        <v>2112167.9331900012</v>
      </c>
      <c r="K646" s="2">
        <f t="shared" si="168"/>
        <v>4461253377996.1211</v>
      </c>
      <c r="L646" s="2">
        <f t="shared" si="169"/>
        <v>419305465.92894632</v>
      </c>
      <c r="N646" s="42">
        <f t="shared" si="170"/>
        <v>1339373.9245656701</v>
      </c>
      <c r="O646" s="42">
        <f t="shared" si="171"/>
        <v>2527276774.6669502</v>
      </c>
      <c r="P646" s="4">
        <f t="shared" si="172"/>
        <v>2061895.90543433</v>
      </c>
      <c r="Q646" s="4">
        <f t="shared" si="173"/>
        <v>4251414724846.8555</v>
      </c>
      <c r="R646" s="43">
        <f t="shared" si="174"/>
        <v>1.0049646965972203E-3</v>
      </c>
      <c r="S646" s="4">
        <f t="shared" si="175"/>
        <v>1.6953255590830563</v>
      </c>
      <c r="T646" s="30">
        <f t="shared" si="176"/>
        <v>1263600.450090437</v>
      </c>
      <c r="U646" s="31">
        <f t="shared" si="177"/>
        <v>1415147.3990409032</v>
      </c>
      <c r="V646" s="31">
        <f t="shared" si="178"/>
        <v>3730804.4059681394</v>
      </c>
      <c r="W646" s="42">
        <f t="shared" si="179"/>
        <v>3730816.2668634607</v>
      </c>
    </row>
    <row r="647" spans="2:23" x14ac:dyDescent="0.3">
      <c r="B647" s="2">
        <v>639</v>
      </c>
      <c r="C647" s="2">
        <v>983</v>
      </c>
      <c r="D647" s="4">
        <v>202203.09999999998</v>
      </c>
      <c r="E647" s="4">
        <f t="shared" si="162"/>
        <v>198765647.29999998</v>
      </c>
      <c r="F647" s="2">
        <f t="shared" si="163"/>
        <v>966289</v>
      </c>
      <c r="G647" s="2">
        <f t="shared" si="164"/>
        <v>40886093649.609993</v>
      </c>
      <c r="H647" s="42">
        <f t="shared" si="165"/>
        <v>-4041.4809999999998</v>
      </c>
      <c r="I647" s="2">
        <f t="shared" si="166"/>
        <v>16333568.673360998</v>
      </c>
      <c r="J647" s="4">
        <f t="shared" si="167"/>
        <v>-1086898.7968099993</v>
      </c>
      <c r="K647" s="2">
        <f t="shared" si="168"/>
        <v>1181348994507.0242</v>
      </c>
      <c r="L647" s="2">
        <f t="shared" si="169"/>
        <v>4392680836.2304726</v>
      </c>
      <c r="N647" s="42">
        <f t="shared" si="170"/>
        <v>265656.05532371072</v>
      </c>
      <c r="O647" s="42">
        <f t="shared" si="171"/>
        <v>1047441390455.5771</v>
      </c>
      <c r="P647" s="4">
        <f t="shared" si="172"/>
        <v>-63452.955323710747</v>
      </c>
      <c r="Q647" s="4">
        <f t="shared" si="173"/>
        <v>4026277539.3128319</v>
      </c>
      <c r="R647" s="43">
        <f t="shared" si="174"/>
        <v>3.057641157117711E-3</v>
      </c>
      <c r="S647" s="4">
        <f t="shared" si="175"/>
        <v>-5.2225771950426741E-2</v>
      </c>
      <c r="T647" s="30">
        <f t="shared" si="176"/>
        <v>133485.39597688839</v>
      </c>
      <c r="U647" s="31">
        <f t="shared" si="177"/>
        <v>397826.71467053308</v>
      </c>
      <c r="V647" s="31">
        <f t="shared" si="178"/>
        <v>2654633.3016830646</v>
      </c>
      <c r="W647" s="42">
        <f t="shared" si="179"/>
        <v>2659549.1064629774</v>
      </c>
    </row>
    <row r="648" spans="2:23" x14ac:dyDescent="0.3">
      <c r="B648" s="2">
        <v>640</v>
      </c>
      <c r="C648" s="2">
        <v>2271</v>
      </c>
      <c r="D648" s="4">
        <v>958112.19</v>
      </c>
      <c r="E648" s="4">
        <f t="shared" si="162"/>
        <v>2175872783.4899998</v>
      </c>
      <c r="F648" s="2">
        <f t="shared" si="163"/>
        <v>5157441</v>
      </c>
      <c r="G648" s="2">
        <f t="shared" si="164"/>
        <v>917978968626.59595</v>
      </c>
      <c r="H648" s="42">
        <f t="shared" si="165"/>
        <v>-2753.4809999999998</v>
      </c>
      <c r="I648" s="2">
        <f t="shared" si="166"/>
        <v>7581657.6173609989</v>
      </c>
      <c r="J648" s="4">
        <f t="shared" si="167"/>
        <v>-330989.70680999919</v>
      </c>
      <c r="K648" s="2">
        <f t="shared" si="168"/>
        <v>109554186014.16922</v>
      </c>
      <c r="L648" s="2">
        <f t="shared" si="169"/>
        <v>911373868.89690328</v>
      </c>
      <c r="N648" s="42">
        <f t="shared" si="170"/>
        <v>591823.18164060777</v>
      </c>
      <c r="O648" s="42">
        <f t="shared" si="171"/>
        <v>486197606628.27722</v>
      </c>
      <c r="P648" s="4">
        <f t="shared" si="172"/>
        <v>366289.00835939217</v>
      </c>
      <c r="Q648" s="4">
        <f t="shared" si="173"/>
        <v>134167637644.90688</v>
      </c>
      <c r="R648" s="43">
        <f t="shared" si="174"/>
        <v>1.9551085292279164E-3</v>
      </c>
      <c r="S648" s="4">
        <f t="shared" si="175"/>
        <v>0.30131231822814897</v>
      </c>
      <c r="T648" s="30">
        <f t="shared" si="176"/>
        <v>486134.80337331491</v>
      </c>
      <c r="U648" s="31">
        <f t="shared" si="177"/>
        <v>697511.55990790064</v>
      </c>
      <c r="V648" s="31">
        <f t="shared" si="178"/>
        <v>2982118.4214622756</v>
      </c>
      <c r="W648" s="42">
        <f t="shared" si="179"/>
        <v>2984400.2212365041</v>
      </c>
    </row>
    <row r="649" spans="2:23" x14ac:dyDescent="0.3">
      <c r="B649" s="2">
        <v>641</v>
      </c>
      <c r="C649" s="2">
        <v>4718</v>
      </c>
      <c r="D649" s="4">
        <v>719872.44000000006</v>
      </c>
      <c r="E649" s="4">
        <f t="shared" si="162"/>
        <v>3396358171.9200001</v>
      </c>
      <c r="F649" s="2">
        <f t="shared" si="163"/>
        <v>22259524</v>
      </c>
      <c r="G649" s="2">
        <f t="shared" si="164"/>
        <v>518216329871.55371</v>
      </c>
      <c r="H649" s="42">
        <f t="shared" si="165"/>
        <v>-306.48099999999977</v>
      </c>
      <c r="I649" s="2">
        <f t="shared" si="166"/>
        <v>93930.603360999856</v>
      </c>
      <c r="J649" s="4">
        <f t="shared" si="167"/>
        <v>-569229.45680999907</v>
      </c>
      <c r="K649" s="2">
        <f t="shared" si="168"/>
        <v>324022174500.2066</v>
      </c>
      <c r="L649" s="2">
        <f t="shared" si="169"/>
        <v>174458013.15258518</v>
      </c>
      <c r="N649" s="42">
        <f t="shared" si="170"/>
        <v>1211490.0745734083</v>
      </c>
      <c r="O649" s="42">
        <f t="shared" si="171"/>
        <v>6023594950.8841677</v>
      </c>
      <c r="P649" s="4">
        <f t="shared" si="172"/>
        <v>-491617.63457340829</v>
      </c>
      <c r="Q649" s="4">
        <f t="shared" si="173"/>
        <v>241687898623.55319</v>
      </c>
      <c r="R649" s="43">
        <f t="shared" si="174"/>
        <v>1.0118330218737632E-3</v>
      </c>
      <c r="S649" s="4">
        <f t="shared" si="175"/>
        <v>-0.40421769309265559</v>
      </c>
      <c r="T649" s="30">
        <f t="shared" si="176"/>
        <v>1135458.1080935444</v>
      </c>
      <c r="U649" s="31">
        <f t="shared" si="177"/>
        <v>1287522.0410532723</v>
      </c>
      <c r="V649" s="31">
        <f t="shared" si="178"/>
        <v>3602912.3515642579</v>
      </c>
      <c r="W649" s="42">
        <f t="shared" si="179"/>
        <v>3602940.6212139796</v>
      </c>
    </row>
    <row r="650" spans="2:23" x14ac:dyDescent="0.3">
      <c r="B650" s="2">
        <v>642</v>
      </c>
      <c r="C650" s="2">
        <v>5983</v>
      </c>
      <c r="D650" s="4">
        <v>2615767.6</v>
      </c>
      <c r="E650" s="4">
        <f t="shared" ref="E650:E713" si="180">C650*D650</f>
        <v>15650137550.800001</v>
      </c>
      <c r="F650" s="2">
        <f t="shared" ref="F650:F713" si="181">POWER(C650,2)</f>
        <v>35796289</v>
      </c>
      <c r="G650" s="2">
        <f t="shared" ref="G650:G713" si="182">POWER(D650,2)</f>
        <v>6842240137209.7607</v>
      </c>
      <c r="H650" s="42">
        <f t="shared" ref="H650:H713" si="183">C650-$AG$9</f>
        <v>958.51900000000023</v>
      </c>
      <c r="I650" s="2">
        <f t="shared" ref="I650:I713" si="184">POWER(H650,2)</f>
        <v>918758.67336100049</v>
      </c>
      <c r="J650" s="4">
        <f t="shared" ref="J650:J713" si="185">D650-$AG$10</f>
        <v>1326665.703190001</v>
      </c>
      <c r="K650" s="2">
        <f t="shared" ref="K650:K713" si="186">POWER(J650,2)</f>
        <v>1760041888020.6196</v>
      </c>
      <c r="L650" s="2">
        <f t="shared" ref="L650:L713" si="187">H650*J650</f>
        <v>1271634283.1559768</v>
      </c>
      <c r="N650" s="42">
        <f t="shared" ref="N650:N713" si="188">$AG$18+$AG$17*C650</f>
        <v>1531832.7879203609</v>
      </c>
      <c r="O650" s="42">
        <f t="shared" ref="O650:O713" si="189">(N650-$AG$10)^2</f>
        <v>58918285499.230309</v>
      </c>
      <c r="P650" s="4">
        <f t="shared" ref="P650:P713" si="190">D650-N650</f>
        <v>1083934.8120796392</v>
      </c>
      <c r="Q650" s="4">
        <f t="shared" ref="Q650:Q713" si="191">P650^2</f>
        <v>1174914676838.1228</v>
      </c>
      <c r="R650" s="43">
        <f t="shared" ref="R650:R713" si="192">(1/$AG$8)+((I650)/($I$1009))</f>
        <v>1.1157417400674788E-3</v>
      </c>
      <c r="S650" s="4">
        <f t="shared" ref="S650:S713" si="193">P650 / ($AG$19*SQRT(1-R650))</f>
        <v>0.89127888585859549</v>
      </c>
      <c r="T650" s="30">
        <f t="shared" ref="T650:T713" si="194">N650-$AK$16*SQRT($AG$25*((1/$AG$8)+((C650-$AG$9)^2)/$I$1009))</f>
        <v>1451992.2160554845</v>
      </c>
      <c r="U650" s="31">
        <f t="shared" ref="U650:U713" si="195">N650+$AK$16*SQRT($AG$25*((1/$AG$8)+((C650-$AG$9)^2)/$I$1009))</f>
        <v>1611673.3597852373</v>
      </c>
      <c r="V650" s="31">
        <f t="shared" ref="V650:V713" si="196">N650+$AK$16*SQRT($AG$25*(1+(1/$AG$8)-((C650-$AG$9)^2)/$I$1009))</f>
        <v>3923130.9395315698</v>
      </c>
      <c r="W650" s="42">
        <f t="shared" ref="W650:W713" si="197">N650+$AK$16*SQRT($AG$25*(1+(1/$AG$8)+((C650-$AG$9)^2)/$I$1009))</f>
        <v>3923407.452031102</v>
      </c>
    </row>
    <row r="651" spans="2:23" x14ac:dyDescent="0.3">
      <c r="B651" s="2">
        <v>643</v>
      </c>
      <c r="C651" s="2">
        <v>760</v>
      </c>
      <c r="D651" s="4">
        <v>494919.60000000003</v>
      </c>
      <c r="E651" s="4">
        <f t="shared" si="180"/>
        <v>376138896</v>
      </c>
      <c r="F651" s="2">
        <f t="shared" si="181"/>
        <v>577600</v>
      </c>
      <c r="G651" s="2">
        <f t="shared" si="182"/>
        <v>244945410464.16003</v>
      </c>
      <c r="H651" s="42">
        <f t="shared" si="183"/>
        <v>-4264.4809999999998</v>
      </c>
      <c r="I651" s="2">
        <f t="shared" si="184"/>
        <v>18185798.199360996</v>
      </c>
      <c r="J651" s="4">
        <f t="shared" si="185"/>
        <v>-794182.29680999904</v>
      </c>
      <c r="K651" s="2">
        <f t="shared" si="186"/>
        <v>630725520566.4054</v>
      </c>
      <c r="L651" s="2">
        <f t="shared" si="187"/>
        <v>3386775315.2826014</v>
      </c>
      <c r="N651" s="42">
        <f t="shared" si="188"/>
        <v>209184.57304990012</v>
      </c>
      <c r="O651" s="42">
        <f t="shared" si="189"/>
        <v>1166221426157.1746</v>
      </c>
      <c r="P651" s="4">
        <f t="shared" si="190"/>
        <v>285735.02695009991</v>
      </c>
      <c r="Q651" s="4">
        <f t="shared" si="191"/>
        <v>81644505626.174316</v>
      </c>
      <c r="R651" s="43">
        <f t="shared" si="192"/>
        <v>3.2909780219108954E-3</v>
      </c>
      <c r="S651" s="4">
        <f t="shared" si="193"/>
        <v>0.23520542010576134</v>
      </c>
      <c r="T651" s="30">
        <f t="shared" si="194"/>
        <v>72063.472674013203</v>
      </c>
      <c r="U651" s="31">
        <f t="shared" si="195"/>
        <v>346305.67342578701</v>
      </c>
      <c r="V651" s="31">
        <f t="shared" si="196"/>
        <v>2597882.7897877535</v>
      </c>
      <c r="W651" s="42">
        <f t="shared" si="197"/>
        <v>2603356.0483768005</v>
      </c>
    </row>
    <row r="652" spans="2:23" x14ac:dyDescent="0.3">
      <c r="B652" s="2">
        <v>644</v>
      </c>
      <c r="C652" s="2">
        <v>5771</v>
      </c>
      <c r="D652" s="4">
        <v>471663.83</v>
      </c>
      <c r="E652" s="4">
        <f t="shared" si="180"/>
        <v>2721971962.9300003</v>
      </c>
      <c r="F652" s="2">
        <f t="shared" si="181"/>
        <v>33304441</v>
      </c>
      <c r="G652" s="2">
        <f t="shared" si="182"/>
        <v>222466768530.26892</v>
      </c>
      <c r="H652" s="42">
        <f t="shared" si="183"/>
        <v>746.51900000000023</v>
      </c>
      <c r="I652" s="2">
        <f t="shared" si="184"/>
        <v>557290.61736100039</v>
      </c>
      <c r="J652" s="4">
        <f t="shared" si="185"/>
        <v>-817438.06680999906</v>
      </c>
      <c r="K652" s="2">
        <f t="shared" si="186"/>
        <v>668204993070.06848</v>
      </c>
      <c r="L652" s="2">
        <f t="shared" si="187"/>
        <v>-610233048.19693387</v>
      </c>
      <c r="N652" s="42">
        <f t="shared" si="188"/>
        <v>1478146.8944582629</v>
      </c>
      <c r="O652" s="42">
        <f t="shared" si="189"/>
        <v>35738011135.832069</v>
      </c>
      <c r="P652" s="4">
        <f t="shared" si="190"/>
        <v>-1006483.0644582629</v>
      </c>
      <c r="Q652" s="4">
        <f t="shared" si="191"/>
        <v>1013008159041.2958</v>
      </c>
      <c r="R652" s="43">
        <f t="shared" si="192"/>
        <v>1.070205362568912E-3</v>
      </c>
      <c r="S652" s="4">
        <f t="shared" si="193"/>
        <v>-0.82757435949923885</v>
      </c>
      <c r="T652" s="30">
        <f t="shared" si="194"/>
        <v>1399952.5469273061</v>
      </c>
      <c r="U652" s="31">
        <f t="shared" si="195"/>
        <v>1556341.2419892198</v>
      </c>
      <c r="V652" s="31">
        <f t="shared" si="196"/>
        <v>3869499.4428770654</v>
      </c>
      <c r="W652" s="42">
        <f t="shared" si="197"/>
        <v>3869667.1668135878</v>
      </c>
    </row>
    <row r="653" spans="2:23" x14ac:dyDescent="0.3">
      <c r="B653" s="2">
        <v>645</v>
      </c>
      <c r="C653" s="2">
        <v>4773</v>
      </c>
      <c r="D653" s="4">
        <v>2013680.97</v>
      </c>
      <c r="E653" s="4">
        <f t="shared" si="180"/>
        <v>9611299269.8099995</v>
      </c>
      <c r="F653" s="2">
        <f t="shared" si="181"/>
        <v>22781529</v>
      </c>
      <c r="G653" s="2">
        <f t="shared" si="182"/>
        <v>4054911048940.1406</v>
      </c>
      <c r="H653" s="42">
        <f t="shared" si="183"/>
        <v>-251.48099999999977</v>
      </c>
      <c r="I653" s="2">
        <f t="shared" si="184"/>
        <v>63242.693360999881</v>
      </c>
      <c r="J653" s="4">
        <f t="shared" si="185"/>
        <v>724579.07319000084</v>
      </c>
      <c r="K653" s="2">
        <f t="shared" si="186"/>
        <v>525014833304.88062</v>
      </c>
      <c r="L653" s="2">
        <f t="shared" si="187"/>
        <v>-182217869.90489444</v>
      </c>
      <c r="N653" s="42">
        <f t="shared" si="188"/>
        <v>1225418.0186319717</v>
      </c>
      <c r="O653" s="42">
        <f t="shared" si="189"/>
        <v>4055636339.7938418</v>
      </c>
      <c r="P653" s="4">
        <f t="shared" si="190"/>
        <v>788262.9513680283</v>
      </c>
      <c r="Q653" s="4">
        <f t="shared" si="191"/>
        <v>621358480499.43457</v>
      </c>
      <c r="R653" s="43">
        <f t="shared" si="192"/>
        <v>1.0079670751290746E-3</v>
      </c>
      <c r="S653" s="4">
        <f t="shared" si="193"/>
        <v>0.64812405580988508</v>
      </c>
      <c r="T653" s="30">
        <f t="shared" si="194"/>
        <v>1149531.4401890168</v>
      </c>
      <c r="U653" s="31">
        <f t="shared" si="195"/>
        <v>1301304.5970749266</v>
      </c>
      <c r="V653" s="31">
        <f t="shared" si="196"/>
        <v>3616844.9136105981</v>
      </c>
      <c r="W653" s="42">
        <f t="shared" si="197"/>
        <v>3616863.9473304385</v>
      </c>
    </row>
    <row r="654" spans="2:23" x14ac:dyDescent="0.3">
      <c r="B654" s="2">
        <v>646</v>
      </c>
      <c r="C654" s="2">
        <v>3551</v>
      </c>
      <c r="D654" s="4">
        <v>388053.28</v>
      </c>
      <c r="E654" s="4">
        <f t="shared" si="180"/>
        <v>1377977197.2800002</v>
      </c>
      <c r="F654" s="2">
        <f t="shared" si="181"/>
        <v>12609601</v>
      </c>
      <c r="G654" s="2">
        <f t="shared" si="182"/>
        <v>150585348118.75842</v>
      </c>
      <c r="H654" s="42">
        <f t="shared" si="183"/>
        <v>-1473.4809999999998</v>
      </c>
      <c r="I654" s="2">
        <f t="shared" si="184"/>
        <v>2171146.2573609995</v>
      </c>
      <c r="J654" s="4">
        <f t="shared" si="185"/>
        <v>-901048.6168099991</v>
      </c>
      <c r="K654" s="2">
        <f t="shared" si="186"/>
        <v>811888609855.21265</v>
      </c>
      <c r="L654" s="2">
        <f t="shared" si="187"/>
        <v>1327678016.9458141</v>
      </c>
      <c r="N654" s="42">
        <f t="shared" si="188"/>
        <v>915964.42518535024</v>
      </c>
      <c r="O654" s="42">
        <f t="shared" si="189"/>
        <v>139231572730.43567</v>
      </c>
      <c r="P654" s="4">
        <f t="shared" si="190"/>
        <v>-527911.14518535021</v>
      </c>
      <c r="Q654" s="4">
        <f t="shared" si="191"/>
        <v>278690177210.9079</v>
      </c>
      <c r="R654" s="43">
        <f t="shared" si="192"/>
        <v>1.2735127874751696E-3</v>
      </c>
      <c r="S654" s="4">
        <f t="shared" si="193"/>
        <v>-0.43411579260697153</v>
      </c>
      <c r="T654" s="30">
        <f t="shared" si="194"/>
        <v>830665.52062836103</v>
      </c>
      <c r="U654" s="31">
        <f t="shared" si="195"/>
        <v>1001263.3297423394</v>
      </c>
      <c r="V654" s="31">
        <f t="shared" si="196"/>
        <v>3307074.0972197116</v>
      </c>
      <c r="W654" s="42">
        <f t="shared" si="197"/>
        <v>3307727.5322298827</v>
      </c>
    </row>
    <row r="655" spans="2:23" x14ac:dyDescent="0.3">
      <c r="B655" s="2">
        <v>647</v>
      </c>
      <c r="C655" s="2">
        <v>4923</v>
      </c>
      <c r="D655" s="4">
        <v>2152335.6</v>
      </c>
      <c r="E655" s="4">
        <f t="shared" si="180"/>
        <v>10595948158.800001</v>
      </c>
      <c r="F655" s="2">
        <f t="shared" si="181"/>
        <v>24235929</v>
      </c>
      <c r="G655" s="2">
        <f t="shared" si="182"/>
        <v>4632548535027.3604</v>
      </c>
      <c r="H655" s="42">
        <f t="shared" si="183"/>
        <v>-101.48099999999977</v>
      </c>
      <c r="I655" s="2">
        <f t="shared" si="184"/>
        <v>10298.393360999953</v>
      </c>
      <c r="J655" s="4">
        <f t="shared" si="185"/>
        <v>863233.70319000096</v>
      </c>
      <c r="K655" s="2">
        <f t="shared" si="186"/>
        <v>745172426323.12268</v>
      </c>
      <c r="L655" s="2">
        <f t="shared" si="187"/>
        <v>-87601819.433424279</v>
      </c>
      <c r="N655" s="42">
        <f t="shared" si="188"/>
        <v>1263403.3206098711</v>
      </c>
      <c r="O655" s="42">
        <f t="shared" si="189"/>
        <v>660416818.71378875</v>
      </c>
      <c r="P655" s="4">
        <f t="shared" si="190"/>
        <v>888932.27939012903</v>
      </c>
      <c r="Q655" s="4">
        <f t="shared" si="191"/>
        <v>790200597341.73047</v>
      </c>
      <c r="R655" s="43">
        <f t="shared" si="192"/>
        <v>1.0012973526150682E-3</v>
      </c>
      <c r="S655" s="4">
        <f t="shared" si="193"/>
        <v>0.73089375821632951</v>
      </c>
      <c r="T655" s="30">
        <f t="shared" si="194"/>
        <v>1187768.2297906613</v>
      </c>
      <c r="U655" s="31">
        <f t="shared" si="195"/>
        <v>1339038.4114290809</v>
      </c>
      <c r="V655" s="31">
        <f t="shared" si="196"/>
        <v>3654838.1827484295</v>
      </c>
      <c r="W655" s="42">
        <f t="shared" si="197"/>
        <v>3654841.2821852751</v>
      </c>
    </row>
    <row r="656" spans="2:23" x14ac:dyDescent="0.3">
      <c r="B656" s="2">
        <v>648</v>
      </c>
      <c r="C656" s="2">
        <v>3737</v>
      </c>
      <c r="D656" s="4">
        <v>34866.21</v>
      </c>
      <c r="E656" s="4">
        <f t="shared" si="180"/>
        <v>130295026.77</v>
      </c>
      <c r="F656" s="2">
        <f t="shared" si="181"/>
        <v>13965169</v>
      </c>
      <c r="G656" s="2">
        <f t="shared" si="182"/>
        <v>1215652599.7640998</v>
      </c>
      <c r="H656" s="42">
        <f t="shared" si="183"/>
        <v>-1287.4809999999998</v>
      </c>
      <c r="I656" s="2">
        <f t="shared" si="184"/>
        <v>1657607.3253609994</v>
      </c>
      <c r="J656" s="4">
        <f t="shared" si="185"/>
        <v>-1254235.6868099992</v>
      </c>
      <c r="K656" s="2">
        <f t="shared" si="186"/>
        <v>1573107158067.7502</v>
      </c>
      <c r="L656" s="2">
        <f t="shared" si="187"/>
        <v>1614804616.2898242</v>
      </c>
      <c r="N656" s="42">
        <f t="shared" si="188"/>
        <v>963066.19963794574</v>
      </c>
      <c r="O656" s="42">
        <f t="shared" si="189"/>
        <v>106299275830.4669</v>
      </c>
      <c r="P656" s="4">
        <f t="shared" si="190"/>
        <v>-928199.98963794578</v>
      </c>
      <c r="Q656" s="4">
        <f t="shared" si="191"/>
        <v>861555220763.88269</v>
      </c>
      <c r="R656" s="43">
        <f t="shared" si="192"/>
        <v>1.2088190966230996E-3</v>
      </c>
      <c r="S656" s="4">
        <f t="shared" si="193"/>
        <v>-0.7632595520046348</v>
      </c>
      <c r="T656" s="30">
        <f t="shared" si="194"/>
        <v>879962.09880568844</v>
      </c>
      <c r="U656" s="31">
        <f t="shared" si="195"/>
        <v>1046170.300470203</v>
      </c>
      <c r="V656" s="31">
        <f t="shared" si="196"/>
        <v>3354253.1591289337</v>
      </c>
      <c r="W656" s="42">
        <f t="shared" si="197"/>
        <v>3354752.0378440907</v>
      </c>
    </row>
    <row r="657" spans="2:23" x14ac:dyDescent="0.3">
      <c r="B657" s="2">
        <v>649</v>
      </c>
      <c r="C657" s="2">
        <v>1872</v>
      </c>
      <c r="D657" s="4">
        <v>152998.56</v>
      </c>
      <c r="E657" s="4">
        <f t="shared" si="180"/>
        <v>286413304.31999999</v>
      </c>
      <c r="F657" s="2">
        <f t="shared" si="181"/>
        <v>3504384</v>
      </c>
      <c r="G657" s="2">
        <f t="shared" si="182"/>
        <v>23408559362.073601</v>
      </c>
      <c r="H657" s="42">
        <f t="shared" si="183"/>
        <v>-3152.4809999999998</v>
      </c>
      <c r="I657" s="2">
        <f t="shared" si="184"/>
        <v>9938136.4553609993</v>
      </c>
      <c r="J657" s="4">
        <f t="shared" si="185"/>
        <v>-1136103.3368099991</v>
      </c>
      <c r="K657" s="2">
        <f t="shared" si="186"/>
        <v>1290730791910.8142</v>
      </c>
      <c r="L657" s="2">
        <f t="shared" si="187"/>
        <v>3581544183.3301225</v>
      </c>
      <c r="N657" s="42">
        <f t="shared" si="188"/>
        <v>490782.27837939514</v>
      </c>
      <c r="O657" s="42">
        <f t="shared" si="189"/>
        <v>637314213171.18518</v>
      </c>
      <c r="P657" s="4">
        <f t="shared" si="190"/>
        <v>-337783.71837939514</v>
      </c>
      <c r="Q657" s="4">
        <f t="shared" si="191"/>
        <v>114097840402.21053</v>
      </c>
      <c r="R657" s="43">
        <f t="shared" si="192"/>
        <v>2.2519688137078039E-3</v>
      </c>
      <c r="S657" s="4">
        <f t="shared" si="193"/>
        <v>-0.27790496813816085</v>
      </c>
      <c r="T657" s="30">
        <f t="shared" si="194"/>
        <v>377353.57053629484</v>
      </c>
      <c r="U657" s="31">
        <f t="shared" si="195"/>
        <v>604210.98622249544</v>
      </c>
      <c r="V657" s="31">
        <f t="shared" si="196"/>
        <v>2880722.7159325867</v>
      </c>
      <c r="W657" s="42">
        <f t="shared" si="197"/>
        <v>2883713.7293122564</v>
      </c>
    </row>
    <row r="658" spans="2:23" x14ac:dyDescent="0.3">
      <c r="B658" s="2">
        <v>650</v>
      </c>
      <c r="C658" s="2">
        <v>3241</v>
      </c>
      <c r="D658" s="4">
        <v>1367345.49</v>
      </c>
      <c r="E658" s="4">
        <f t="shared" si="180"/>
        <v>4431566733.0900002</v>
      </c>
      <c r="F658" s="2">
        <f t="shared" si="181"/>
        <v>10504081</v>
      </c>
      <c r="G658" s="2">
        <f t="shared" si="182"/>
        <v>1869633689023.3401</v>
      </c>
      <c r="H658" s="42">
        <f t="shared" si="183"/>
        <v>-1783.4809999999998</v>
      </c>
      <c r="I658" s="2">
        <f t="shared" si="184"/>
        <v>3180804.4773609992</v>
      </c>
      <c r="J658" s="4">
        <f t="shared" si="185"/>
        <v>78243.593190000858</v>
      </c>
      <c r="K658" s="2">
        <f t="shared" si="186"/>
        <v>6122059875.2823486</v>
      </c>
      <c r="L658" s="2">
        <f t="shared" si="187"/>
        <v>-139545961.82609591</v>
      </c>
      <c r="N658" s="42">
        <f t="shared" si="188"/>
        <v>837461.46776435804</v>
      </c>
      <c r="O658" s="42">
        <f t="shared" si="189"/>
        <v>203979077148.53076</v>
      </c>
      <c r="P658" s="4">
        <f t="shared" si="190"/>
        <v>529884.02223564195</v>
      </c>
      <c r="Q658" s="4">
        <f t="shared" si="191"/>
        <v>280777077020.62231</v>
      </c>
      <c r="R658" s="43">
        <f t="shared" si="192"/>
        <v>1.4007057083634566E-3</v>
      </c>
      <c r="S658" s="4">
        <f t="shared" si="193"/>
        <v>0.43576589282665806</v>
      </c>
      <c r="T658" s="30">
        <f t="shared" si="194"/>
        <v>748004.27860844845</v>
      </c>
      <c r="U658" s="31">
        <f t="shared" si="195"/>
        <v>926918.65692026762</v>
      </c>
      <c r="V658" s="31">
        <f t="shared" si="196"/>
        <v>3228419.1792522082</v>
      </c>
      <c r="W658" s="42">
        <f t="shared" si="197"/>
        <v>3229376.4841878871</v>
      </c>
    </row>
    <row r="659" spans="2:23" x14ac:dyDescent="0.3">
      <c r="B659" s="2">
        <v>651</v>
      </c>
      <c r="C659" s="2">
        <v>8786</v>
      </c>
      <c r="D659" s="4">
        <v>3706725.54</v>
      </c>
      <c r="E659" s="4">
        <f t="shared" si="180"/>
        <v>32567290594.439999</v>
      </c>
      <c r="F659" s="2">
        <f t="shared" si="181"/>
        <v>77193796</v>
      </c>
      <c r="G659" s="2">
        <f t="shared" si="182"/>
        <v>13739814228888.291</v>
      </c>
      <c r="H659" s="42">
        <f t="shared" si="183"/>
        <v>3761.5190000000002</v>
      </c>
      <c r="I659" s="2">
        <f t="shared" si="184"/>
        <v>14149025.187361002</v>
      </c>
      <c r="J659" s="4">
        <f t="shared" si="185"/>
        <v>2417623.6431900011</v>
      </c>
      <c r="K659" s="2">
        <f t="shared" si="186"/>
        <v>5844904080111.2939</v>
      </c>
      <c r="L659" s="2">
        <f t="shared" si="187"/>
        <v>9093937268.7084103</v>
      </c>
      <c r="N659" s="42">
        <f t="shared" si="188"/>
        <v>2241651.4642140432</v>
      </c>
      <c r="O659" s="42">
        <f t="shared" si="189"/>
        <v>907350678361.63159</v>
      </c>
      <c r="P659" s="4">
        <f t="shared" si="190"/>
        <v>1465074.0757859568</v>
      </c>
      <c r="Q659" s="4">
        <f t="shared" si="191"/>
        <v>2146442047540.0754</v>
      </c>
      <c r="R659" s="43">
        <f t="shared" si="192"/>
        <v>2.7824406374885834E-3</v>
      </c>
      <c r="S659" s="4">
        <f t="shared" si="193"/>
        <v>1.2056816840915423</v>
      </c>
      <c r="T659" s="30">
        <f t="shared" si="194"/>
        <v>2115568.9813437969</v>
      </c>
      <c r="U659" s="31">
        <f t="shared" si="195"/>
        <v>2367733.9470842895</v>
      </c>
      <c r="V659" s="31">
        <f t="shared" si="196"/>
        <v>4630957.759842163</v>
      </c>
      <c r="W659" s="42">
        <f t="shared" si="197"/>
        <v>4635216.0966372872</v>
      </c>
    </row>
    <row r="660" spans="2:23" x14ac:dyDescent="0.3">
      <c r="B660" s="2">
        <v>652</v>
      </c>
      <c r="C660" s="2">
        <v>1480</v>
      </c>
      <c r="D660" s="4">
        <v>989039.6</v>
      </c>
      <c r="E660" s="4">
        <f t="shared" si="180"/>
        <v>1463778608</v>
      </c>
      <c r="F660" s="2">
        <f t="shared" si="181"/>
        <v>2190400</v>
      </c>
      <c r="G660" s="2">
        <f t="shared" si="182"/>
        <v>978199330368.15991</v>
      </c>
      <c r="H660" s="42">
        <f t="shared" si="183"/>
        <v>-3544.4809999999998</v>
      </c>
      <c r="I660" s="2">
        <f t="shared" si="184"/>
        <v>12563345.559360998</v>
      </c>
      <c r="J660" s="4">
        <f t="shared" si="185"/>
        <v>-300062.29680999916</v>
      </c>
      <c r="K660" s="2">
        <f t="shared" si="186"/>
        <v>90037381966.892029</v>
      </c>
      <c r="L660" s="2">
        <f t="shared" si="187"/>
        <v>1063565109.8594025</v>
      </c>
      <c r="N660" s="42">
        <f t="shared" si="188"/>
        <v>391514.02254381776</v>
      </c>
      <c r="O660" s="42">
        <f t="shared" si="189"/>
        <v>805663992029.68225</v>
      </c>
      <c r="P660" s="4">
        <f t="shared" si="190"/>
        <v>597525.57745618222</v>
      </c>
      <c r="Q660" s="4">
        <f t="shared" si="191"/>
        <v>357036815714.34399</v>
      </c>
      <c r="R660" s="43">
        <f t="shared" si="192"/>
        <v>2.5826827199247832E-3</v>
      </c>
      <c r="S660" s="4">
        <f t="shared" si="193"/>
        <v>0.49168401183671195</v>
      </c>
      <c r="T660" s="30">
        <f t="shared" si="194"/>
        <v>270041.7022648328</v>
      </c>
      <c r="U660" s="31">
        <f t="shared" si="195"/>
        <v>512986.34282280272</v>
      </c>
      <c r="V660" s="31">
        <f t="shared" si="196"/>
        <v>2781059.1345308116</v>
      </c>
      <c r="W660" s="42">
        <f t="shared" si="197"/>
        <v>2784840.239693217</v>
      </c>
    </row>
    <row r="661" spans="2:23" x14ac:dyDescent="0.3">
      <c r="B661" s="2">
        <v>653</v>
      </c>
      <c r="C661" s="2">
        <v>1328</v>
      </c>
      <c r="D661" s="4">
        <v>864806.88</v>
      </c>
      <c r="E661" s="4">
        <f t="shared" si="180"/>
        <v>1148463536.6400001</v>
      </c>
      <c r="F661" s="2">
        <f t="shared" si="181"/>
        <v>1763584</v>
      </c>
      <c r="G661" s="2">
        <f t="shared" si="182"/>
        <v>747890939695.33435</v>
      </c>
      <c r="H661" s="42">
        <f t="shared" si="183"/>
        <v>-3696.4809999999998</v>
      </c>
      <c r="I661" s="2">
        <f t="shared" si="184"/>
        <v>13663971.783360999</v>
      </c>
      <c r="J661" s="4">
        <f t="shared" si="185"/>
        <v>-424295.01680999913</v>
      </c>
      <c r="K661" s="2">
        <f t="shared" si="186"/>
        <v>180026261289.79745</v>
      </c>
      <c r="L661" s="2">
        <f t="shared" si="187"/>
        <v>1568398468.0328424</v>
      </c>
      <c r="N661" s="42">
        <f t="shared" si="188"/>
        <v>353022.24987287959</v>
      </c>
      <c r="O661" s="42">
        <f t="shared" si="189"/>
        <v>876245105409.92236</v>
      </c>
      <c r="P661" s="4">
        <f t="shared" si="190"/>
        <v>511784.63012712041</v>
      </c>
      <c r="Q661" s="4">
        <f t="shared" si="191"/>
        <v>261923507634.35345</v>
      </c>
      <c r="R661" s="43">
        <f t="shared" si="192"/>
        <v>2.7213354456330991E-3</v>
      </c>
      <c r="S661" s="4">
        <f t="shared" si="193"/>
        <v>0.42115989952233379</v>
      </c>
      <c r="T661" s="30">
        <f t="shared" si="194"/>
        <v>228331.90159939218</v>
      </c>
      <c r="U661" s="31">
        <f t="shared" si="195"/>
        <v>477712.598146367</v>
      </c>
      <c r="V661" s="31">
        <f t="shared" si="196"/>
        <v>2742401.6010564314</v>
      </c>
      <c r="W661" s="42">
        <f t="shared" si="197"/>
        <v>2746513.9544862998</v>
      </c>
    </row>
    <row r="662" spans="2:23" x14ac:dyDescent="0.3">
      <c r="B662" s="2">
        <v>654</v>
      </c>
      <c r="C662" s="2">
        <v>366</v>
      </c>
      <c r="D662" s="4">
        <v>244586.82</v>
      </c>
      <c r="E662" s="4">
        <f t="shared" si="180"/>
        <v>89518776.120000005</v>
      </c>
      <c r="F662" s="2">
        <f t="shared" si="181"/>
        <v>133956</v>
      </c>
      <c r="G662" s="2">
        <f t="shared" si="182"/>
        <v>59822712517.712402</v>
      </c>
      <c r="H662" s="42">
        <f t="shared" si="183"/>
        <v>-4658.4809999999998</v>
      </c>
      <c r="I662" s="2">
        <f t="shared" si="184"/>
        <v>21701445.227360997</v>
      </c>
      <c r="J662" s="4">
        <f t="shared" si="185"/>
        <v>-1044515.0768099991</v>
      </c>
      <c r="K662" s="2">
        <f t="shared" si="186"/>
        <v>1091011745683.3982</v>
      </c>
      <c r="L662" s="2">
        <f t="shared" si="187"/>
        <v>4865853639.5329208</v>
      </c>
      <c r="N662" s="42">
        <f t="shared" si="188"/>
        <v>109409.84652128408</v>
      </c>
      <c r="O662" s="42">
        <f t="shared" si="189"/>
        <v>1391673333514.3918</v>
      </c>
      <c r="P662" s="4">
        <f t="shared" si="190"/>
        <v>135176.97347871593</v>
      </c>
      <c r="Q662" s="4">
        <f t="shared" si="191"/>
        <v>18272814158.865467</v>
      </c>
      <c r="R662" s="43">
        <f t="shared" si="192"/>
        <v>3.7338659273880039E-3</v>
      </c>
      <c r="S662" s="4">
        <f t="shared" si="193"/>
        <v>0.11129690134732481</v>
      </c>
      <c r="T662" s="30">
        <f t="shared" si="194"/>
        <v>-36646.744036664721</v>
      </c>
      <c r="U662" s="31">
        <f t="shared" si="195"/>
        <v>255466.43707923288</v>
      </c>
      <c r="V662" s="31">
        <f t="shared" si="196"/>
        <v>2497578.3579897443</v>
      </c>
      <c r="W662" s="42">
        <f t="shared" si="197"/>
        <v>2504109.6992682014</v>
      </c>
    </row>
    <row r="663" spans="2:23" x14ac:dyDescent="0.3">
      <c r="B663" s="2">
        <v>655</v>
      </c>
      <c r="C663" s="2">
        <v>7661</v>
      </c>
      <c r="D663" s="4">
        <v>5119616.47</v>
      </c>
      <c r="E663" s="4">
        <f t="shared" si="180"/>
        <v>39221381776.669998</v>
      </c>
      <c r="F663" s="2">
        <f t="shared" si="181"/>
        <v>58690921</v>
      </c>
      <c r="G663" s="2">
        <f t="shared" si="182"/>
        <v>26210472799895.258</v>
      </c>
      <c r="H663" s="42">
        <f t="shared" si="183"/>
        <v>2636.5190000000002</v>
      </c>
      <c r="I663" s="2">
        <f t="shared" si="184"/>
        <v>6951232.437361001</v>
      </c>
      <c r="J663" s="4">
        <f t="shared" si="185"/>
        <v>3830514.5731900008</v>
      </c>
      <c r="K663" s="2">
        <f t="shared" si="186"/>
        <v>14672841895420.975</v>
      </c>
      <c r="L663" s="2">
        <f t="shared" si="187"/>
        <v>10099224451.992329</v>
      </c>
      <c r="N663" s="42">
        <f t="shared" si="188"/>
        <v>1956761.6993797969</v>
      </c>
      <c r="O663" s="42">
        <f t="shared" si="189"/>
        <v>445769611967.54126</v>
      </c>
      <c r="P663" s="4">
        <f t="shared" si="190"/>
        <v>3162854.7706202026</v>
      </c>
      <c r="Q663" s="4">
        <f t="shared" si="191"/>
        <v>10003650300034.975</v>
      </c>
      <c r="R663" s="43">
        <f t="shared" si="192"/>
        <v>1.8756899512800999E-3</v>
      </c>
      <c r="S663" s="4">
        <f t="shared" si="193"/>
        <v>2.6016865543376295</v>
      </c>
      <c r="T663" s="30">
        <f t="shared" si="194"/>
        <v>1853242.1614916958</v>
      </c>
      <c r="U663" s="31">
        <f t="shared" si="195"/>
        <v>2060281.2372678979</v>
      </c>
      <c r="V663" s="31">
        <f t="shared" si="196"/>
        <v>4347151.8499808088</v>
      </c>
      <c r="W663" s="42">
        <f t="shared" si="197"/>
        <v>4349243.9149511606</v>
      </c>
    </row>
    <row r="664" spans="2:23" x14ac:dyDescent="0.3">
      <c r="B664" s="2">
        <v>656</v>
      </c>
      <c r="C664" s="2">
        <v>4313</v>
      </c>
      <c r="D664" s="4">
        <v>1885643.5999999999</v>
      </c>
      <c r="E664" s="4">
        <f t="shared" si="180"/>
        <v>8132780846.7999992</v>
      </c>
      <c r="F664" s="2">
        <f t="shared" si="181"/>
        <v>18601969</v>
      </c>
      <c r="G664" s="2">
        <f t="shared" si="182"/>
        <v>3555651786220.9595</v>
      </c>
      <c r="H664" s="42">
        <f t="shared" si="183"/>
        <v>-711.48099999999977</v>
      </c>
      <c r="I664" s="2">
        <f t="shared" si="184"/>
        <v>506205.21336099965</v>
      </c>
      <c r="J664" s="4">
        <f t="shared" si="185"/>
        <v>596541.70319000073</v>
      </c>
      <c r="K664" s="2">
        <f t="shared" si="186"/>
        <v>355862003644.8269</v>
      </c>
      <c r="L664" s="2">
        <f t="shared" si="187"/>
        <v>-424428087.5273248</v>
      </c>
      <c r="N664" s="42">
        <f t="shared" si="188"/>
        <v>1108929.7592330799</v>
      </c>
      <c r="O664" s="42">
        <f t="shared" si="189"/>
        <v>32461999159.036327</v>
      </c>
      <c r="P664" s="4">
        <f t="shared" si="190"/>
        <v>776713.84076692001</v>
      </c>
      <c r="Q664" s="4">
        <f t="shared" si="191"/>
        <v>603284390438.90039</v>
      </c>
      <c r="R664" s="43">
        <f t="shared" si="192"/>
        <v>1.0637698167368598E-3</v>
      </c>
      <c r="S664" s="4">
        <f t="shared" si="193"/>
        <v>0.63864600551390061</v>
      </c>
      <c r="T664" s="30">
        <f t="shared" si="194"/>
        <v>1030970.8721687497</v>
      </c>
      <c r="U664" s="31">
        <f t="shared" si="195"/>
        <v>1186888.6462974099</v>
      </c>
      <c r="V664" s="31">
        <f t="shared" si="196"/>
        <v>3500289.9953210237</v>
      </c>
      <c r="W664" s="42">
        <f t="shared" si="197"/>
        <v>3500442.3444337104</v>
      </c>
    </row>
    <row r="665" spans="2:23" x14ac:dyDescent="0.3">
      <c r="B665" s="2">
        <v>657</v>
      </c>
      <c r="C665" s="2">
        <v>8451</v>
      </c>
      <c r="D665" s="4">
        <v>3694777.1999999997</v>
      </c>
      <c r="E665" s="4">
        <f t="shared" si="180"/>
        <v>31224562117.199997</v>
      </c>
      <c r="F665" s="2">
        <f t="shared" si="181"/>
        <v>71419401</v>
      </c>
      <c r="G665" s="2">
        <f t="shared" si="182"/>
        <v>13651378557639.838</v>
      </c>
      <c r="H665" s="42">
        <f t="shared" si="183"/>
        <v>3426.5190000000002</v>
      </c>
      <c r="I665" s="2">
        <f t="shared" si="184"/>
        <v>11741032.457361002</v>
      </c>
      <c r="J665" s="4">
        <f t="shared" si="185"/>
        <v>2405675.3031900004</v>
      </c>
      <c r="K665" s="2">
        <f t="shared" si="186"/>
        <v>5787273664378.2998</v>
      </c>
      <c r="L665" s="2">
        <f t="shared" si="187"/>
        <v>8243092134.211297</v>
      </c>
      <c r="N665" s="42">
        <f t="shared" si="188"/>
        <v>2156817.6231300677</v>
      </c>
      <c r="O665" s="42">
        <f t="shared" si="189"/>
        <v>752930581703.16418</v>
      </c>
      <c r="P665" s="4">
        <f t="shared" si="190"/>
        <v>1537959.576869932</v>
      </c>
      <c r="Q665" s="4">
        <f t="shared" si="191"/>
        <v>2365319660085.9404</v>
      </c>
      <c r="R665" s="43">
        <f t="shared" si="192"/>
        <v>2.479090827880278E-3</v>
      </c>
      <c r="S665" s="4">
        <f t="shared" si="193"/>
        <v>1.2654702951345524</v>
      </c>
      <c r="T665" s="30">
        <f t="shared" si="194"/>
        <v>2037806.3727644794</v>
      </c>
      <c r="U665" s="31">
        <f t="shared" si="195"/>
        <v>2275828.8734956561</v>
      </c>
      <c r="V665" s="31">
        <f t="shared" si="196"/>
        <v>4546486.5728177261</v>
      </c>
      <c r="W665" s="42">
        <f t="shared" si="197"/>
        <v>4550020.1918263063</v>
      </c>
    </row>
    <row r="666" spans="2:23" x14ac:dyDescent="0.3">
      <c r="B666" s="2">
        <v>658</v>
      </c>
      <c r="C666" s="2">
        <v>236</v>
      </c>
      <c r="D666" s="4">
        <v>153685.56</v>
      </c>
      <c r="E666" s="4">
        <f t="shared" si="180"/>
        <v>36269792.159999996</v>
      </c>
      <c r="F666" s="2">
        <f t="shared" si="181"/>
        <v>55696</v>
      </c>
      <c r="G666" s="2">
        <f t="shared" si="182"/>
        <v>23619251352.513599</v>
      </c>
      <c r="H666" s="42">
        <f t="shared" si="183"/>
        <v>-4788.4809999999998</v>
      </c>
      <c r="I666" s="2">
        <f t="shared" si="184"/>
        <v>22929550.287360996</v>
      </c>
      <c r="J666" s="4">
        <f t="shared" si="185"/>
        <v>-1135416.3368099991</v>
      </c>
      <c r="K666" s="2">
        <f t="shared" si="186"/>
        <v>1289170257895.0374</v>
      </c>
      <c r="L666" s="2">
        <f t="shared" si="187"/>
        <v>5436919555.9042807</v>
      </c>
      <c r="N666" s="42">
        <f t="shared" si="188"/>
        <v>76489.251473771175</v>
      </c>
      <c r="O666" s="42">
        <f t="shared" si="189"/>
        <v>1470429427629.3245</v>
      </c>
      <c r="P666" s="4">
        <f t="shared" si="190"/>
        <v>77196.308526228822</v>
      </c>
      <c r="Q666" s="4">
        <f t="shared" si="191"/>
        <v>5959270050.0767088</v>
      </c>
      <c r="R666" s="43">
        <f t="shared" si="192"/>
        <v>3.8885779543341966E-3</v>
      </c>
      <c r="S666" s="4">
        <f t="shared" si="193"/>
        <v>6.3563911088864111E-2</v>
      </c>
      <c r="T666" s="30">
        <f t="shared" si="194"/>
        <v>-72562.541151525773</v>
      </c>
      <c r="U666" s="31">
        <f t="shared" si="195"/>
        <v>225541.04409906812</v>
      </c>
      <c r="V666" s="31">
        <f t="shared" si="196"/>
        <v>2464472.6957065994</v>
      </c>
      <c r="W666" s="42">
        <f t="shared" si="197"/>
        <v>2471373.6524387756</v>
      </c>
    </row>
    <row r="667" spans="2:23" x14ac:dyDescent="0.3">
      <c r="B667" s="2">
        <v>659</v>
      </c>
      <c r="C667" s="2">
        <v>6861</v>
      </c>
      <c r="D667" s="4">
        <v>1046851.3800000001</v>
      </c>
      <c r="E667" s="4">
        <f t="shared" si="180"/>
        <v>7182447318.1800013</v>
      </c>
      <c r="F667" s="2">
        <f t="shared" si="181"/>
        <v>47073321</v>
      </c>
      <c r="G667" s="2">
        <f t="shared" si="182"/>
        <v>1095897811807.9047</v>
      </c>
      <c r="H667" s="42">
        <f t="shared" si="183"/>
        <v>1836.5190000000002</v>
      </c>
      <c r="I667" s="2">
        <f t="shared" si="184"/>
        <v>3372802.0373610007</v>
      </c>
      <c r="J667" s="4">
        <f t="shared" si="185"/>
        <v>-242250.51680999901</v>
      </c>
      <c r="K667" s="2">
        <f t="shared" si="186"/>
        <v>58685312894.711617</v>
      </c>
      <c r="L667" s="2">
        <f t="shared" si="187"/>
        <v>-444897676.88138264</v>
      </c>
      <c r="N667" s="42">
        <f t="shared" si="188"/>
        <v>1754173.4221643328</v>
      </c>
      <c r="O667" s="42">
        <f t="shared" si="189"/>
        <v>216291523695.40665</v>
      </c>
      <c r="P667" s="4">
        <f t="shared" si="190"/>
        <v>-707322.0421643327</v>
      </c>
      <c r="Q667" s="4">
        <f t="shared" si="191"/>
        <v>500304471331.52203</v>
      </c>
      <c r="R667" s="43">
        <f t="shared" si="192"/>
        <v>1.4248928342403939E-3</v>
      </c>
      <c r="S667" s="4">
        <f t="shared" si="193"/>
        <v>-0.58169437299895577</v>
      </c>
      <c r="T667" s="30">
        <f t="shared" si="194"/>
        <v>1663947.1737325604</v>
      </c>
      <c r="U667" s="31">
        <f t="shared" si="195"/>
        <v>1844399.6705961053</v>
      </c>
      <c r="V667" s="31">
        <f t="shared" si="196"/>
        <v>4145102.2355983136</v>
      </c>
      <c r="W667" s="42">
        <f t="shared" si="197"/>
        <v>4146117.3247270091</v>
      </c>
    </row>
    <row r="668" spans="2:23" x14ac:dyDescent="0.3">
      <c r="B668" s="2">
        <v>660</v>
      </c>
      <c r="C668" s="2">
        <v>7549</v>
      </c>
      <c r="D668" s="4">
        <v>824954.72</v>
      </c>
      <c r="E668" s="4">
        <f t="shared" si="180"/>
        <v>6227583181.2799997</v>
      </c>
      <c r="F668" s="2">
        <f t="shared" si="181"/>
        <v>56987401</v>
      </c>
      <c r="G668" s="2">
        <f t="shared" si="182"/>
        <v>680550290050.27832</v>
      </c>
      <c r="H668" s="42">
        <f t="shared" si="183"/>
        <v>2524.5190000000002</v>
      </c>
      <c r="I668" s="2">
        <f t="shared" si="184"/>
        <v>6373196.181361001</v>
      </c>
      <c r="J668" s="4">
        <f t="shared" si="185"/>
        <v>-464147.17680999916</v>
      </c>
      <c r="K668" s="2">
        <f t="shared" si="186"/>
        <v>215432601740.69263</v>
      </c>
      <c r="L668" s="2">
        <f t="shared" si="187"/>
        <v>-1171748366.6532023</v>
      </c>
      <c r="N668" s="42">
        <f t="shared" si="188"/>
        <v>1928399.3405696319</v>
      </c>
      <c r="O668" s="42">
        <f t="shared" si="189"/>
        <v>408701221597.60083</v>
      </c>
      <c r="P668" s="4">
        <f t="shared" si="190"/>
        <v>-1103444.6205696319</v>
      </c>
      <c r="Q668" s="4">
        <f t="shared" si="191"/>
        <v>1217590030664.0591</v>
      </c>
      <c r="R668" s="43">
        <f t="shared" si="192"/>
        <v>1.8028711316799687E-3</v>
      </c>
      <c r="S668" s="4">
        <f t="shared" si="193"/>
        <v>-0.90763330141164411</v>
      </c>
      <c r="T668" s="30">
        <f t="shared" si="194"/>
        <v>1826909.1329149166</v>
      </c>
      <c r="U668" s="31">
        <f t="shared" si="195"/>
        <v>2029889.5482243472</v>
      </c>
      <c r="V668" s="31">
        <f t="shared" si="196"/>
        <v>4318876.5114635723</v>
      </c>
      <c r="W668" s="42">
        <f t="shared" si="197"/>
        <v>4320794.6087789824</v>
      </c>
    </row>
    <row r="669" spans="2:23" x14ac:dyDescent="0.3">
      <c r="B669" s="2">
        <v>661</v>
      </c>
      <c r="C669" s="2">
        <v>8556</v>
      </c>
      <c r="D669" s="4">
        <v>1759969.2</v>
      </c>
      <c r="E669" s="4">
        <f t="shared" si="180"/>
        <v>15058296475.199999</v>
      </c>
      <c r="F669" s="2">
        <f t="shared" si="181"/>
        <v>73205136</v>
      </c>
      <c r="G669" s="2">
        <f t="shared" si="182"/>
        <v>3097491584948.6396</v>
      </c>
      <c r="H669" s="42">
        <f t="shared" si="183"/>
        <v>3531.5190000000002</v>
      </c>
      <c r="I669" s="2">
        <f t="shared" si="184"/>
        <v>12471626.447361002</v>
      </c>
      <c r="J669" s="4">
        <f t="shared" si="185"/>
        <v>470867.30319000082</v>
      </c>
      <c r="K669" s="2">
        <f t="shared" si="186"/>
        <v>221716017213.42416</v>
      </c>
      <c r="L669" s="2">
        <f t="shared" si="187"/>
        <v>1662876827.6942487</v>
      </c>
      <c r="N669" s="42">
        <f t="shared" si="188"/>
        <v>2183407.334514597</v>
      </c>
      <c r="O669" s="42">
        <f t="shared" si="189"/>
        <v>799782215908.01233</v>
      </c>
      <c r="P669" s="4">
        <f t="shared" si="190"/>
        <v>-423438.13451459701</v>
      </c>
      <c r="Q669" s="4">
        <f t="shared" si="191"/>
        <v>179299853761.20197</v>
      </c>
      <c r="R669" s="43">
        <f t="shared" si="192"/>
        <v>2.5711282933619422E-3</v>
      </c>
      <c r="S669" s="4">
        <f t="shared" si="193"/>
        <v>-0.34843120142612571</v>
      </c>
      <c r="T669" s="30">
        <f t="shared" si="194"/>
        <v>2062207.0407431745</v>
      </c>
      <c r="U669" s="31">
        <f t="shared" si="195"/>
        <v>2304607.6282860194</v>
      </c>
      <c r="V669" s="31">
        <f t="shared" si="196"/>
        <v>4572966.2594219986</v>
      </c>
      <c r="W669" s="42">
        <f t="shared" si="197"/>
        <v>4576719.7604863867</v>
      </c>
    </row>
    <row r="670" spans="2:23" x14ac:dyDescent="0.3">
      <c r="B670" s="2">
        <v>662</v>
      </c>
      <c r="C670" s="2">
        <v>8166</v>
      </c>
      <c r="D670" s="4">
        <v>2084616.48</v>
      </c>
      <c r="E670" s="4">
        <f t="shared" si="180"/>
        <v>17022978175.68</v>
      </c>
      <c r="F670" s="2">
        <f t="shared" si="181"/>
        <v>66683556</v>
      </c>
      <c r="G670" s="2">
        <f t="shared" si="182"/>
        <v>4345625868687.5903</v>
      </c>
      <c r="H670" s="42">
        <f t="shared" si="183"/>
        <v>3141.5190000000002</v>
      </c>
      <c r="I670" s="2">
        <f t="shared" si="184"/>
        <v>9869141.6273610014</v>
      </c>
      <c r="J670" s="4">
        <f t="shared" si="185"/>
        <v>795514.58319000085</v>
      </c>
      <c r="K670" s="2">
        <f t="shared" si="186"/>
        <v>632843452067.96082</v>
      </c>
      <c r="L670" s="2">
        <f t="shared" si="187"/>
        <v>2499124177.8684683</v>
      </c>
      <c r="N670" s="42">
        <f t="shared" si="188"/>
        <v>2084645.5493720584</v>
      </c>
      <c r="O670" s="42">
        <f t="shared" si="189"/>
        <v>632889703131.78235</v>
      </c>
      <c r="P670" s="4">
        <f t="shared" si="190"/>
        <v>-29.069372058380395</v>
      </c>
      <c r="Q670" s="4">
        <f t="shared" si="191"/>
        <v>845.02839186854681</v>
      </c>
      <c r="R670" s="43">
        <f t="shared" si="192"/>
        <v>2.2432771064293698E-3</v>
      </c>
      <c r="S670" s="4">
        <f t="shared" si="193"/>
        <v>-2.3916154891509039E-5</v>
      </c>
      <c r="T670" s="30">
        <f t="shared" si="194"/>
        <v>1971435.9480825458</v>
      </c>
      <c r="U670" s="31">
        <f t="shared" si="195"/>
        <v>2197855.150661571</v>
      </c>
      <c r="V670" s="31">
        <f t="shared" si="196"/>
        <v>4474596.3758517094</v>
      </c>
      <c r="W670" s="42">
        <f t="shared" si="197"/>
        <v>4477566.6243189164</v>
      </c>
    </row>
    <row r="671" spans="2:23" x14ac:dyDescent="0.3">
      <c r="B671" s="2">
        <v>663</v>
      </c>
      <c r="C671" s="2">
        <v>1698</v>
      </c>
      <c r="D671" s="4">
        <v>742365.6</v>
      </c>
      <c r="E671" s="4">
        <f t="shared" si="180"/>
        <v>1260536788.8</v>
      </c>
      <c r="F671" s="2">
        <f t="shared" si="181"/>
        <v>2883204</v>
      </c>
      <c r="G671" s="2">
        <f t="shared" si="182"/>
        <v>551106684063.35999</v>
      </c>
      <c r="H671" s="42">
        <f t="shared" si="183"/>
        <v>-3326.4809999999998</v>
      </c>
      <c r="I671" s="2">
        <f t="shared" si="184"/>
        <v>11065475.843360998</v>
      </c>
      <c r="J671" s="4">
        <f t="shared" si="185"/>
        <v>-546736.29680999916</v>
      </c>
      <c r="K671" s="2">
        <f t="shared" si="186"/>
        <v>298920578249.51147</v>
      </c>
      <c r="L671" s="2">
        <f t="shared" si="187"/>
        <v>1818707903.3488226</v>
      </c>
      <c r="N671" s="42">
        <f t="shared" si="188"/>
        <v>446719.32808503171</v>
      </c>
      <c r="O671" s="42">
        <f t="shared" si="189"/>
        <v>709608392091.67444</v>
      </c>
      <c r="P671" s="4">
        <f t="shared" si="190"/>
        <v>295646.27191496827</v>
      </c>
      <c r="Q671" s="4">
        <f t="shared" si="191"/>
        <v>87406718097.21936</v>
      </c>
      <c r="R671" s="43">
        <f t="shared" si="192"/>
        <v>2.3939867627045782E-3</v>
      </c>
      <c r="S671" s="4">
        <f t="shared" si="193"/>
        <v>0.24325451851853619</v>
      </c>
      <c r="T671" s="30">
        <f t="shared" si="194"/>
        <v>329768.66968647158</v>
      </c>
      <c r="U671" s="31">
        <f t="shared" si="195"/>
        <v>563669.98648359184</v>
      </c>
      <c r="V671" s="31">
        <f t="shared" si="196"/>
        <v>2836490.0096181026</v>
      </c>
      <c r="W671" s="42">
        <f t="shared" si="197"/>
        <v>2839820.3108269949</v>
      </c>
    </row>
    <row r="672" spans="2:23" x14ac:dyDescent="0.3">
      <c r="B672" s="2">
        <v>664</v>
      </c>
      <c r="C672" s="2">
        <v>6501</v>
      </c>
      <c r="D672" s="4">
        <v>991922.58000000007</v>
      </c>
      <c r="E672" s="4">
        <f t="shared" si="180"/>
        <v>6448488692.5800009</v>
      </c>
      <c r="F672" s="2">
        <f t="shared" si="181"/>
        <v>42263001</v>
      </c>
      <c r="G672" s="2">
        <f t="shared" si="182"/>
        <v>983910404713.85657</v>
      </c>
      <c r="H672" s="42">
        <f t="shared" si="183"/>
        <v>1476.5190000000002</v>
      </c>
      <c r="I672" s="2">
        <f t="shared" si="184"/>
        <v>2180108.3573610005</v>
      </c>
      <c r="J672" s="4">
        <f t="shared" si="185"/>
        <v>-297179.31680999906</v>
      </c>
      <c r="K672" s="2">
        <f t="shared" si="186"/>
        <v>88315546339.657791</v>
      </c>
      <c r="L672" s="2">
        <f t="shared" si="187"/>
        <v>-438790907.67698306</v>
      </c>
      <c r="N672" s="42">
        <f t="shared" si="188"/>
        <v>1663008.697417374</v>
      </c>
      <c r="O672" s="42">
        <f t="shared" si="189"/>
        <v>139806295540.44318</v>
      </c>
      <c r="P672" s="4">
        <f t="shared" si="190"/>
        <v>-671086.11741737393</v>
      </c>
      <c r="Q672" s="4">
        <f t="shared" si="191"/>
        <v>450356576990.32538</v>
      </c>
      <c r="R672" s="43">
        <f t="shared" si="192"/>
        <v>1.2746417989106364E-3</v>
      </c>
      <c r="S672" s="4">
        <f t="shared" si="193"/>
        <v>-0.55185280533274106</v>
      </c>
      <c r="T672" s="30">
        <f t="shared" si="194"/>
        <v>1577671.9910789537</v>
      </c>
      <c r="U672" s="31">
        <f t="shared" si="195"/>
        <v>1748345.4037557943</v>
      </c>
      <c r="V672" s="31">
        <f t="shared" si="196"/>
        <v>4054117.0206361702</v>
      </c>
      <c r="W672" s="42">
        <f t="shared" si="197"/>
        <v>4054773.1529082116</v>
      </c>
    </row>
    <row r="673" spans="2:23" x14ac:dyDescent="0.3">
      <c r="B673" s="2">
        <v>665</v>
      </c>
      <c r="C673" s="2">
        <v>6954</v>
      </c>
      <c r="D673" s="4">
        <v>64880.82</v>
      </c>
      <c r="E673" s="4">
        <f t="shared" si="180"/>
        <v>451181222.27999997</v>
      </c>
      <c r="F673" s="2">
        <f t="shared" si="181"/>
        <v>48358116</v>
      </c>
      <c r="G673" s="2">
        <f t="shared" si="182"/>
        <v>4209520803.8723998</v>
      </c>
      <c r="H673" s="42">
        <f t="shared" si="183"/>
        <v>1929.5190000000002</v>
      </c>
      <c r="I673" s="2">
        <f t="shared" si="184"/>
        <v>3723043.5713610011</v>
      </c>
      <c r="J673" s="4">
        <f t="shared" si="185"/>
        <v>-1224221.0768099991</v>
      </c>
      <c r="K673" s="2">
        <f t="shared" si="186"/>
        <v>1498717244905.8337</v>
      </c>
      <c r="L673" s="2">
        <f t="shared" si="187"/>
        <v>-2362157827.9053531</v>
      </c>
      <c r="N673" s="42">
        <f t="shared" si="188"/>
        <v>1777724.3093906306</v>
      </c>
      <c r="O673" s="42">
        <f t="shared" si="189"/>
        <v>238751862076.11682</v>
      </c>
      <c r="P673" s="4">
        <f t="shared" si="190"/>
        <v>-1712843.4893906305</v>
      </c>
      <c r="Q673" s="4">
        <f t="shared" si="191"/>
        <v>2933832819147.8711</v>
      </c>
      <c r="R673" s="43">
        <f t="shared" si="192"/>
        <v>1.46901493699102E-3</v>
      </c>
      <c r="S673" s="4">
        <f t="shared" si="193"/>
        <v>-1.4086559909989387</v>
      </c>
      <c r="T673" s="30">
        <f t="shared" si="194"/>
        <v>1686111.7735458161</v>
      </c>
      <c r="U673" s="31">
        <f t="shared" si="195"/>
        <v>1869336.8452354451</v>
      </c>
      <c r="V673" s="31">
        <f t="shared" si="196"/>
        <v>4168600.4061574577</v>
      </c>
      <c r="W673" s="42">
        <f t="shared" si="197"/>
        <v>4169720.9050873322</v>
      </c>
    </row>
    <row r="674" spans="2:23" x14ac:dyDescent="0.3">
      <c r="B674" s="2">
        <v>666</v>
      </c>
      <c r="C674" s="2">
        <v>9468</v>
      </c>
      <c r="D674" s="4">
        <v>6327180.3599999994</v>
      </c>
      <c r="E674" s="4">
        <f t="shared" si="180"/>
        <v>59905743648.479996</v>
      </c>
      <c r="F674" s="2">
        <f t="shared" si="181"/>
        <v>89643024</v>
      </c>
      <c r="G674" s="2">
        <f t="shared" si="182"/>
        <v>40033211307969.719</v>
      </c>
      <c r="H674" s="42">
        <f t="shared" si="183"/>
        <v>4443.5190000000002</v>
      </c>
      <c r="I674" s="2">
        <f t="shared" si="184"/>
        <v>19744861.103361003</v>
      </c>
      <c r="J674" s="4">
        <f t="shared" si="185"/>
        <v>5038078.4631900005</v>
      </c>
      <c r="K674" s="2">
        <f t="shared" si="186"/>
        <v>25382234601258.918</v>
      </c>
      <c r="L674" s="2">
        <f t="shared" si="187"/>
        <v>22386797374.675568</v>
      </c>
      <c r="N674" s="42">
        <f t="shared" si="188"/>
        <v>2414357.970540226</v>
      </c>
      <c r="O674" s="42">
        <f t="shared" si="189"/>
        <v>1266201231466.7656</v>
      </c>
      <c r="P674" s="4">
        <f t="shared" si="190"/>
        <v>3912822.3894597734</v>
      </c>
      <c r="Q674" s="4">
        <f t="shared" si="191"/>
        <v>15310179051457.691</v>
      </c>
      <c r="R674" s="43">
        <f t="shared" si="192"/>
        <v>3.487382865332401E-3</v>
      </c>
      <c r="S674" s="4">
        <f t="shared" si="193"/>
        <v>3.2211931904641018</v>
      </c>
      <c r="T674" s="30">
        <f t="shared" si="194"/>
        <v>2273204.4828258585</v>
      </c>
      <c r="U674" s="31">
        <f t="shared" si="195"/>
        <v>2555511.4582545934</v>
      </c>
      <c r="V674" s="31">
        <f t="shared" si="196"/>
        <v>4802821.2965557128</v>
      </c>
      <c r="W674" s="42">
        <f t="shared" si="197"/>
        <v>4808763.7766212728</v>
      </c>
    </row>
    <row r="675" spans="2:23" x14ac:dyDescent="0.3">
      <c r="B675" s="2">
        <v>667</v>
      </c>
      <c r="C675" s="2">
        <v>7485</v>
      </c>
      <c r="D675" s="4">
        <v>1539664.5</v>
      </c>
      <c r="E675" s="4">
        <f t="shared" si="180"/>
        <v>11524388782.5</v>
      </c>
      <c r="F675" s="2">
        <f t="shared" si="181"/>
        <v>56025225</v>
      </c>
      <c r="G675" s="2">
        <f t="shared" si="182"/>
        <v>2370566772560.25</v>
      </c>
      <c r="H675" s="42">
        <f t="shared" si="183"/>
        <v>2460.5190000000002</v>
      </c>
      <c r="I675" s="2">
        <f t="shared" si="184"/>
        <v>6054153.749361001</v>
      </c>
      <c r="J675" s="4">
        <f t="shared" si="185"/>
        <v>250562.60319000087</v>
      </c>
      <c r="K675" s="2">
        <f t="shared" si="186"/>
        <v>62781618117.349831</v>
      </c>
      <c r="L675" s="2">
        <f t="shared" si="187"/>
        <v>616514045.83845782</v>
      </c>
      <c r="N675" s="42">
        <f t="shared" si="188"/>
        <v>1912192.2783923948</v>
      </c>
      <c r="O675" s="42">
        <f t="shared" si="189"/>
        <v>388241623620.49542</v>
      </c>
      <c r="P675" s="4">
        <f t="shared" si="190"/>
        <v>-372527.77839239477</v>
      </c>
      <c r="Q675" s="4">
        <f t="shared" si="191"/>
        <v>138776945673.97318</v>
      </c>
      <c r="R675" s="43">
        <f t="shared" si="192"/>
        <v>1.7626793737072731E-3</v>
      </c>
      <c r="S675" s="4">
        <f t="shared" si="193"/>
        <v>-0.30641484330928204</v>
      </c>
      <c r="T675" s="30">
        <f t="shared" si="194"/>
        <v>1811839.717421863</v>
      </c>
      <c r="U675" s="31">
        <f t="shared" si="195"/>
        <v>2012544.8393629265</v>
      </c>
      <c r="V675" s="31">
        <f t="shared" si="196"/>
        <v>4302717.4780758349</v>
      </c>
      <c r="W675" s="42">
        <f t="shared" si="197"/>
        <v>4304539.5553557621</v>
      </c>
    </row>
    <row r="676" spans="2:23" x14ac:dyDescent="0.3">
      <c r="B676" s="2">
        <v>668</v>
      </c>
      <c r="C676" s="2">
        <v>6480</v>
      </c>
      <c r="D676" s="4">
        <v>529610.4</v>
      </c>
      <c r="E676" s="4">
        <f t="shared" si="180"/>
        <v>3431875392</v>
      </c>
      <c r="F676" s="2">
        <f t="shared" si="181"/>
        <v>41990400</v>
      </c>
      <c r="G676" s="2">
        <f t="shared" si="182"/>
        <v>280487175788.16003</v>
      </c>
      <c r="H676" s="42">
        <f t="shared" si="183"/>
        <v>1455.5190000000002</v>
      </c>
      <c r="I676" s="2">
        <f t="shared" si="184"/>
        <v>2118535.5593610005</v>
      </c>
      <c r="J676" s="4">
        <f t="shared" si="185"/>
        <v>-759491.49680999911</v>
      </c>
      <c r="K676" s="2">
        <f t="shared" si="186"/>
        <v>576827333726.69287</v>
      </c>
      <c r="L676" s="2">
        <f t="shared" si="187"/>
        <v>-1105454303.9453933</v>
      </c>
      <c r="N676" s="42">
        <f t="shared" si="188"/>
        <v>1657690.755140468</v>
      </c>
      <c r="O676" s="42">
        <f t="shared" si="189"/>
        <v>135857746485.35846</v>
      </c>
      <c r="P676" s="4">
        <f t="shared" si="190"/>
        <v>-1128080.3551404681</v>
      </c>
      <c r="Q676" s="4">
        <f t="shared" si="191"/>
        <v>1272565287653.8447</v>
      </c>
      <c r="R676" s="43">
        <f t="shared" si="192"/>
        <v>1.266885090878403E-3</v>
      </c>
      <c r="S676" s="4">
        <f t="shared" si="193"/>
        <v>-0.92764829280778871</v>
      </c>
      <c r="T676" s="30">
        <f t="shared" si="194"/>
        <v>1572614.099124558</v>
      </c>
      <c r="U676" s="31">
        <f t="shared" si="195"/>
        <v>1742767.411156378</v>
      </c>
      <c r="V676" s="31">
        <f t="shared" si="196"/>
        <v>4048808.3451840957</v>
      </c>
      <c r="W676" s="42">
        <f t="shared" si="197"/>
        <v>4049445.946312747</v>
      </c>
    </row>
    <row r="677" spans="2:23" x14ac:dyDescent="0.3">
      <c r="B677" s="2">
        <v>669</v>
      </c>
      <c r="C677" s="2">
        <v>8958</v>
      </c>
      <c r="D677" s="4">
        <v>1842660.5999999999</v>
      </c>
      <c r="E677" s="4">
        <f t="shared" si="180"/>
        <v>16506553654.799999</v>
      </c>
      <c r="F677" s="2">
        <f t="shared" si="181"/>
        <v>80245764</v>
      </c>
      <c r="G677" s="2">
        <f t="shared" si="182"/>
        <v>3395398086792.3594</v>
      </c>
      <c r="H677" s="42">
        <f t="shared" si="183"/>
        <v>3933.5190000000002</v>
      </c>
      <c r="I677" s="2">
        <f t="shared" si="184"/>
        <v>15472571.723361002</v>
      </c>
      <c r="J677" s="4">
        <f t="shared" si="185"/>
        <v>553558.70319000073</v>
      </c>
      <c r="K677" s="2">
        <f t="shared" si="186"/>
        <v>306427237877.39532</v>
      </c>
      <c r="L677" s="2">
        <f t="shared" si="187"/>
        <v>2177433676.6132288</v>
      </c>
      <c r="N677" s="42">
        <f t="shared" si="188"/>
        <v>2285207.9438153678</v>
      </c>
      <c r="O677" s="42">
        <f t="shared" si="189"/>
        <v>992227256880.66162</v>
      </c>
      <c r="P677" s="4">
        <f t="shared" si="190"/>
        <v>-442547.3438153679</v>
      </c>
      <c r="Q677" s="4">
        <f t="shared" si="191"/>
        <v>195848151518.03745</v>
      </c>
      <c r="R677" s="43">
        <f t="shared" si="192"/>
        <v>2.9491760203247813E-3</v>
      </c>
      <c r="S677" s="4">
        <f t="shared" si="193"/>
        <v>-0.36422447705020972</v>
      </c>
      <c r="T677" s="30">
        <f t="shared" si="194"/>
        <v>2155402.7273463621</v>
      </c>
      <c r="U677" s="31">
        <f t="shared" si="195"/>
        <v>2415013.1602843734</v>
      </c>
      <c r="V677" s="31">
        <f t="shared" si="196"/>
        <v>4674314.8841996472</v>
      </c>
      <c r="W677" s="42">
        <f t="shared" si="197"/>
        <v>4678971.5602410287</v>
      </c>
    </row>
    <row r="678" spans="2:23" x14ac:dyDescent="0.3">
      <c r="B678" s="2">
        <v>670</v>
      </c>
      <c r="C678" s="2">
        <v>9453</v>
      </c>
      <c r="D678" s="4">
        <v>3988126.17</v>
      </c>
      <c r="E678" s="4">
        <f t="shared" si="180"/>
        <v>37699756685.010002</v>
      </c>
      <c r="F678" s="2">
        <f t="shared" si="181"/>
        <v>89359209</v>
      </c>
      <c r="G678" s="2">
        <f t="shared" si="182"/>
        <v>15905150347838.869</v>
      </c>
      <c r="H678" s="42">
        <f t="shared" si="183"/>
        <v>4428.5190000000002</v>
      </c>
      <c r="I678" s="2">
        <f t="shared" si="184"/>
        <v>19611780.533361003</v>
      </c>
      <c r="J678" s="4">
        <f t="shared" si="185"/>
        <v>2699024.273190001</v>
      </c>
      <c r="K678" s="2">
        <f t="shared" si="186"/>
        <v>7284732027268.8135</v>
      </c>
      <c r="L678" s="2">
        <f t="shared" si="187"/>
        <v>11952680275.283112</v>
      </c>
      <c r="N678" s="42">
        <f t="shared" si="188"/>
        <v>2410559.4403424361</v>
      </c>
      <c r="O678" s="42">
        <f t="shared" si="189"/>
        <v>1257667021945.8076</v>
      </c>
      <c r="P678" s="4">
        <f t="shared" si="190"/>
        <v>1577566.7296575638</v>
      </c>
      <c r="Q678" s="4">
        <f t="shared" si="191"/>
        <v>2488716786522.4609</v>
      </c>
      <c r="R678" s="43">
        <f t="shared" si="192"/>
        <v>3.4706178788483826E-3</v>
      </c>
      <c r="S678" s="4">
        <f t="shared" si="193"/>
        <v>1.2987056287959353</v>
      </c>
      <c r="T678" s="30">
        <f t="shared" si="194"/>
        <v>2269745.6467941087</v>
      </c>
      <c r="U678" s="31">
        <f t="shared" si="195"/>
        <v>2551373.2338907635</v>
      </c>
      <c r="V678" s="31">
        <f t="shared" si="196"/>
        <v>4799042.8173751142</v>
      </c>
      <c r="W678" s="42">
        <f t="shared" si="197"/>
        <v>4804945.245001778</v>
      </c>
    </row>
    <row r="679" spans="2:23" x14ac:dyDescent="0.3">
      <c r="B679" s="2">
        <v>671</v>
      </c>
      <c r="C679" s="2">
        <v>9535</v>
      </c>
      <c r="D679" s="4">
        <v>6371954.4500000002</v>
      </c>
      <c r="E679" s="4">
        <f t="shared" si="180"/>
        <v>60756585680.75</v>
      </c>
      <c r="F679" s="2">
        <f t="shared" si="181"/>
        <v>90916225</v>
      </c>
      <c r="G679" s="2">
        <f t="shared" si="182"/>
        <v>40601803512874.805</v>
      </c>
      <c r="H679" s="42">
        <f t="shared" si="183"/>
        <v>4510.5190000000002</v>
      </c>
      <c r="I679" s="2">
        <f t="shared" si="184"/>
        <v>20344781.649361003</v>
      </c>
      <c r="J679" s="4">
        <f t="shared" si="185"/>
        <v>5082852.5531900013</v>
      </c>
      <c r="K679" s="2">
        <f t="shared" si="186"/>
        <v>25835390077470.113</v>
      </c>
      <c r="L679" s="2">
        <f t="shared" si="187"/>
        <v>22926303015.362011</v>
      </c>
      <c r="N679" s="42">
        <f t="shared" si="188"/>
        <v>2431324.7387570213</v>
      </c>
      <c r="O679" s="42">
        <f t="shared" si="189"/>
        <v>1304673020665.532</v>
      </c>
      <c r="P679" s="4">
        <f t="shared" si="190"/>
        <v>3940629.7112429789</v>
      </c>
      <c r="Q679" s="4">
        <f t="shared" si="191"/>
        <v>15528562521130.924</v>
      </c>
      <c r="R679" s="43">
        <f t="shared" si="192"/>
        <v>3.5629585849522899E-3</v>
      </c>
      <c r="S679" s="4">
        <f t="shared" si="193"/>
        <v>3.2442083222343192</v>
      </c>
      <c r="T679" s="30">
        <f t="shared" si="194"/>
        <v>2288649.9671920128</v>
      </c>
      <c r="U679" s="31">
        <f t="shared" si="195"/>
        <v>2573999.5103220297</v>
      </c>
      <c r="V679" s="31">
        <f t="shared" si="196"/>
        <v>4819697.6737011783</v>
      </c>
      <c r="W679" s="42">
        <f t="shared" si="197"/>
        <v>4825820.7081714235</v>
      </c>
    </row>
    <row r="680" spans="2:23" x14ac:dyDescent="0.3">
      <c r="B680" s="2">
        <v>672</v>
      </c>
      <c r="C680" s="2">
        <v>2800</v>
      </c>
      <c r="D680" s="4">
        <v>575960</v>
      </c>
      <c r="E680" s="4">
        <f t="shared" si="180"/>
        <v>1612688000</v>
      </c>
      <c r="F680" s="2">
        <f t="shared" si="181"/>
        <v>7840000</v>
      </c>
      <c r="G680" s="2">
        <f t="shared" si="182"/>
        <v>331729921600</v>
      </c>
      <c r="H680" s="42">
        <f t="shared" si="183"/>
        <v>-2224.4809999999998</v>
      </c>
      <c r="I680" s="2">
        <f t="shared" si="184"/>
        <v>4948315.7193609988</v>
      </c>
      <c r="J680" s="4">
        <f t="shared" si="185"/>
        <v>-713141.89680999913</v>
      </c>
      <c r="K680" s="2">
        <f t="shared" si="186"/>
        <v>508571364985.76343</v>
      </c>
      <c r="L680" s="2">
        <f t="shared" si="187"/>
        <v>1586370599.7578034</v>
      </c>
      <c r="N680" s="42">
        <f t="shared" si="188"/>
        <v>725784.67994933343</v>
      </c>
      <c r="O680" s="42">
        <f t="shared" si="189"/>
        <v>317326286811.6463</v>
      </c>
      <c r="P680" s="4">
        <f t="shared" si="190"/>
        <v>-149824.67994933343</v>
      </c>
      <c r="Q680" s="4">
        <f t="shared" si="191"/>
        <v>22447434721.920193</v>
      </c>
      <c r="R680" s="43">
        <f t="shared" si="192"/>
        <v>1.6233700844063355E-3</v>
      </c>
      <c r="S680" s="4">
        <f t="shared" si="193"/>
        <v>-0.1232265228023573</v>
      </c>
      <c r="T680" s="30">
        <f t="shared" si="194"/>
        <v>629479.29578205827</v>
      </c>
      <c r="U680" s="31">
        <f t="shared" si="195"/>
        <v>822090.06411660858</v>
      </c>
      <c r="V680" s="31">
        <f t="shared" si="196"/>
        <v>3116476.3455129396</v>
      </c>
      <c r="W680" s="42">
        <f t="shared" si="197"/>
        <v>3117965.6062423885</v>
      </c>
    </row>
    <row r="681" spans="2:23" x14ac:dyDescent="0.3">
      <c r="B681" s="2">
        <v>673</v>
      </c>
      <c r="C681" s="2">
        <v>9880</v>
      </c>
      <c r="D681" s="4">
        <v>6602507.5999999996</v>
      </c>
      <c r="E681" s="4">
        <f t="shared" si="180"/>
        <v>65232775088</v>
      </c>
      <c r="F681" s="2">
        <f t="shared" si="181"/>
        <v>97614400</v>
      </c>
      <c r="G681" s="2">
        <f t="shared" si="182"/>
        <v>43593106608057.758</v>
      </c>
      <c r="H681" s="42">
        <f t="shared" si="183"/>
        <v>4855.5190000000002</v>
      </c>
      <c r="I681" s="2">
        <f t="shared" si="184"/>
        <v>23576064.759361003</v>
      </c>
      <c r="J681" s="4">
        <f t="shared" si="185"/>
        <v>5313405.7031900007</v>
      </c>
      <c r="K681" s="2">
        <f t="shared" si="186"/>
        <v>28232280166692.027</v>
      </c>
      <c r="L681" s="2">
        <f t="shared" si="187"/>
        <v>25799342346.547409</v>
      </c>
      <c r="N681" s="42">
        <f t="shared" si="188"/>
        <v>2518690.9333061902</v>
      </c>
      <c r="O681" s="42">
        <f t="shared" si="189"/>
        <v>1511889198671.6313</v>
      </c>
      <c r="P681" s="4">
        <f t="shared" si="190"/>
        <v>4083816.6666938094</v>
      </c>
      <c r="Q681" s="4">
        <f t="shared" si="191"/>
        <v>16677558567166.137</v>
      </c>
      <c r="R681" s="43">
        <f t="shared" si="192"/>
        <v>3.9700234003884356E-3</v>
      </c>
      <c r="S681" s="4">
        <f t="shared" si="193"/>
        <v>3.3627770202924303</v>
      </c>
      <c r="T681" s="30">
        <f t="shared" si="194"/>
        <v>2368086.3003260833</v>
      </c>
      <c r="U681" s="31">
        <f t="shared" si="195"/>
        <v>2669295.566286297</v>
      </c>
      <c r="V681" s="31">
        <f t="shared" si="196"/>
        <v>4906576.9463603776</v>
      </c>
      <c r="W681" s="42">
        <f t="shared" si="197"/>
        <v>4913672.480745703</v>
      </c>
    </row>
    <row r="682" spans="2:23" x14ac:dyDescent="0.3">
      <c r="B682" s="2">
        <v>674</v>
      </c>
      <c r="C682" s="2">
        <v>3435</v>
      </c>
      <c r="D682" s="4">
        <v>524112.30000000005</v>
      </c>
      <c r="E682" s="4">
        <f t="shared" si="180"/>
        <v>1800325750.5000002</v>
      </c>
      <c r="F682" s="2">
        <f t="shared" si="181"/>
        <v>11799225</v>
      </c>
      <c r="G682" s="2">
        <f t="shared" si="182"/>
        <v>274693703011.29004</v>
      </c>
      <c r="H682" s="42">
        <f t="shared" si="183"/>
        <v>-1589.4809999999998</v>
      </c>
      <c r="I682" s="2">
        <f t="shared" si="184"/>
        <v>2526449.8493609992</v>
      </c>
      <c r="J682" s="4">
        <f t="shared" si="185"/>
        <v>-764989.59680999909</v>
      </c>
      <c r="K682" s="2">
        <f t="shared" si="186"/>
        <v>585209083227.52502</v>
      </c>
      <c r="L682" s="2">
        <f t="shared" si="187"/>
        <v>1215936429.3271539</v>
      </c>
      <c r="N682" s="42">
        <f t="shared" si="188"/>
        <v>886589.12498910795</v>
      </c>
      <c r="O682" s="42">
        <f t="shared" si="189"/>
        <v>162016531478.9368</v>
      </c>
      <c r="P682" s="4">
        <f t="shared" si="190"/>
        <v>-362476.8249891079</v>
      </c>
      <c r="Q682" s="4">
        <f t="shared" si="191"/>
        <v>131389448654.18436</v>
      </c>
      <c r="R682" s="43">
        <f t="shared" si="192"/>
        <v>1.31827258913219E-3</v>
      </c>
      <c r="S682" s="4">
        <f t="shared" si="193"/>
        <v>-0.29808129996531674</v>
      </c>
      <c r="T682" s="30">
        <f t="shared" si="194"/>
        <v>799804.17656576564</v>
      </c>
      <c r="U682" s="31">
        <f t="shared" si="195"/>
        <v>973374.07341245026</v>
      </c>
      <c r="V682" s="31">
        <f t="shared" si="196"/>
        <v>3277645.3224763302</v>
      </c>
      <c r="W682" s="42">
        <f t="shared" si="197"/>
        <v>3278405.6907761954</v>
      </c>
    </row>
    <row r="683" spans="2:23" x14ac:dyDescent="0.3">
      <c r="B683" s="2">
        <v>675</v>
      </c>
      <c r="C683" s="2">
        <v>3158</v>
      </c>
      <c r="D683" s="4">
        <v>649600.6</v>
      </c>
      <c r="E683" s="4">
        <f t="shared" si="180"/>
        <v>2051438694.8</v>
      </c>
      <c r="F683" s="2">
        <f t="shared" si="181"/>
        <v>9972964</v>
      </c>
      <c r="G683" s="2">
        <f t="shared" si="182"/>
        <v>421980939520.35999</v>
      </c>
      <c r="H683" s="42">
        <f t="shared" si="183"/>
        <v>-1866.4809999999998</v>
      </c>
      <c r="I683" s="2">
        <f t="shared" si="184"/>
        <v>3483751.3233609991</v>
      </c>
      <c r="J683" s="4">
        <f t="shared" si="185"/>
        <v>-639501.29680999916</v>
      </c>
      <c r="K683" s="2">
        <f t="shared" si="186"/>
        <v>408961908621.67065</v>
      </c>
      <c r="L683" s="2">
        <f t="shared" si="187"/>
        <v>1193617019.9712238</v>
      </c>
      <c r="N683" s="42">
        <f t="shared" si="188"/>
        <v>816442.93400325358</v>
      </c>
      <c r="O683" s="42">
        <f t="shared" si="189"/>
        <v>223406495121.54846</v>
      </c>
      <c r="P683" s="4">
        <f t="shared" si="190"/>
        <v>-166842.33400325361</v>
      </c>
      <c r="Q683" s="4">
        <f t="shared" si="191"/>
        <v>27836364415.653236</v>
      </c>
      <c r="R683" s="43">
        <f t="shared" si="192"/>
        <v>1.4388698053354339E-3</v>
      </c>
      <c r="S683" s="4">
        <f t="shared" si="193"/>
        <v>-0.13721037985314646</v>
      </c>
      <c r="T683" s="30">
        <f t="shared" si="194"/>
        <v>725775.24458707729</v>
      </c>
      <c r="U683" s="31">
        <f t="shared" si="195"/>
        <v>907110.62341942987</v>
      </c>
      <c r="V683" s="31">
        <f t="shared" si="196"/>
        <v>3207355.048011384</v>
      </c>
      <c r="W683" s="42">
        <f t="shared" si="197"/>
        <v>3208403.5287883687</v>
      </c>
    </row>
    <row r="684" spans="2:23" x14ac:dyDescent="0.3">
      <c r="B684" s="2">
        <v>676</v>
      </c>
      <c r="C684" s="2">
        <v>773</v>
      </c>
      <c r="D684" s="4">
        <v>84473.44</v>
      </c>
      <c r="E684" s="4">
        <f t="shared" si="180"/>
        <v>65297969.120000005</v>
      </c>
      <c r="F684" s="2">
        <f t="shared" si="181"/>
        <v>597529</v>
      </c>
      <c r="G684" s="2">
        <f t="shared" si="182"/>
        <v>7135762065.4336004</v>
      </c>
      <c r="H684" s="42">
        <f t="shared" si="183"/>
        <v>-4251.4809999999998</v>
      </c>
      <c r="I684" s="2">
        <f t="shared" si="184"/>
        <v>18075090.693360999</v>
      </c>
      <c r="J684" s="4">
        <f t="shared" si="185"/>
        <v>-1204628.4568099992</v>
      </c>
      <c r="K684" s="2">
        <f t="shared" si="186"/>
        <v>1451129718956.4402</v>
      </c>
      <c r="L684" s="2">
        <f t="shared" si="187"/>
        <v>5121454996.1870317</v>
      </c>
      <c r="N684" s="42">
        <f t="shared" si="188"/>
        <v>212476.63255465141</v>
      </c>
      <c r="O684" s="42">
        <f t="shared" si="189"/>
        <v>1159121959632.8972</v>
      </c>
      <c r="P684" s="4">
        <f t="shared" si="190"/>
        <v>-128003.19255465141</v>
      </c>
      <c r="Q684" s="4">
        <f t="shared" si="191"/>
        <v>16384817304.183167</v>
      </c>
      <c r="R684" s="43">
        <f t="shared" si="192"/>
        <v>3.2770315093450914E-3</v>
      </c>
      <c r="S684" s="4">
        <f t="shared" si="193"/>
        <v>-0.10536627016267905</v>
      </c>
      <c r="T684" s="30">
        <f t="shared" si="194"/>
        <v>75646.386674444599</v>
      </c>
      <c r="U684" s="31">
        <f t="shared" si="195"/>
        <v>349306.87843485823</v>
      </c>
      <c r="V684" s="31">
        <f t="shared" si="196"/>
        <v>2601191.5277707498</v>
      </c>
      <c r="W684" s="42">
        <f t="shared" si="197"/>
        <v>2606631.4674156569</v>
      </c>
    </row>
    <row r="685" spans="2:23" x14ac:dyDescent="0.3">
      <c r="B685" s="2">
        <v>677</v>
      </c>
      <c r="C685" s="2">
        <v>5033</v>
      </c>
      <c r="D685" s="4">
        <v>775383.98</v>
      </c>
      <c r="E685" s="4">
        <f t="shared" si="180"/>
        <v>3902507571.3399997</v>
      </c>
      <c r="F685" s="2">
        <f t="shared" si="181"/>
        <v>25331089</v>
      </c>
      <c r="G685" s="2">
        <f t="shared" si="182"/>
        <v>601220316440.64038</v>
      </c>
      <c r="H685" s="42">
        <f t="shared" si="183"/>
        <v>8.5190000000002328</v>
      </c>
      <c r="I685" s="2">
        <f t="shared" si="184"/>
        <v>72.57336100000397</v>
      </c>
      <c r="J685" s="4">
        <f t="shared" si="185"/>
        <v>-513717.91680999915</v>
      </c>
      <c r="K685" s="2">
        <f t="shared" si="186"/>
        <v>263906098051.60519</v>
      </c>
      <c r="L685" s="2">
        <f t="shared" si="187"/>
        <v>-4376362.9333045026</v>
      </c>
      <c r="N685" s="42">
        <f t="shared" si="188"/>
        <v>1291259.2087269975</v>
      </c>
      <c r="O685" s="42">
        <f t="shared" si="189"/>
        <v>4653994.7072231164</v>
      </c>
      <c r="P685" s="4">
        <f t="shared" si="190"/>
        <v>-515875.22872699751</v>
      </c>
      <c r="Q685" s="4">
        <f t="shared" si="191"/>
        <v>266127251614.13199</v>
      </c>
      <c r="R685" s="43">
        <f t="shared" si="192"/>
        <v>1.0000091425173207E-3</v>
      </c>
      <c r="S685" s="4">
        <f t="shared" si="193"/>
        <v>-0.42416025419921133</v>
      </c>
      <c r="T685" s="30">
        <f t="shared" si="194"/>
        <v>1215672.7873893513</v>
      </c>
      <c r="U685" s="31">
        <f t="shared" si="195"/>
        <v>1366845.6300646437</v>
      </c>
      <c r="V685" s="31">
        <f t="shared" si="196"/>
        <v>3682695.6096635275</v>
      </c>
      <c r="W685" s="42">
        <f t="shared" si="197"/>
        <v>3682695.6315054339</v>
      </c>
    </row>
    <row r="686" spans="2:23" x14ac:dyDescent="0.3">
      <c r="B686" s="2">
        <v>678</v>
      </c>
      <c r="C686" s="2">
        <v>6727</v>
      </c>
      <c r="D686" s="4">
        <v>1026405.66</v>
      </c>
      <c r="E686" s="4">
        <f t="shared" si="180"/>
        <v>6904630874.8200006</v>
      </c>
      <c r="F686" s="2">
        <f t="shared" si="181"/>
        <v>45252529</v>
      </c>
      <c r="G686" s="2">
        <f t="shared" si="182"/>
        <v>1053508578880.0356</v>
      </c>
      <c r="H686" s="42">
        <f t="shared" si="183"/>
        <v>1702.5190000000002</v>
      </c>
      <c r="I686" s="2">
        <f t="shared" si="184"/>
        <v>2898570.945361001</v>
      </c>
      <c r="J686" s="4">
        <f t="shared" si="185"/>
        <v>-262696.2368099991</v>
      </c>
      <c r="K686" s="2">
        <f t="shared" si="186"/>
        <v>69009312834.135132</v>
      </c>
      <c r="L686" s="2">
        <f t="shared" si="187"/>
        <v>-447245334.39752293</v>
      </c>
      <c r="N686" s="42">
        <f t="shared" si="188"/>
        <v>1720239.8857307425</v>
      </c>
      <c r="O686" s="42">
        <f t="shared" si="189"/>
        <v>185879965490.62302</v>
      </c>
      <c r="P686" s="4">
        <f t="shared" si="190"/>
        <v>-693834.22573074244</v>
      </c>
      <c r="Q686" s="4">
        <f t="shared" si="191"/>
        <v>481405932795.37885</v>
      </c>
      <c r="R686" s="43">
        <f t="shared" si="192"/>
        <v>1.3651509962870297E-3</v>
      </c>
      <c r="S686" s="4">
        <f t="shared" si="193"/>
        <v>-0.57058506351455751</v>
      </c>
      <c r="T686" s="30">
        <f t="shared" si="194"/>
        <v>1631925.3594045897</v>
      </c>
      <c r="U686" s="31">
        <f t="shared" si="195"/>
        <v>1808554.4120568952</v>
      </c>
      <c r="V686" s="31">
        <f t="shared" si="196"/>
        <v>4111240.076290058</v>
      </c>
      <c r="W686" s="42">
        <f t="shared" si="197"/>
        <v>4112112.4393298901</v>
      </c>
    </row>
    <row r="687" spans="2:23" x14ac:dyDescent="0.3">
      <c r="B687" s="2">
        <v>679</v>
      </c>
      <c r="C687" s="2">
        <v>3669</v>
      </c>
      <c r="D687" s="4">
        <v>2451882.63</v>
      </c>
      <c r="E687" s="4">
        <f t="shared" si="180"/>
        <v>8995957369.4699993</v>
      </c>
      <c r="F687" s="2">
        <f t="shared" si="181"/>
        <v>13461561</v>
      </c>
      <c r="G687" s="2">
        <f t="shared" si="182"/>
        <v>6011728431295.7168</v>
      </c>
      <c r="H687" s="42">
        <f t="shared" si="183"/>
        <v>-1355.4809999999998</v>
      </c>
      <c r="I687" s="2">
        <f t="shared" si="184"/>
        <v>1837328.7413609994</v>
      </c>
      <c r="J687" s="4">
        <f t="shared" si="185"/>
        <v>1162780.7331900008</v>
      </c>
      <c r="K687" s="2">
        <f t="shared" si="186"/>
        <v>1352059033477.8757</v>
      </c>
      <c r="L687" s="2">
        <f t="shared" si="187"/>
        <v>-1576127191.005115</v>
      </c>
      <c r="N687" s="42">
        <f t="shared" si="188"/>
        <v>945846.1960746313</v>
      </c>
      <c r="O687" s="42">
        <f t="shared" si="189"/>
        <v>117824476087.3284</v>
      </c>
      <c r="P687" s="4">
        <f t="shared" si="190"/>
        <v>1506036.4339253686</v>
      </c>
      <c r="Q687" s="4">
        <f t="shared" si="191"/>
        <v>2268145740310.6411</v>
      </c>
      <c r="R687" s="43">
        <f t="shared" si="192"/>
        <v>1.2314597203454706E-3</v>
      </c>
      <c r="S687" s="4">
        <f t="shared" si="193"/>
        <v>1.2384289326920399</v>
      </c>
      <c r="T687" s="30">
        <f t="shared" si="194"/>
        <v>861967.45485501341</v>
      </c>
      <c r="U687" s="31">
        <f t="shared" si="195"/>
        <v>1029724.9372942492</v>
      </c>
      <c r="V687" s="31">
        <f t="shared" si="196"/>
        <v>3337006.1078300765</v>
      </c>
      <c r="W687" s="42">
        <f t="shared" si="197"/>
        <v>3337559.0760686491</v>
      </c>
    </row>
    <row r="688" spans="2:23" x14ac:dyDescent="0.3">
      <c r="B688" s="2">
        <v>680</v>
      </c>
      <c r="C688" s="2">
        <v>5711</v>
      </c>
      <c r="D688" s="4">
        <v>624098.07999999996</v>
      </c>
      <c r="E688" s="4">
        <f t="shared" si="180"/>
        <v>3564224134.8799996</v>
      </c>
      <c r="F688" s="2">
        <f t="shared" si="181"/>
        <v>32615521</v>
      </c>
      <c r="G688" s="2">
        <f t="shared" si="182"/>
        <v>389498413459.68634</v>
      </c>
      <c r="H688" s="42">
        <f t="shared" si="183"/>
        <v>686.51900000000023</v>
      </c>
      <c r="I688" s="2">
        <f t="shared" si="184"/>
        <v>471308.3373610003</v>
      </c>
      <c r="J688" s="4">
        <f t="shared" si="185"/>
        <v>-665003.81680999917</v>
      </c>
      <c r="K688" s="2">
        <f t="shared" si="186"/>
        <v>442230076371.86694</v>
      </c>
      <c r="L688" s="2">
        <f t="shared" si="187"/>
        <v>-456537755.31258398</v>
      </c>
      <c r="N688" s="42">
        <f t="shared" si="188"/>
        <v>1462952.7736671031</v>
      </c>
      <c r="O688" s="42">
        <f t="shared" si="189"/>
        <v>30224127383.983944</v>
      </c>
      <c r="P688" s="4">
        <f t="shared" si="190"/>
        <v>-838854.69366710319</v>
      </c>
      <c r="Q688" s="4">
        <f t="shared" si="191"/>
        <v>703677197087.32947</v>
      </c>
      <c r="R688" s="43">
        <f t="shared" si="192"/>
        <v>1.0593736403868904E-3</v>
      </c>
      <c r="S688" s="4">
        <f t="shared" si="193"/>
        <v>-0.68973924805250197</v>
      </c>
      <c r="T688" s="30">
        <f t="shared" si="194"/>
        <v>1385155.1413353616</v>
      </c>
      <c r="U688" s="31">
        <f t="shared" si="195"/>
        <v>1540750.4059988447</v>
      </c>
      <c r="V688" s="31">
        <f t="shared" si="196"/>
        <v>3854318.2612533211</v>
      </c>
      <c r="W688" s="42">
        <f t="shared" si="197"/>
        <v>3854460.1076924698</v>
      </c>
    </row>
    <row r="689" spans="2:23" x14ac:dyDescent="0.3">
      <c r="B689" s="2">
        <v>681</v>
      </c>
      <c r="C689" s="2">
        <v>9730</v>
      </c>
      <c r="D689" s="4">
        <v>4253956</v>
      </c>
      <c r="E689" s="4">
        <f t="shared" si="180"/>
        <v>41390991880</v>
      </c>
      <c r="F689" s="2">
        <f t="shared" si="181"/>
        <v>94672900</v>
      </c>
      <c r="G689" s="2">
        <f t="shared" si="182"/>
        <v>18096141649936</v>
      </c>
      <c r="H689" s="42">
        <f t="shared" si="183"/>
        <v>4705.5190000000002</v>
      </c>
      <c r="I689" s="2">
        <f t="shared" si="184"/>
        <v>22141909.059361003</v>
      </c>
      <c r="J689" s="4">
        <f t="shared" si="185"/>
        <v>2964854.1031900011</v>
      </c>
      <c r="K689" s="2">
        <f t="shared" si="186"/>
        <v>8790359853202.5859</v>
      </c>
      <c r="L689" s="2">
        <f t="shared" si="187"/>
        <v>13951177314.788511</v>
      </c>
      <c r="N689" s="42">
        <f t="shared" si="188"/>
        <v>2480705.6313282908</v>
      </c>
      <c r="O689" s="42">
        <f t="shared" si="189"/>
        <v>1419919460117.9392</v>
      </c>
      <c r="P689" s="4">
        <f t="shared" si="190"/>
        <v>1773250.3686717092</v>
      </c>
      <c r="Q689" s="4">
        <f t="shared" si="191"/>
        <v>3144416869994.3525</v>
      </c>
      <c r="R689" s="43">
        <f t="shared" si="192"/>
        <v>3.7893538937393586E-3</v>
      </c>
      <c r="S689" s="4">
        <f t="shared" si="193"/>
        <v>1.4600324485365346</v>
      </c>
      <c r="T689" s="30">
        <f t="shared" si="194"/>
        <v>2333567.7893613791</v>
      </c>
      <c r="U689" s="31">
        <f t="shared" si="195"/>
        <v>2627843.4732952025</v>
      </c>
      <c r="V689" s="31">
        <f t="shared" si="196"/>
        <v>4868807.7694865847</v>
      </c>
      <c r="W689" s="42">
        <f t="shared" si="197"/>
        <v>4875471.6745231934</v>
      </c>
    </row>
    <row r="690" spans="2:23" x14ac:dyDescent="0.3">
      <c r="B690" s="2">
        <v>682</v>
      </c>
      <c r="C690" s="2">
        <v>4639</v>
      </c>
      <c r="D690" s="4">
        <v>707818.62000000011</v>
      </c>
      <c r="E690" s="4">
        <f t="shared" si="180"/>
        <v>3283570578.1800003</v>
      </c>
      <c r="F690" s="2">
        <f t="shared" si="181"/>
        <v>21520321</v>
      </c>
      <c r="G690" s="2">
        <f t="shared" si="182"/>
        <v>501007198818.70453</v>
      </c>
      <c r="H690" s="42">
        <f t="shared" si="183"/>
        <v>-385.48099999999977</v>
      </c>
      <c r="I690" s="2">
        <f t="shared" si="184"/>
        <v>148595.60136099983</v>
      </c>
      <c r="J690" s="4">
        <f t="shared" si="185"/>
        <v>-581283.27680999902</v>
      </c>
      <c r="K690" s="2">
        <f t="shared" si="186"/>
        <v>337890247898.96997</v>
      </c>
      <c r="L690" s="2">
        <f t="shared" si="187"/>
        <v>224073658.82799509</v>
      </c>
      <c r="N690" s="42">
        <f t="shared" si="188"/>
        <v>1191484.4821983813</v>
      </c>
      <c r="O690" s="42">
        <f t="shared" si="189"/>
        <v>9529159635.4564934</v>
      </c>
      <c r="P690" s="4">
        <f t="shared" si="190"/>
        <v>-483665.86219838122</v>
      </c>
      <c r="Q690" s="4">
        <f t="shared" si="191"/>
        <v>233932666256.10349</v>
      </c>
      <c r="R690" s="43">
        <f t="shared" si="192"/>
        <v>1.0187195114087786E-3</v>
      </c>
      <c r="S690" s="4">
        <f t="shared" si="193"/>
        <v>-0.39768096007480302</v>
      </c>
      <c r="T690" s="30">
        <f t="shared" si="194"/>
        <v>1115194.2194083014</v>
      </c>
      <c r="U690" s="31">
        <f t="shared" si="195"/>
        <v>1267774.7449884613</v>
      </c>
      <c r="V690" s="31">
        <f t="shared" si="196"/>
        <v>3582898.533051624</v>
      </c>
      <c r="W690" s="42">
        <f t="shared" si="197"/>
        <v>3582943.2548510213</v>
      </c>
    </row>
    <row r="691" spans="2:23" x14ac:dyDescent="0.3">
      <c r="B691" s="2">
        <v>683</v>
      </c>
      <c r="C691" s="2">
        <v>6380</v>
      </c>
      <c r="D691" s="4">
        <v>521437.4</v>
      </c>
      <c r="E691" s="4">
        <f t="shared" si="180"/>
        <v>3326770612</v>
      </c>
      <c r="F691" s="2">
        <f t="shared" si="181"/>
        <v>40704400</v>
      </c>
      <c r="G691" s="2">
        <f t="shared" si="182"/>
        <v>271896962118.76001</v>
      </c>
      <c r="H691" s="42">
        <f t="shared" si="183"/>
        <v>1355.5190000000002</v>
      </c>
      <c r="I691" s="2">
        <f t="shared" si="184"/>
        <v>1837431.7593610007</v>
      </c>
      <c r="J691" s="4">
        <f t="shared" si="185"/>
        <v>-767664.49680999911</v>
      </c>
      <c r="K691" s="2">
        <f t="shared" si="186"/>
        <v>589308779662.54907</v>
      </c>
      <c r="L691" s="2">
        <f t="shared" si="187"/>
        <v>-1040583811.0513934</v>
      </c>
      <c r="N691" s="42">
        <f t="shared" si="188"/>
        <v>1632367.220488535</v>
      </c>
      <c r="O691" s="42">
        <f t="shared" si="189"/>
        <v>117831082440.13</v>
      </c>
      <c r="P691" s="4">
        <f t="shared" si="190"/>
        <v>-1110929.8204885349</v>
      </c>
      <c r="Q691" s="4">
        <f t="shared" si="191"/>
        <v>1234165066050.6882</v>
      </c>
      <c r="R691" s="43">
        <f t="shared" si="192"/>
        <v>1.2314726981631763E-3</v>
      </c>
      <c r="S691" s="4">
        <f t="shared" si="193"/>
        <v>-0.91352878976236729</v>
      </c>
      <c r="T691" s="30">
        <f t="shared" si="194"/>
        <v>1548488.0372893189</v>
      </c>
      <c r="U691" s="31">
        <f t="shared" si="195"/>
        <v>1716246.4036877512</v>
      </c>
      <c r="V691" s="31">
        <f t="shared" si="196"/>
        <v>4023527.1167398766</v>
      </c>
      <c r="W691" s="42">
        <f t="shared" si="197"/>
        <v>4024080.1159830717</v>
      </c>
    </row>
    <row r="692" spans="2:23" x14ac:dyDescent="0.3">
      <c r="B692" s="2">
        <v>684</v>
      </c>
      <c r="C692" s="2">
        <v>2926</v>
      </c>
      <c r="D692" s="4">
        <v>27299.58</v>
      </c>
      <c r="E692" s="4">
        <f t="shared" si="180"/>
        <v>79878571.079999998</v>
      </c>
      <c r="F692" s="2">
        <f t="shared" si="181"/>
        <v>8561476</v>
      </c>
      <c r="G692" s="2">
        <f t="shared" si="182"/>
        <v>745267068.17640007</v>
      </c>
      <c r="H692" s="42">
        <f t="shared" si="183"/>
        <v>-2098.4809999999998</v>
      </c>
      <c r="I692" s="2">
        <f t="shared" si="184"/>
        <v>4403622.5073609995</v>
      </c>
      <c r="J692" s="4">
        <f t="shared" si="185"/>
        <v>-1261802.3168099991</v>
      </c>
      <c r="K692" s="2">
        <f t="shared" si="186"/>
        <v>1592145086707.0813</v>
      </c>
      <c r="L692" s="2">
        <f t="shared" si="187"/>
        <v>2647868187.5817633</v>
      </c>
      <c r="N692" s="42">
        <f t="shared" si="188"/>
        <v>757692.33361076901</v>
      </c>
      <c r="O692" s="42">
        <f t="shared" si="189"/>
        <v>282396123859.59656</v>
      </c>
      <c r="P692" s="4">
        <f t="shared" si="190"/>
        <v>-730392.75361076905</v>
      </c>
      <c r="Q692" s="4">
        <f t="shared" si="191"/>
        <v>533473574527.12158</v>
      </c>
      <c r="R692" s="43">
        <f t="shared" si="192"/>
        <v>1.554751695282239E-3</v>
      </c>
      <c r="S692" s="4">
        <f t="shared" si="193"/>
        <v>-0.60070654928025968</v>
      </c>
      <c r="T692" s="30">
        <f t="shared" si="194"/>
        <v>663444.2955693499</v>
      </c>
      <c r="U692" s="31">
        <f t="shared" si="195"/>
        <v>851940.37165218813</v>
      </c>
      <c r="V692" s="31">
        <f t="shared" si="196"/>
        <v>3148465.9895933336</v>
      </c>
      <c r="W692" s="42">
        <f t="shared" si="197"/>
        <v>3149791.3177197771</v>
      </c>
    </row>
    <row r="693" spans="2:23" x14ac:dyDescent="0.3">
      <c r="B693" s="2">
        <v>685</v>
      </c>
      <c r="C693" s="2">
        <v>9283</v>
      </c>
      <c r="D693" s="4">
        <v>3916404.8699999996</v>
      </c>
      <c r="E693" s="4">
        <f t="shared" si="180"/>
        <v>36355986408.209999</v>
      </c>
      <c r="F693" s="2">
        <f t="shared" si="181"/>
        <v>86174089</v>
      </c>
      <c r="G693" s="2">
        <f t="shared" si="182"/>
        <v>15338227105759.715</v>
      </c>
      <c r="H693" s="42">
        <f t="shared" si="183"/>
        <v>4258.5190000000002</v>
      </c>
      <c r="I693" s="2">
        <f t="shared" si="184"/>
        <v>18134984.073361002</v>
      </c>
      <c r="J693" s="4">
        <f t="shared" si="185"/>
        <v>2627302.9731900003</v>
      </c>
      <c r="K693" s="2">
        <f t="shared" si="186"/>
        <v>6902720912933.0156</v>
      </c>
      <c r="L693" s="2">
        <f t="shared" si="187"/>
        <v>11188419630.086107</v>
      </c>
      <c r="N693" s="42">
        <f t="shared" si="188"/>
        <v>2367509.4314341503</v>
      </c>
      <c r="O693" s="42">
        <f t="shared" si="189"/>
        <v>1162962810734.1399</v>
      </c>
      <c r="P693" s="4">
        <f t="shared" si="190"/>
        <v>1548895.4385658493</v>
      </c>
      <c r="Q693" s="4">
        <f t="shared" si="191"/>
        <v>2399077079610.0947</v>
      </c>
      <c r="R693" s="43">
        <f t="shared" si="192"/>
        <v>3.2845766506544669E-3</v>
      </c>
      <c r="S693" s="4">
        <f t="shared" si="193"/>
        <v>1.2749834569972189</v>
      </c>
      <c r="T693" s="30">
        <f t="shared" si="194"/>
        <v>2230521.7549706409</v>
      </c>
      <c r="U693" s="31">
        <f t="shared" si="195"/>
        <v>2504497.1078976598</v>
      </c>
      <c r="V693" s="31">
        <f t="shared" si="196"/>
        <v>4756215.3035146836</v>
      </c>
      <c r="W693" s="42">
        <f t="shared" si="197"/>
        <v>4761673.2688946454</v>
      </c>
    </row>
    <row r="694" spans="2:23" x14ac:dyDescent="0.3">
      <c r="B694" s="2">
        <v>686</v>
      </c>
      <c r="C694" s="2">
        <v>2486</v>
      </c>
      <c r="D694" s="4">
        <v>379313.88</v>
      </c>
      <c r="E694" s="4">
        <f t="shared" si="180"/>
        <v>942974305.68000007</v>
      </c>
      <c r="F694" s="2">
        <f t="shared" si="181"/>
        <v>6180196</v>
      </c>
      <c r="G694" s="2">
        <f t="shared" si="182"/>
        <v>143879019560.65439</v>
      </c>
      <c r="H694" s="42">
        <f t="shared" si="183"/>
        <v>-2538.4809999999998</v>
      </c>
      <c r="I694" s="2">
        <f t="shared" si="184"/>
        <v>6443885.7873609988</v>
      </c>
      <c r="J694" s="4">
        <f t="shared" si="185"/>
        <v>-909788.01680999913</v>
      </c>
      <c r="K694" s="2">
        <f t="shared" si="186"/>
        <v>827714235531.07129</v>
      </c>
      <c r="L694" s="2">
        <f t="shared" si="187"/>
        <v>2309479594.699863</v>
      </c>
      <c r="N694" s="42">
        <f t="shared" si="188"/>
        <v>646268.78114226379</v>
      </c>
      <c r="O694" s="42">
        <f t="shared" si="189"/>
        <v>413234414599.08801</v>
      </c>
      <c r="P694" s="4">
        <f t="shared" si="190"/>
        <v>-266954.90114226379</v>
      </c>
      <c r="Q694" s="4">
        <f t="shared" si="191"/>
        <v>71264919243.875824</v>
      </c>
      <c r="R694" s="43">
        <f t="shared" si="192"/>
        <v>1.8117763406759217E-3</v>
      </c>
      <c r="S694" s="4">
        <f t="shared" si="193"/>
        <v>-0.21958350654325107</v>
      </c>
      <c r="T694" s="30">
        <f t="shared" si="194"/>
        <v>544528.2288617359</v>
      </c>
      <c r="U694" s="31">
        <f t="shared" si="195"/>
        <v>748009.33342279168</v>
      </c>
      <c r="V694" s="31">
        <f t="shared" si="196"/>
        <v>3036735.3102609101</v>
      </c>
      <c r="W694" s="42">
        <f t="shared" si="197"/>
        <v>3038674.6825475916</v>
      </c>
    </row>
    <row r="695" spans="2:23" x14ac:dyDescent="0.3">
      <c r="B695" s="2">
        <v>687</v>
      </c>
      <c r="C695" s="2">
        <v>6603</v>
      </c>
      <c r="D695" s="4">
        <v>1358237.0999999999</v>
      </c>
      <c r="E695" s="4">
        <f t="shared" si="180"/>
        <v>8968439571.2999992</v>
      </c>
      <c r="F695" s="2">
        <f t="shared" si="181"/>
        <v>43599609</v>
      </c>
      <c r="G695" s="2">
        <f t="shared" si="182"/>
        <v>1844808019816.4097</v>
      </c>
      <c r="H695" s="42">
        <f t="shared" si="183"/>
        <v>1578.5190000000002</v>
      </c>
      <c r="I695" s="2">
        <f t="shared" si="184"/>
        <v>2491722.2333610007</v>
      </c>
      <c r="J695" s="4">
        <f t="shared" si="185"/>
        <v>69135.203190000728</v>
      </c>
      <c r="K695" s="2">
        <f t="shared" si="186"/>
        <v>4779676320.1226864</v>
      </c>
      <c r="L695" s="2">
        <f t="shared" si="187"/>
        <v>109131231.80427678</v>
      </c>
      <c r="N695" s="42">
        <f t="shared" si="188"/>
        <v>1688838.7027623456</v>
      </c>
      <c r="O695" s="42">
        <f t="shared" si="189"/>
        <v>159789514032.98386</v>
      </c>
      <c r="P695" s="4">
        <f t="shared" si="190"/>
        <v>-330601.60276234569</v>
      </c>
      <c r="Q695" s="4">
        <f t="shared" si="191"/>
        <v>109297419749.03181</v>
      </c>
      <c r="R695" s="43">
        <f t="shared" si="192"/>
        <v>1.3138977355163528E-3</v>
      </c>
      <c r="S695" s="4">
        <f t="shared" si="193"/>
        <v>-0.2718682488974018</v>
      </c>
      <c r="T695" s="30">
        <f t="shared" si="194"/>
        <v>1602197.8774017086</v>
      </c>
      <c r="U695" s="31">
        <f t="shared" si="195"/>
        <v>1775479.5281229825</v>
      </c>
      <c r="V695" s="31">
        <f t="shared" si="196"/>
        <v>4079900.1269410979</v>
      </c>
      <c r="W695" s="42">
        <f t="shared" si="197"/>
        <v>4080650.0435080715</v>
      </c>
    </row>
    <row r="696" spans="2:23" x14ac:dyDescent="0.3">
      <c r="B696" s="2">
        <v>688</v>
      </c>
      <c r="C696" s="2">
        <v>7733</v>
      </c>
      <c r="D696" s="4">
        <v>5035806.9300000006</v>
      </c>
      <c r="E696" s="4">
        <f t="shared" si="180"/>
        <v>38941894989.690002</v>
      </c>
      <c r="F696" s="2">
        <f t="shared" si="181"/>
        <v>59799289</v>
      </c>
      <c r="G696" s="2">
        <f t="shared" si="182"/>
        <v>25359351436236.031</v>
      </c>
      <c r="H696" s="42">
        <f t="shared" si="183"/>
        <v>2708.5190000000002</v>
      </c>
      <c r="I696" s="2">
        <f t="shared" si="184"/>
        <v>7336075.1733610015</v>
      </c>
      <c r="J696" s="4">
        <f t="shared" si="185"/>
        <v>3746705.0331900017</v>
      </c>
      <c r="K696" s="2">
        <f t="shared" si="186"/>
        <v>14037798605731.293</v>
      </c>
      <c r="L696" s="2">
        <f t="shared" si="187"/>
        <v>10148021769.790751</v>
      </c>
      <c r="N696" s="42">
        <f t="shared" si="188"/>
        <v>1974994.6443291886</v>
      </c>
      <c r="O696" s="42">
        <f t="shared" si="189"/>
        <v>470448861099.42261</v>
      </c>
      <c r="P696" s="4">
        <f t="shared" si="190"/>
        <v>3060812.2856708122</v>
      </c>
      <c r="Q696" s="4">
        <f t="shared" si="191"/>
        <v>9368571848113.3828</v>
      </c>
      <c r="R696" s="43">
        <f t="shared" si="192"/>
        <v>1.9241709824893343E-3</v>
      </c>
      <c r="S696" s="4">
        <f t="shared" si="193"/>
        <v>2.5178100640672283</v>
      </c>
      <c r="T696" s="30">
        <f t="shared" si="194"/>
        <v>1870145.8045091915</v>
      </c>
      <c r="U696" s="31">
        <f t="shared" si="195"/>
        <v>2079843.4841491857</v>
      </c>
      <c r="V696" s="31">
        <f t="shared" si="196"/>
        <v>4365326.857140474</v>
      </c>
      <c r="W696" s="42">
        <f t="shared" si="197"/>
        <v>4367534.7456257781</v>
      </c>
    </row>
    <row r="697" spans="2:23" x14ac:dyDescent="0.3">
      <c r="B697" s="2">
        <v>689</v>
      </c>
      <c r="C697" s="2">
        <v>9004</v>
      </c>
      <c r="D697" s="4">
        <v>5863494.8400000008</v>
      </c>
      <c r="E697" s="4">
        <f t="shared" si="180"/>
        <v>52794907539.360008</v>
      </c>
      <c r="F697" s="2">
        <f t="shared" si="181"/>
        <v>81072016</v>
      </c>
      <c r="G697" s="2">
        <f t="shared" si="182"/>
        <v>34380571738706.637</v>
      </c>
      <c r="H697" s="42">
        <f t="shared" si="183"/>
        <v>3979.5190000000002</v>
      </c>
      <c r="I697" s="2">
        <f t="shared" si="184"/>
        <v>15836571.471361002</v>
      </c>
      <c r="J697" s="4">
        <f t="shared" si="185"/>
        <v>4574392.9431900019</v>
      </c>
      <c r="K697" s="2">
        <f t="shared" si="186"/>
        <v>20925070798706.488</v>
      </c>
      <c r="L697" s="2">
        <f t="shared" si="187"/>
        <v>18203883630.890533</v>
      </c>
      <c r="N697" s="42">
        <f t="shared" si="188"/>
        <v>2296856.7697552568</v>
      </c>
      <c r="O697" s="42">
        <f t="shared" si="189"/>
        <v>1015569883944.9125</v>
      </c>
      <c r="P697" s="4">
        <f t="shared" si="190"/>
        <v>3566638.070244744</v>
      </c>
      <c r="Q697" s="4">
        <f t="shared" si="191"/>
        <v>12720907124119.15</v>
      </c>
      <c r="R697" s="43">
        <f t="shared" si="192"/>
        <v>2.995031330798776E-3</v>
      </c>
      <c r="S697" s="4">
        <f t="shared" si="193"/>
        <v>2.9354752154204338</v>
      </c>
      <c r="T697" s="30">
        <f t="shared" si="194"/>
        <v>2166046.3064969424</v>
      </c>
      <c r="U697" s="31">
        <f t="shared" si="195"/>
        <v>2427667.2330135712</v>
      </c>
      <c r="V697" s="31">
        <f t="shared" si="196"/>
        <v>4685908.8808480725</v>
      </c>
      <c r="W697" s="42">
        <f t="shared" si="197"/>
        <v>4690675.1075575529</v>
      </c>
    </row>
    <row r="698" spans="2:23" x14ac:dyDescent="0.3">
      <c r="B698" s="2">
        <v>690</v>
      </c>
      <c r="C698" s="2">
        <v>5580</v>
      </c>
      <c r="D698" s="4">
        <v>52061.4</v>
      </c>
      <c r="E698" s="4">
        <f t="shared" si="180"/>
        <v>290502612</v>
      </c>
      <c r="F698" s="2">
        <f t="shared" si="181"/>
        <v>31136400</v>
      </c>
      <c r="G698" s="2">
        <f t="shared" si="182"/>
        <v>2710389369.96</v>
      </c>
      <c r="H698" s="42">
        <f t="shared" si="183"/>
        <v>555.51900000000023</v>
      </c>
      <c r="I698" s="2">
        <f t="shared" si="184"/>
        <v>308601.35936100024</v>
      </c>
      <c r="J698" s="4">
        <f t="shared" si="185"/>
        <v>-1237040.4968099992</v>
      </c>
      <c r="K698" s="2">
        <f t="shared" si="186"/>
        <v>1530269190747.9297</v>
      </c>
      <c r="L698" s="2">
        <f t="shared" si="187"/>
        <v>-687199499.7473942</v>
      </c>
      <c r="N698" s="42">
        <f t="shared" si="188"/>
        <v>1429778.943273071</v>
      </c>
      <c r="O698" s="42">
        <f t="shared" si="189"/>
        <v>19790031401.573273</v>
      </c>
      <c r="P698" s="4">
        <f t="shared" si="190"/>
        <v>-1377717.5432730711</v>
      </c>
      <c r="Q698" s="4">
        <f t="shared" si="191"/>
        <v>1898105629042.3865</v>
      </c>
      <c r="R698" s="43">
        <f t="shared" si="192"/>
        <v>1.0388764311622418E-3</v>
      </c>
      <c r="S698" s="4">
        <f t="shared" si="193"/>
        <v>-1.1328018075391149</v>
      </c>
      <c r="T698" s="30">
        <f t="shared" si="194"/>
        <v>1352737.6178933431</v>
      </c>
      <c r="U698" s="31">
        <f t="shared" si="195"/>
        <v>1506820.2686527988</v>
      </c>
      <c r="V698" s="31">
        <f t="shared" si="196"/>
        <v>3821168.9158619484</v>
      </c>
      <c r="W698" s="42">
        <f t="shared" si="197"/>
        <v>3821261.7934973743</v>
      </c>
    </row>
    <row r="699" spans="2:23" x14ac:dyDescent="0.3">
      <c r="B699" s="2">
        <v>691</v>
      </c>
      <c r="C699" s="2">
        <v>9651</v>
      </c>
      <c r="D699" s="4">
        <v>1486833.06</v>
      </c>
      <c r="E699" s="4">
        <f t="shared" si="180"/>
        <v>14349425862.060001</v>
      </c>
      <c r="F699" s="2">
        <f t="shared" si="181"/>
        <v>93141801</v>
      </c>
      <c r="G699" s="2">
        <f t="shared" si="182"/>
        <v>2210672548308.9639</v>
      </c>
      <c r="H699" s="42">
        <f t="shared" si="183"/>
        <v>4626.5190000000002</v>
      </c>
      <c r="I699" s="2">
        <f t="shared" si="184"/>
        <v>21404678.057361003</v>
      </c>
      <c r="J699" s="4">
        <f t="shared" si="185"/>
        <v>197731.16319000092</v>
      </c>
      <c r="K699" s="2">
        <f t="shared" si="186"/>
        <v>39097612896.470779</v>
      </c>
      <c r="L699" s="2">
        <f t="shared" si="187"/>
        <v>914806983.3906399</v>
      </c>
      <c r="N699" s="42">
        <f t="shared" si="188"/>
        <v>2460700.0389532638</v>
      </c>
      <c r="O699" s="42">
        <f t="shared" si="189"/>
        <v>1372642206673.5493</v>
      </c>
      <c r="P699" s="4">
        <f t="shared" si="190"/>
        <v>-973866.97895326372</v>
      </c>
      <c r="Q699" s="4">
        <f t="shared" si="191"/>
        <v>948416892695.55664</v>
      </c>
      <c r="R699" s="43">
        <f t="shared" si="192"/>
        <v>3.6964803226077546E-3</v>
      </c>
      <c r="S699" s="4">
        <f t="shared" si="193"/>
        <v>-0.80181069803498273</v>
      </c>
      <c r="T699" s="30">
        <f t="shared" si="194"/>
        <v>2315376.4890471459</v>
      </c>
      <c r="U699" s="31">
        <f t="shared" si="195"/>
        <v>2606023.5888593816</v>
      </c>
      <c r="V699" s="31">
        <f t="shared" si="196"/>
        <v>4848913.2691020248</v>
      </c>
      <c r="W699" s="42">
        <f t="shared" si="197"/>
        <v>4855355.2941534789</v>
      </c>
    </row>
    <row r="700" spans="2:23" x14ac:dyDescent="0.3">
      <c r="B700" s="2">
        <v>692</v>
      </c>
      <c r="C700" s="2">
        <v>5441</v>
      </c>
      <c r="D700" s="4">
        <v>444692.93</v>
      </c>
      <c r="E700" s="4">
        <f t="shared" si="180"/>
        <v>2419574232.1300001</v>
      </c>
      <c r="F700" s="2">
        <f t="shared" si="181"/>
        <v>29604481</v>
      </c>
      <c r="G700" s="2">
        <f t="shared" si="182"/>
        <v>197751801991.98489</v>
      </c>
      <c r="H700" s="42">
        <f t="shared" si="183"/>
        <v>416.51900000000023</v>
      </c>
      <c r="I700" s="2">
        <f t="shared" si="184"/>
        <v>173488.07736100021</v>
      </c>
      <c r="J700" s="4">
        <f t="shared" si="185"/>
        <v>-844408.9668099992</v>
      </c>
      <c r="K700" s="2">
        <f t="shared" si="186"/>
        <v>713026503229.13037</v>
      </c>
      <c r="L700" s="2">
        <f t="shared" si="187"/>
        <v>-351712378.44673425</v>
      </c>
      <c r="N700" s="42">
        <f t="shared" si="188"/>
        <v>1394579.2301068841</v>
      </c>
      <c r="O700" s="42">
        <f t="shared" si="189"/>
        <v>11125467839.422169</v>
      </c>
      <c r="P700" s="4">
        <f t="shared" si="190"/>
        <v>-949886.30010688421</v>
      </c>
      <c r="Q700" s="4">
        <f t="shared" si="191"/>
        <v>902283983130.74573</v>
      </c>
      <c r="R700" s="43">
        <f t="shared" si="192"/>
        <v>1.0218553713145016E-3</v>
      </c>
      <c r="S700" s="4">
        <f t="shared" si="193"/>
        <v>-0.78101912540408724</v>
      </c>
      <c r="T700" s="30">
        <f t="shared" si="194"/>
        <v>1318171.6377916108</v>
      </c>
      <c r="U700" s="31">
        <f t="shared" si="195"/>
        <v>1470986.8224221575</v>
      </c>
      <c r="V700" s="31">
        <f t="shared" si="196"/>
        <v>3785989.5350632453</v>
      </c>
      <c r="W700" s="42">
        <f t="shared" si="197"/>
        <v>3786041.7485804874</v>
      </c>
    </row>
    <row r="701" spans="2:23" x14ac:dyDescent="0.3">
      <c r="B701" s="2">
        <v>693</v>
      </c>
      <c r="C701" s="2">
        <v>4206</v>
      </c>
      <c r="D701" s="4">
        <v>647976.36</v>
      </c>
      <c r="E701" s="4">
        <f t="shared" si="180"/>
        <v>2725388570.1599998</v>
      </c>
      <c r="F701" s="2">
        <f t="shared" si="181"/>
        <v>17690436</v>
      </c>
      <c r="G701" s="2">
        <f t="shared" si="182"/>
        <v>419873363118.84961</v>
      </c>
      <c r="H701" s="42">
        <f t="shared" si="183"/>
        <v>-818.48099999999977</v>
      </c>
      <c r="I701" s="2">
        <f t="shared" si="184"/>
        <v>669911.1473609996</v>
      </c>
      <c r="J701" s="4">
        <f t="shared" si="185"/>
        <v>-641125.53680999915</v>
      </c>
      <c r="K701" s="2">
        <f t="shared" si="186"/>
        <v>411041953949.90955</v>
      </c>
      <c r="L701" s="2">
        <f t="shared" si="187"/>
        <v>524749070.49378479</v>
      </c>
      <c r="N701" s="42">
        <f t="shared" si="188"/>
        <v>1081833.5771555114</v>
      </c>
      <c r="O701" s="42">
        <f t="shared" si="189"/>
        <v>42960156332.39492</v>
      </c>
      <c r="P701" s="4">
        <f t="shared" si="190"/>
        <v>-433857.21715551137</v>
      </c>
      <c r="Q701" s="4">
        <f t="shared" si="191"/>
        <v>188232084877.92456</v>
      </c>
      <c r="R701" s="43">
        <f t="shared" si="192"/>
        <v>1.0843928706572301E-3</v>
      </c>
      <c r="S701" s="4">
        <f t="shared" si="193"/>
        <v>-0.35673889709889894</v>
      </c>
      <c r="T701" s="30">
        <f t="shared" si="194"/>
        <v>1003122.6323302344</v>
      </c>
      <c r="U701" s="31">
        <f t="shared" si="195"/>
        <v>1160544.5219807883</v>
      </c>
      <c r="V701" s="31">
        <f t="shared" si="196"/>
        <v>3473169.1776055209</v>
      </c>
      <c r="W701" s="42">
        <f t="shared" si="197"/>
        <v>3473370.7961709253</v>
      </c>
    </row>
    <row r="702" spans="2:23" x14ac:dyDescent="0.3">
      <c r="B702" s="2">
        <v>694</v>
      </c>
      <c r="C702" s="2">
        <v>9232</v>
      </c>
      <c r="D702" s="4">
        <v>86134.56</v>
      </c>
      <c r="E702" s="4">
        <f t="shared" si="180"/>
        <v>795194257.91999996</v>
      </c>
      <c r="F702" s="2">
        <f t="shared" si="181"/>
        <v>85229824</v>
      </c>
      <c r="G702" s="2">
        <f t="shared" si="182"/>
        <v>7419162426.3935995</v>
      </c>
      <c r="H702" s="42">
        <f t="shared" si="183"/>
        <v>4207.5190000000002</v>
      </c>
      <c r="I702" s="2">
        <f t="shared" si="184"/>
        <v>17703216.135361001</v>
      </c>
      <c r="J702" s="4">
        <f t="shared" si="185"/>
        <v>-1202967.3368099991</v>
      </c>
      <c r="K702" s="2">
        <f t="shared" si="186"/>
        <v>1447130413431.7417</v>
      </c>
      <c r="L702" s="2">
        <f t="shared" si="187"/>
        <v>-5061507926.0074711</v>
      </c>
      <c r="N702" s="42">
        <f t="shared" si="188"/>
        <v>2354594.4287616643</v>
      </c>
      <c r="O702" s="42">
        <f t="shared" si="189"/>
        <v>1135274335644.7703</v>
      </c>
      <c r="P702" s="4">
        <f t="shared" si="190"/>
        <v>-2268459.8687616643</v>
      </c>
      <c r="Q702" s="4">
        <f t="shared" si="191"/>
        <v>5145910176182.1875</v>
      </c>
      <c r="R702" s="43">
        <f t="shared" si="192"/>
        <v>3.2301841601143186E-3</v>
      </c>
      <c r="S702" s="4">
        <f t="shared" si="193"/>
        <v>-1.8672466967314678</v>
      </c>
      <c r="T702" s="30">
        <f t="shared" si="194"/>
        <v>2218745.7432983783</v>
      </c>
      <c r="U702" s="31">
        <f t="shared" si="195"/>
        <v>2490443.1142249503</v>
      </c>
      <c r="V702" s="31">
        <f t="shared" si="196"/>
        <v>4743365.3473456949</v>
      </c>
      <c r="W702" s="42">
        <f t="shared" si="197"/>
        <v>4748693.3662416497</v>
      </c>
    </row>
    <row r="703" spans="2:23" x14ac:dyDescent="0.3">
      <c r="B703" s="2">
        <v>695</v>
      </c>
      <c r="C703" s="2">
        <v>836</v>
      </c>
      <c r="D703" s="4">
        <v>68326.28</v>
      </c>
      <c r="E703" s="4">
        <f t="shared" si="180"/>
        <v>57120770.079999998</v>
      </c>
      <c r="F703" s="2">
        <f t="shared" si="181"/>
        <v>698896</v>
      </c>
      <c r="G703" s="2">
        <f t="shared" si="182"/>
        <v>4668480538.6384001</v>
      </c>
      <c r="H703" s="42">
        <f t="shared" si="183"/>
        <v>-4188.4809999999998</v>
      </c>
      <c r="I703" s="2">
        <f t="shared" si="184"/>
        <v>17543373.087360997</v>
      </c>
      <c r="J703" s="4">
        <f t="shared" si="185"/>
        <v>-1220775.6168099991</v>
      </c>
      <c r="K703" s="2">
        <f t="shared" si="186"/>
        <v>1490293106597.8337</v>
      </c>
      <c r="L703" s="2">
        <f t="shared" si="187"/>
        <v>5113195476.2719612</v>
      </c>
      <c r="N703" s="42">
        <f t="shared" si="188"/>
        <v>228430.45938536921</v>
      </c>
      <c r="O703" s="42">
        <f t="shared" si="189"/>
        <v>1125023898168.4307</v>
      </c>
      <c r="P703" s="4">
        <f t="shared" si="190"/>
        <v>-160104.17938536921</v>
      </c>
      <c r="Q703" s="4">
        <f t="shared" si="191"/>
        <v>25633348256.662483</v>
      </c>
      <c r="R703" s="43">
        <f t="shared" si="192"/>
        <v>3.2100477379507801E-3</v>
      </c>
      <c r="S703" s="4">
        <f t="shared" si="193"/>
        <v>-0.13178588017651843</v>
      </c>
      <c r="T703" s="30">
        <f t="shared" si="194"/>
        <v>93005.864756578114</v>
      </c>
      <c r="U703" s="31">
        <f t="shared" si="195"/>
        <v>363855.0540141603</v>
      </c>
      <c r="V703" s="31">
        <f t="shared" si="196"/>
        <v>2617225.4581210334</v>
      </c>
      <c r="W703" s="42">
        <f t="shared" si="197"/>
        <v>2622505.370061947</v>
      </c>
    </row>
    <row r="704" spans="2:23" x14ac:dyDescent="0.3">
      <c r="B704" s="2">
        <v>696</v>
      </c>
      <c r="C704" s="2">
        <v>1366</v>
      </c>
      <c r="D704" s="4">
        <v>64816.700000000004</v>
      </c>
      <c r="E704" s="4">
        <f t="shared" si="180"/>
        <v>88539612.200000003</v>
      </c>
      <c r="F704" s="2">
        <f t="shared" si="181"/>
        <v>1865956</v>
      </c>
      <c r="G704" s="2">
        <f t="shared" si="182"/>
        <v>4201204598.8900003</v>
      </c>
      <c r="H704" s="42">
        <f t="shared" si="183"/>
        <v>-3658.4809999999998</v>
      </c>
      <c r="I704" s="2">
        <f t="shared" si="184"/>
        <v>13384483.227360999</v>
      </c>
      <c r="J704" s="4">
        <f t="shared" si="185"/>
        <v>-1224285.1968099992</v>
      </c>
      <c r="K704" s="2">
        <f t="shared" si="186"/>
        <v>1498874243128.0984</v>
      </c>
      <c r="L704" s="2">
        <f t="shared" si="187"/>
        <v>4479024131.1106424</v>
      </c>
      <c r="N704" s="42">
        <f t="shared" si="188"/>
        <v>362645.19304061413</v>
      </c>
      <c r="O704" s="42">
        <f t="shared" si="189"/>
        <v>858322023959.23401</v>
      </c>
      <c r="P704" s="4">
        <f t="shared" si="190"/>
        <v>-297828.49304061412</v>
      </c>
      <c r="Q704" s="4">
        <f t="shared" si="191"/>
        <v>88701811266.84314</v>
      </c>
      <c r="R704" s="43">
        <f t="shared" si="192"/>
        <v>2.6861265352431164E-3</v>
      </c>
      <c r="S704" s="4">
        <f t="shared" si="193"/>
        <v>-0.24508591439867894</v>
      </c>
      <c r="T704" s="30">
        <f t="shared" si="194"/>
        <v>238764.09894524867</v>
      </c>
      <c r="U704" s="31">
        <f t="shared" si="195"/>
        <v>486526.28713597963</v>
      </c>
      <c r="V704" s="31">
        <f t="shared" si="196"/>
        <v>2752066.6379390708</v>
      </c>
      <c r="W704" s="42">
        <f t="shared" si="197"/>
        <v>2756094.8755229842</v>
      </c>
    </row>
    <row r="705" spans="2:23" x14ac:dyDescent="0.3">
      <c r="B705" s="2">
        <v>697</v>
      </c>
      <c r="C705" s="2">
        <v>202</v>
      </c>
      <c r="D705" s="4">
        <v>1884.66</v>
      </c>
      <c r="E705" s="4">
        <f t="shared" si="180"/>
        <v>380701.32</v>
      </c>
      <c r="F705" s="2">
        <f t="shared" si="181"/>
        <v>40804</v>
      </c>
      <c r="G705" s="2">
        <f t="shared" si="182"/>
        <v>3551943.3156000003</v>
      </c>
      <c r="H705" s="42">
        <f t="shared" si="183"/>
        <v>-4822.4809999999998</v>
      </c>
      <c r="I705" s="2">
        <f t="shared" si="184"/>
        <v>23256322.995360997</v>
      </c>
      <c r="J705" s="4">
        <f t="shared" si="185"/>
        <v>-1287217.2368099992</v>
      </c>
      <c r="K705" s="2">
        <f t="shared" si="186"/>
        <v>1656928214740.7695</v>
      </c>
      <c r="L705" s="2">
        <f t="shared" si="187"/>
        <v>6207580667.3887215</v>
      </c>
      <c r="N705" s="42">
        <f t="shared" si="188"/>
        <v>67879.249692113954</v>
      </c>
      <c r="O705" s="42">
        <f t="shared" si="189"/>
        <v>1491384753833.615</v>
      </c>
      <c r="P705" s="4">
        <f t="shared" si="190"/>
        <v>-65994.58969211395</v>
      </c>
      <c r="Q705" s="4">
        <f t="shared" si="191"/>
        <v>4355285868.6304731</v>
      </c>
      <c r="R705" s="43">
        <f t="shared" si="192"/>
        <v>3.9297435432174279E-3</v>
      </c>
      <c r="S705" s="4">
        <f t="shared" si="193"/>
        <v>-5.4341470383783751E-2</v>
      </c>
      <c r="T705" s="30">
        <f t="shared" si="194"/>
        <v>-81959.418165842711</v>
      </c>
      <c r="U705" s="31">
        <f t="shared" si="195"/>
        <v>217717.91755007062</v>
      </c>
      <c r="V705" s="31">
        <f t="shared" si="196"/>
        <v>2455813.4490429773</v>
      </c>
      <c r="W705" s="42">
        <f t="shared" si="197"/>
        <v>2462812.7526282896</v>
      </c>
    </row>
    <row r="706" spans="2:23" x14ac:dyDescent="0.3">
      <c r="B706" s="2">
        <v>698</v>
      </c>
      <c r="C706" s="2">
        <v>8756</v>
      </c>
      <c r="D706" s="4">
        <v>1801109.2</v>
      </c>
      <c r="E706" s="4">
        <f t="shared" si="180"/>
        <v>15770512155.199999</v>
      </c>
      <c r="F706" s="2">
        <f t="shared" si="181"/>
        <v>76667536</v>
      </c>
      <c r="G706" s="2">
        <f t="shared" si="182"/>
        <v>3243994350324.6396</v>
      </c>
      <c r="H706" s="42">
        <f t="shared" si="183"/>
        <v>3731.5190000000002</v>
      </c>
      <c r="I706" s="2">
        <f t="shared" si="184"/>
        <v>13924234.047361001</v>
      </c>
      <c r="J706" s="4">
        <f t="shared" si="185"/>
        <v>512007.30319000082</v>
      </c>
      <c r="K706" s="2">
        <f t="shared" si="186"/>
        <v>262151478519.89743</v>
      </c>
      <c r="L706" s="2">
        <f t="shared" si="187"/>
        <v>1910564979.9922488</v>
      </c>
      <c r="N706" s="42">
        <f t="shared" si="188"/>
        <v>2234054.4038184634</v>
      </c>
      <c r="O706" s="42">
        <f t="shared" si="189"/>
        <v>892935240501.58179</v>
      </c>
      <c r="P706" s="4">
        <f t="shared" si="190"/>
        <v>-432945.20381846349</v>
      </c>
      <c r="Q706" s="4">
        <f t="shared" si="191"/>
        <v>187441549509.41089</v>
      </c>
      <c r="R706" s="43">
        <f t="shared" si="192"/>
        <v>2.7541223005305504E-3</v>
      </c>
      <c r="S706" s="4">
        <f t="shared" si="193"/>
        <v>-0.35628689335191205</v>
      </c>
      <c r="T706" s="30">
        <f t="shared" si="194"/>
        <v>2108615.1650988525</v>
      </c>
      <c r="U706" s="31">
        <f t="shared" si="195"/>
        <v>2359493.6425380744</v>
      </c>
      <c r="V706" s="31">
        <f t="shared" si="196"/>
        <v>4623394.5562882498</v>
      </c>
      <c r="W706" s="42">
        <f t="shared" si="197"/>
        <v>4627585.2391559258</v>
      </c>
    </row>
    <row r="707" spans="2:23" x14ac:dyDescent="0.3">
      <c r="B707" s="2">
        <v>699</v>
      </c>
      <c r="C707" s="2">
        <v>5470</v>
      </c>
      <c r="D707" s="4">
        <v>1125179</v>
      </c>
      <c r="E707" s="4">
        <f t="shared" si="180"/>
        <v>6154729130</v>
      </c>
      <c r="F707" s="2">
        <f t="shared" si="181"/>
        <v>29920900</v>
      </c>
      <c r="G707" s="2">
        <f t="shared" si="182"/>
        <v>1266027782041</v>
      </c>
      <c r="H707" s="42">
        <f t="shared" si="183"/>
        <v>445.51900000000023</v>
      </c>
      <c r="I707" s="2">
        <f t="shared" si="184"/>
        <v>198487.17936100022</v>
      </c>
      <c r="J707" s="4">
        <f t="shared" si="185"/>
        <v>-163922.89680999913</v>
      </c>
      <c r="K707" s="2">
        <f t="shared" si="186"/>
        <v>26870716098.581623</v>
      </c>
      <c r="L707" s="2">
        <f t="shared" si="187"/>
        <v>-73030765.063894048</v>
      </c>
      <c r="N707" s="42">
        <f t="shared" si="188"/>
        <v>1401923.0551559445</v>
      </c>
      <c r="O707" s="42">
        <f t="shared" si="189"/>
        <v>12728613770.520887</v>
      </c>
      <c r="P707" s="4">
        <f t="shared" si="190"/>
        <v>-276744.05515594454</v>
      </c>
      <c r="Q707" s="4">
        <f t="shared" si="191"/>
        <v>76587272064.156479</v>
      </c>
      <c r="R707" s="43">
        <f t="shared" si="192"/>
        <v>1.0250046635601135E-3</v>
      </c>
      <c r="S707" s="4">
        <f t="shared" si="193"/>
        <v>-0.22754590795876806</v>
      </c>
      <c r="T707" s="30">
        <f t="shared" si="194"/>
        <v>1325397.8117872647</v>
      </c>
      <c r="U707" s="31">
        <f t="shared" si="195"/>
        <v>1478448.2985246244</v>
      </c>
      <c r="V707" s="31">
        <f t="shared" si="196"/>
        <v>3793329.5981641086</v>
      </c>
      <c r="W707" s="42">
        <f t="shared" si="197"/>
        <v>3793389.3354896917</v>
      </c>
    </row>
    <row r="708" spans="2:23" x14ac:dyDescent="0.3">
      <c r="B708" s="2">
        <v>700</v>
      </c>
      <c r="C708" s="2">
        <v>818</v>
      </c>
      <c r="D708" s="4">
        <v>546644.86</v>
      </c>
      <c r="E708" s="4">
        <f t="shared" si="180"/>
        <v>447155495.47999996</v>
      </c>
      <c r="F708" s="2">
        <f t="shared" si="181"/>
        <v>669124</v>
      </c>
      <c r="G708" s="2">
        <f t="shared" si="182"/>
        <v>298820602964.41956</v>
      </c>
      <c r="H708" s="42">
        <f t="shared" si="183"/>
        <v>-4206.4809999999998</v>
      </c>
      <c r="I708" s="2">
        <f t="shared" si="184"/>
        <v>17694482.403360996</v>
      </c>
      <c r="J708" s="4">
        <f t="shared" si="185"/>
        <v>-742457.03680999915</v>
      </c>
      <c r="K708" s="2">
        <f t="shared" si="186"/>
        <v>551242451508.68445</v>
      </c>
      <c r="L708" s="2">
        <f t="shared" si="187"/>
        <v>3123131418.6575618</v>
      </c>
      <c r="N708" s="42">
        <f t="shared" si="188"/>
        <v>223872.22314802126</v>
      </c>
      <c r="O708" s="42">
        <f t="shared" si="189"/>
        <v>1134714257650.0042</v>
      </c>
      <c r="P708" s="4">
        <f t="shared" si="190"/>
        <v>322772.63685197872</v>
      </c>
      <c r="Q708" s="4">
        <f t="shared" si="191"/>
        <v>104182175100.37933</v>
      </c>
      <c r="R708" s="43">
        <f t="shared" si="192"/>
        <v>3.2290839176150935E-3</v>
      </c>
      <c r="S708" s="4">
        <f t="shared" si="193"/>
        <v>0.26568502076081885</v>
      </c>
      <c r="T708" s="30">
        <f t="shared" si="194"/>
        <v>88046.675564732752</v>
      </c>
      <c r="U708" s="31">
        <f t="shared" si="195"/>
        <v>359697.77073130978</v>
      </c>
      <c r="V708" s="31">
        <f t="shared" si="196"/>
        <v>2612644.4574639248</v>
      </c>
      <c r="W708" s="42">
        <f t="shared" si="197"/>
        <v>2617969.8478235472</v>
      </c>
    </row>
    <row r="709" spans="2:23" x14ac:dyDescent="0.3">
      <c r="B709" s="2">
        <v>701</v>
      </c>
      <c r="C709" s="2">
        <v>2304</v>
      </c>
      <c r="D709" s="4">
        <v>972034.55999999994</v>
      </c>
      <c r="E709" s="4">
        <f t="shared" si="180"/>
        <v>2239567626.2399998</v>
      </c>
      <c r="F709" s="2">
        <f t="shared" si="181"/>
        <v>5308416</v>
      </c>
      <c r="G709" s="2">
        <f t="shared" si="182"/>
        <v>944851185834.39343</v>
      </c>
      <c r="H709" s="42">
        <f t="shared" si="183"/>
        <v>-2720.4809999999998</v>
      </c>
      <c r="I709" s="2">
        <f t="shared" si="184"/>
        <v>7401016.8713609986</v>
      </c>
      <c r="J709" s="4">
        <f t="shared" si="185"/>
        <v>-317067.33680999919</v>
      </c>
      <c r="K709" s="2">
        <f t="shared" si="186"/>
        <v>100531696071.78548</v>
      </c>
      <c r="L709" s="2">
        <f t="shared" si="187"/>
        <v>862575665.51220334</v>
      </c>
      <c r="N709" s="42">
        <f t="shared" si="188"/>
        <v>600179.94807574572</v>
      </c>
      <c r="O709" s="42">
        <f t="shared" si="189"/>
        <v>474613451447.80127</v>
      </c>
      <c r="P709" s="4">
        <f t="shared" si="190"/>
        <v>371854.61192425422</v>
      </c>
      <c r="Q709" s="4">
        <f t="shared" si="191"/>
        <v>138275852409.33771</v>
      </c>
      <c r="R709" s="43">
        <f t="shared" si="192"/>
        <v>1.9323520917919105E-3</v>
      </c>
      <c r="S709" s="4">
        <f t="shared" si="193"/>
        <v>0.30588714175077325</v>
      </c>
      <c r="T709" s="30">
        <f t="shared" si="194"/>
        <v>495108.44873335119</v>
      </c>
      <c r="U709" s="31">
        <f t="shared" si="195"/>
        <v>705251.44741814025</v>
      </c>
      <c r="V709" s="31">
        <f t="shared" si="196"/>
        <v>2990502.3838238679</v>
      </c>
      <c r="W709" s="42">
        <f t="shared" si="197"/>
        <v>2992729.8173730928</v>
      </c>
    </row>
    <row r="710" spans="2:23" x14ac:dyDescent="0.3">
      <c r="B710" s="2">
        <v>702</v>
      </c>
      <c r="C710" s="2">
        <v>9464</v>
      </c>
      <c r="D710" s="4">
        <v>1444017.12</v>
      </c>
      <c r="E710" s="4">
        <f t="shared" si="180"/>
        <v>13666178023.68</v>
      </c>
      <c r="F710" s="2">
        <f t="shared" si="181"/>
        <v>89567296</v>
      </c>
      <c r="G710" s="2">
        <f t="shared" si="182"/>
        <v>2085185442853.0947</v>
      </c>
      <c r="H710" s="42">
        <f t="shared" si="183"/>
        <v>4439.5190000000002</v>
      </c>
      <c r="I710" s="2">
        <f t="shared" si="184"/>
        <v>19709328.951361001</v>
      </c>
      <c r="J710" s="4">
        <f t="shared" si="185"/>
        <v>154915.22319000098</v>
      </c>
      <c r="K710" s="2">
        <f t="shared" si="186"/>
        <v>23998726376.007816</v>
      </c>
      <c r="L710" s="2">
        <f t="shared" si="187"/>
        <v>687749076.74125004</v>
      </c>
      <c r="N710" s="42">
        <f t="shared" si="188"/>
        <v>2413345.0291541489</v>
      </c>
      <c r="O710" s="42">
        <f t="shared" si="189"/>
        <v>1263922620622.9854</v>
      </c>
      <c r="P710" s="4">
        <f t="shared" si="190"/>
        <v>-969327.90915414877</v>
      </c>
      <c r="Q710" s="4">
        <f t="shared" si="191"/>
        <v>939596595465.15369</v>
      </c>
      <c r="R710" s="43">
        <f t="shared" si="192"/>
        <v>3.4829066593165406E-3</v>
      </c>
      <c r="S710" s="4">
        <f t="shared" si="193"/>
        <v>-0.79798803442672228</v>
      </c>
      <c r="T710" s="30">
        <f t="shared" si="194"/>
        <v>2272282.1588155353</v>
      </c>
      <c r="U710" s="31">
        <f t="shared" si="195"/>
        <v>2554407.8994927625</v>
      </c>
      <c r="V710" s="31">
        <f t="shared" si="196"/>
        <v>4801813.7087534284</v>
      </c>
      <c r="W710" s="42">
        <f t="shared" si="197"/>
        <v>4807745.4949260838</v>
      </c>
    </row>
    <row r="711" spans="2:23" x14ac:dyDescent="0.3">
      <c r="B711" s="2">
        <v>703</v>
      </c>
      <c r="C711" s="2">
        <v>8867</v>
      </c>
      <c r="D711" s="4">
        <v>2263567.7600000002</v>
      </c>
      <c r="E711" s="4">
        <f t="shared" si="180"/>
        <v>20071055327.920002</v>
      </c>
      <c r="F711" s="2">
        <f t="shared" si="181"/>
        <v>78623689</v>
      </c>
      <c r="G711" s="2">
        <f t="shared" si="182"/>
        <v>5123739004111.4189</v>
      </c>
      <c r="H711" s="42">
        <f t="shared" si="183"/>
        <v>3842.5190000000002</v>
      </c>
      <c r="I711" s="2">
        <f t="shared" si="184"/>
        <v>14764952.265361002</v>
      </c>
      <c r="J711" s="4">
        <f t="shared" si="185"/>
        <v>974465.86319000111</v>
      </c>
      <c r="K711" s="2">
        <f t="shared" si="186"/>
        <v>949583718522.63391</v>
      </c>
      <c r="L711" s="2">
        <f t="shared" si="187"/>
        <v>3744403594.1589799</v>
      </c>
      <c r="N711" s="42">
        <f t="shared" si="188"/>
        <v>2262163.527282109</v>
      </c>
      <c r="O711" s="42">
        <f t="shared" si="189"/>
        <v>946848936697.04089</v>
      </c>
      <c r="P711" s="4">
        <f t="shared" si="190"/>
        <v>1404.2327178912237</v>
      </c>
      <c r="Q711" s="4">
        <f t="shared" si="191"/>
        <v>1971869.525996173</v>
      </c>
      <c r="R711" s="43">
        <f t="shared" si="192"/>
        <v>2.8600327994233498E-3</v>
      </c>
      <c r="S711" s="4">
        <f t="shared" si="193"/>
        <v>1.1556572921907905E-3</v>
      </c>
      <c r="T711" s="30">
        <f t="shared" si="194"/>
        <v>2134335.1412218418</v>
      </c>
      <c r="U711" s="31">
        <f t="shared" si="195"/>
        <v>2389991.9133423762</v>
      </c>
      <c r="V711" s="31">
        <f t="shared" si="196"/>
        <v>4651377.052803033</v>
      </c>
      <c r="W711" s="42">
        <f t="shared" si="197"/>
        <v>4655820.7611782793</v>
      </c>
    </row>
    <row r="712" spans="2:23" x14ac:dyDescent="0.3">
      <c r="B712" s="2">
        <v>704</v>
      </c>
      <c r="C712" s="2">
        <v>9110</v>
      </c>
      <c r="D712" s="4">
        <v>1873927</v>
      </c>
      <c r="E712" s="4">
        <f t="shared" si="180"/>
        <v>17071474970</v>
      </c>
      <c r="F712" s="2">
        <f t="shared" si="181"/>
        <v>82992100</v>
      </c>
      <c r="G712" s="2">
        <f t="shared" si="182"/>
        <v>3511602401329</v>
      </c>
      <c r="H712" s="42">
        <f t="shared" si="183"/>
        <v>4085.5190000000002</v>
      </c>
      <c r="I712" s="2">
        <f t="shared" si="184"/>
        <v>16691465.499361003</v>
      </c>
      <c r="J712" s="4">
        <f t="shared" si="185"/>
        <v>584825.10319000087</v>
      </c>
      <c r="K712" s="2">
        <f t="shared" si="186"/>
        <v>342020401321.19519</v>
      </c>
      <c r="L712" s="2">
        <f t="shared" si="187"/>
        <v>2389314070.7597094</v>
      </c>
      <c r="N712" s="42">
        <f t="shared" si="188"/>
        <v>2323699.7164863059</v>
      </c>
      <c r="O712" s="42">
        <f t="shared" si="189"/>
        <v>1070392648478.9679</v>
      </c>
      <c r="P712" s="4">
        <f t="shared" si="190"/>
        <v>-449772.71648630593</v>
      </c>
      <c r="Q712" s="4">
        <f t="shared" si="191"/>
        <v>202295496495.47095</v>
      </c>
      <c r="R712" s="43">
        <f t="shared" si="192"/>
        <v>3.1027276445783764E-3</v>
      </c>
      <c r="S712" s="4">
        <f t="shared" si="193"/>
        <v>-0.37019959712921124</v>
      </c>
      <c r="T712" s="30">
        <f t="shared" si="194"/>
        <v>2190558.1610438069</v>
      </c>
      <c r="U712" s="31">
        <f t="shared" si="195"/>
        <v>2456841.2719288049</v>
      </c>
      <c r="V712" s="31">
        <f t="shared" si="196"/>
        <v>4712623.0499211084</v>
      </c>
      <c r="W712" s="42">
        <f t="shared" si="197"/>
        <v>4717646.568629507</v>
      </c>
    </row>
    <row r="713" spans="2:23" x14ac:dyDescent="0.3">
      <c r="B713" s="2">
        <v>705</v>
      </c>
      <c r="C713" s="2">
        <v>5824</v>
      </c>
      <c r="D713" s="4">
        <v>897245.44000000006</v>
      </c>
      <c r="E713" s="4">
        <f t="shared" si="180"/>
        <v>5225557442.5600004</v>
      </c>
      <c r="F713" s="2">
        <f t="shared" si="181"/>
        <v>33918976</v>
      </c>
      <c r="G713" s="2">
        <f t="shared" si="182"/>
        <v>805049379600.7937</v>
      </c>
      <c r="H713" s="42">
        <f t="shared" si="183"/>
        <v>799.51900000000023</v>
      </c>
      <c r="I713" s="2">
        <f t="shared" si="184"/>
        <v>639230.63136100036</v>
      </c>
      <c r="J713" s="4">
        <f t="shared" si="185"/>
        <v>-391856.45680999907</v>
      </c>
      <c r="K713" s="2">
        <f t="shared" si="186"/>
        <v>153551482743.68668</v>
      </c>
      <c r="L713" s="2">
        <f t="shared" si="187"/>
        <v>-313296682.49227375</v>
      </c>
      <c r="N713" s="42">
        <f t="shared" si="188"/>
        <v>1491568.3678237875</v>
      </c>
      <c r="O713" s="42">
        <f t="shared" si="189"/>
        <v>40992671884.777206</v>
      </c>
      <c r="P713" s="4">
        <f t="shared" si="190"/>
        <v>-594322.92782378744</v>
      </c>
      <c r="Q713" s="4">
        <f t="shared" si="191"/>
        <v>353219742537.03888</v>
      </c>
      <c r="R713" s="43">
        <f t="shared" si="192"/>
        <v>1.0805278553806747E-3</v>
      </c>
      <c r="S713" s="4">
        <f t="shared" si="193"/>
        <v>-0.48868080842883732</v>
      </c>
      <c r="T713" s="30">
        <f t="shared" si="194"/>
        <v>1412997.8197921857</v>
      </c>
      <c r="U713" s="31">
        <f t="shared" si="195"/>
        <v>1570138.9158553893</v>
      </c>
      <c r="V713" s="31">
        <f t="shared" si="196"/>
        <v>3882908.585316252</v>
      </c>
      <c r="W713" s="42">
        <f t="shared" si="197"/>
        <v>3883100.9701770735</v>
      </c>
    </row>
    <row r="714" spans="2:23" x14ac:dyDescent="0.3">
      <c r="B714" s="2">
        <v>706</v>
      </c>
      <c r="C714" s="2">
        <v>6669</v>
      </c>
      <c r="D714" s="4">
        <v>1017556.0200000001</v>
      </c>
      <c r="E714" s="4">
        <f t="shared" ref="E714:E777" si="198">C714*D714</f>
        <v>6786081097.3800011</v>
      </c>
      <c r="F714" s="2">
        <f t="shared" ref="F714:F777" si="199">POWER(C714,2)</f>
        <v>44475561</v>
      </c>
      <c r="G714" s="2">
        <f t="shared" ref="G714:G777" si="200">POWER(D714,2)</f>
        <v>1035420253838.2407</v>
      </c>
      <c r="H714" s="42">
        <f t="shared" ref="H714:H777" si="201">C714-$AG$9</f>
        <v>1644.5190000000002</v>
      </c>
      <c r="I714" s="2">
        <f t="shared" ref="I714:I777" si="202">POWER(H714,2)</f>
        <v>2704442.7413610006</v>
      </c>
      <c r="J714" s="4">
        <f t="shared" ref="J714:J777" si="203">D714-$AG$10</f>
        <v>-271545.876809999</v>
      </c>
      <c r="K714" s="2">
        <f t="shared" ref="K714:K777" si="204">POWER(J714,2)</f>
        <v>73737163212.511154</v>
      </c>
      <c r="L714" s="2">
        <f t="shared" ref="L714:L777" si="205">H714*J714</f>
        <v>-446562353.78570282</v>
      </c>
      <c r="N714" s="42">
        <f t="shared" ref="N714:N777" si="206">$AG$18+$AG$17*C714</f>
        <v>1705552.2356326215</v>
      </c>
      <c r="O714" s="42">
        <f t="shared" ref="O714:O777" si="207">(N714-$AG$10)^2</f>
        <v>173430884705.47693</v>
      </c>
      <c r="P714" s="4">
        <f t="shared" ref="P714:P777" si="208">D714-N714</f>
        <v>-687996.21563262132</v>
      </c>
      <c r="Q714" s="4">
        <f t="shared" ref="Q714:Q777" si="209">P714^2</f>
        <v>473338792724.80835</v>
      </c>
      <c r="R714" s="43">
        <f t="shared" ref="R714:R777" si="210">(1/$AG$8)+((I714)/($I$1009))</f>
        <v>1.3406954599436945E-3</v>
      </c>
      <c r="S714" s="4">
        <f t="shared" ref="S714:S777" si="211">P714 / ($AG$19*SQRT(1-R714))</f>
        <v>-0.56577716005629353</v>
      </c>
      <c r="T714" s="30">
        <f t="shared" ref="T714:T777" si="212">N714-$AK$16*SQRT($AG$25*((1/$AG$8)+((C714-$AG$9)^2)/$I$1009))</f>
        <v>1618032.3244785522</v>
      </c>
      <c r="U714" s="31">
        <f t="shared" ref="U714:U777" si="213">N714+$AK$16*SQRT($AG$25*((1/$AG$8)+((C714-$AG$9)^2)/$I$1009))</f>
        <v>1793072.1467866907</v>
      </c>
      <c r="V714" s="31">
        <f t="shared" ref="V714:V777" si="214">N714+$AK$16*SQRT($AG$25*(1+(1/$AG$8)-((C714-$AG$9)^2)/$I$1009))</f>
        <v>4096581.6440603975</v>
      </c>
      <c r="W714" s="42">
        <f t="shared" ref="W714:W777" si="215">N714+$AK$16*SQRT($AG$25*(1+(1/$AG$8)+((C714-$AG$9)^2)/$I$1009))</f>
        <v>4097395.581662856</v>
      </c>
    </row>
    <row r="715" spans="2:23" x14ac:dyDescent="0.3">
      <c r="B715" s="2">
        <v>707</v>
      </c>
      <c r="C715" s="2">
        <v>6338</v>
      </c>
      <c r="D715" s="4">
        <v>2673938.8199999998</v>
      </c>
      <c r="E715" s="4">
        <f t="shared" si="198"/>
        <v>16947424241.16</v>
      </c>
      <c r="F715" s="2">
        <f t="shared" si="199"/>
        <v>40170244</v>
      </c>
      <c r="G715" s="2">
        <f t="shared" si="200"/>
        <v>7149948813102.9912</v>
      </c>
      <c r="H715" s="42">
        <f t="shared" si="201"/>
        <v>1313.5190000000002</v>
      </c>
      <c r="I715" s="2">
        <f t="shared" si="202"/>
        <v>1725332.1633610006</v>
      </c>
      <c r="J715" s="4">
        <f t="shared" si="203"/>
        <v>1384836.9231900007</v>
      </c>
      <c r="K715" s="2">
        <f t="shared" si="204"/>
        <v>1917773303830.3479</v>
      </c>
      <c r="L715" s="2">
        <f t="shared" si="205"/>
        <v>1819009610.5116069</v>
      </c>
      <c r="N715" s="42">
        <f t="shared" si="206"/>
        <v>1621731.3359347233</v>
      </c>
      <c r="O715" s="42">
        <f t="shared" si="207"/>
        <v>110642343772.42856</v>
      </c>
      <c r="P715" s="4">
        <f t="shared" si="208"/>
        <v>1052207.4840652766</v>
      </c>
      <c r="Q715" s="4">
        <f t="shared" si="209"/>
        <v>1107140589522.9792</v>
      </c>
      <c r="R715" s="43">
        <f t="shared" si="210"/>
        <v>1.2173508153683855E-3</v>
      </c>
      <c r="S715" s="4">
        <f t="shared" si="211"/>
        <v>0.86523470370697408</v>
      </c>
      <c r="T715" s="30">
        <f t="shared" si="212"/>
        <v>1538334.4807260348</v>
      </c>
      <c r="U715" s="31">
        <f t="shared" si="213"/>
        <v>1705128.1911434117</v>
      </c>
      <c r="V715" s="31">
        <f t="shared" si="214"/>
        <v>4012908.1030007205</v>
      </c>
      <c r="W715" s="42">
        <f t="shared" si="215"/>
        <v>4013427.3643964073</v>
      </c>
    </row>
    <row r="716" spans="2:23" x14ac:dyDescent="0.3">
      <c r="B716" s="2">
        <v>708</v>
      </c>
      <c r="C716" s="2">
        <v>1555</v>
      </c>
      <c r="D716" s="4">
        <v>14508.15</v>
      </c>
      <c r="E716" s="4">
        <f t="shared" si="198"/>
        <v>22560173.25</v>
      </c>
      <c r="F716" s="2">
        <f t="shared" si="199"/>
        <v>2418025</v>
      </c>
      <c r="G716" s="2">
        <f t="shared" si="200"/>
        <v>210486416.42249998</v>
      </c>
      <c r="H716" s="42">
        <f t="shared" si="201"/>
        <v>-3469.4809999999998</v>
      </c>
      <c r="I716" s="2">
        <f t="shared" si="202"/>
        <v>12037298.409360999</v>
      </c>
      <c r="J716" s="4">
        <f t="shared" si="203"/>
        <v>-1274593.7468099992</v>
      </c>
      <c r="K716" s="2">
        <f t="shared" si="204"/>
        <v>1624589219407.1523</v>
      </c>
      <c r="L716" s="2">
        <f t="shared" si="205"/>
        <v>4422178787.276103</v>
      </c>
      <c r="N716" s="42">
        <f t="shared" si="206"/>
        <v>410506.67353276751</v>
      </c>
      <c r="O716" s="42">
        <f t="shared" si="207"/>
        <v>771929566365.5686</v>
      </c>
      <c r="P716" s="4">
        <f t="shared" si="208"/>
        <v>-395998.52353276749</v>
      </c>
      <c r="Q716" s="4">
        <f t="shared" si="209"/>
        <v>156814830640.13181</v>
      </c>
      <c r="R716" s="43">
        <f t="shared" si="210"/>
        <v>2.5164132911140533E-3</v>
      </c>
      <c r="S716" s="4">
        <f t="shared" si="211"/>
        <v>-0.32584324782439023</v>
      </c>
      <c r="T716" s="30">
        <f t="shared" si="212"/>
        <v>290602.91855432611</v>
      </c>
      <c r="U716" s="31">
        <f t="shared" si="213"/>
        <v>530410.42851120885</v>
      </c>
      <c r="V716" s="31">
        <f t="shared" si="214"/>
        <v>2800131.0072632735</v>
      </c>
      <c r="W716" s="42">
        <f t="shared" si="215"/>
        <v>2803753.791479141</v>
      </c>
    </row>
    <row r="717" spans="2:23" x14ac:dyDescent="0.3">
      <c r="B717" s="2">
        <v>709</v>
      </c>
      <c r="C717" s="2">
        <v>6075</v>
      </c>
      <c r="D717" s="4">
        <v>1550826</v>
      </c>
      <c r="E717" s="4">
        <f t="shared" si="198"/>
        <v>9421267950</v>
      </c>
      <c r="F717" s="2">
        <f t="shared" si="199"/>
        <v>36905625</v>
      </c>
      <c r="G717" s="2">
        <f t="shared" si="200"/>
        <v>2405061282276</v>
      </c>
      <c r="H717" s="42">
        <f t="shared" si="201"/>
        <v>1050.5190000000002</v>
      </c>
      <c r="I717" s="2">
        <f t="shared" si="202"/>
        <v>1103590.1693610004</v>
      </c>
      <c r="J717" s="4">
        <f t="shared" si="203"/>
        <v>261724.10319000087</v>
      </c>
      <c r="K717" s="2">
        <f t="shared" si="204"/>
        <v>68499506190.610222</v>
      </c>
      <c r="L717" s="2">
        <f t="shared" si="205"/>
        <v>274946143.1590566</v>
      </c>
      <c r="N717" s="42">
        <f t="shared" si="206"/>
        <v>1555130.4398001393</v>
      </c>
      <c r="O717" s="42">
        <f t="shared" si="207"/>
        <v>70771185685.456848</v>
      </c>
      <c r="P717" s="4">
        <f t="shared" si="208"/>
        <v>-4304.4398001392838</v>
      </c>
      <c r="Q717" s="4">
        <f t="shared" si="209"/>
        <v>18528201.993023116</v>
      </c>
      <c r="R717" s="43">
        <f t="shared" si="210"/>
        <v>1.1390261123260354E-3</v>
      </c>
      <c r="S717" s="4">
        <f t="shared" si="211"/>
        <v>-3.5394204355914888E-3</v>
      </c>
      <c r="T717" s="30">
        <f t="shared" si="212"/>
        <v>1474461.0746817051</v>
      </c>
      <c r="U717" s="31">
        <f t="shared" si="213"/>
        <v>1635799.8049185735</v>
      </c>
      <c r="V717" s="31">
        <f t="shared" si="214"/>
        <v>3946400.7759073488</v>
      </c>
      <c r="W717" s="42">
        <f t="shared" si="215"/>
        <v>3946732.9158753976</v>
      </c>
    </row>
    <row r="718" spans="2:23" x14ac:dyDescent="0.3">
      <c r="B718" s="2">
        <v>710</v>
      </c>
      <c r="C718" s="2">
        <v>5683</v>
      </c>
      <c r="D718" s="4">
        <v>53022.39</v>
      </c>
      <c r="E718" s="4">
        <f t="shared" si="198"/>
        <v>301326242.37</v>
      </c>
      <c r="F718" s="2">
        <f t="shared" si="199"/>
        <v>32296489</v>
      </c>
      <c r="G718" s="2">
        <f t="shared" si="200"/>
        <v>2811373841.3120999</v>
      </c>
      <c r="H718" s="42">
        <f t="shared" si="201"/>
        <v>658.51900000000023</v>
      </c>
      <c r="I718" s="2">
        <f t="shared" si="202"/>
        <v>433647.27336100029</v>
      </c>
      <c r="J718" s="4">
        <f t="shared" si="203"/>
        <v>-1236079.5068099992</v>
      </c>
      <c r="K718" s="2">
        <f t="shared" si="204"/>
        <v>1527892547155.6509</v>
      </c>
      <c r="L718" s="2">
        <f t="shared" si="205"/>
        <v>-813981840.74501419</v>
      </c>
      <c r="N718" s="42">
        <f t="shared" si="206"/>
        <v>1455862.1839645619</v>
      </c>
      <c r="O718" s="42">
        <f t="shared" si="207"/>
        <v>27808993371.872234</v>
      </c>
      <c r="P718" s="4">
        <f t="shared" si="208"/>
        <v>-1402839.793964562</v>
      </c>
      <c r="Q718" s="4">
        <f t="shared" si="209"/>
        <v>1967959487530.5347</v>
      </c>
      <c r="R718" s="43">
        <f t="shared" si="210"/>
        <v>1.0546292420954362E-3</v>
      </c>
      <c r="S718" s="4">
        <f t="shared" si="211"/>
        <v>-1.1534671906602743</v>
      </c>
      <c r="T718" s="30">
        <f t="shared" si="212"/>
        <v>1378238.9552257226</v>
      </c>
      <c r="U718" s="31">
        <f t="shared" si="213"/>
        <v>1533485.4127034012</v>
      </c>
      <c r="V718" s="31">
        <f t="shared" si="214"/>
        <v>3847233.3390082642</v>
      </c>
      <c r="W718" s="42">
        <f t="shared" si="215"/>
        <v>3847363.8508551661</v>
      </c>
    </row>
    <row r="719" spans="2:23" x14ac:dyDescent="0.3">
      <c r="B719" s="2">
        <v>711</v>
      </c>
      <c r="C719" s="2">
        <v>3197</v>
      </c>
      <c r="D719" s="4">
        <v>151697.65000000002</v>
      </c>
      <c r="E719" s="4">
        <f t="shared" si="198"/>
        <v>484977387.05000007</v>
      </c>
      <c r="F719" s="2">
        <f t="shared" si="199"/>
        <v>10220809</v>
      </c>
      <c r="G719" s="2">
        <f t="shared" si="200"/>
        <v>23012177015.522507</v>
      </c>
      <c r="H719" s="42">
        <f t="shared" si="201"/>
        <v>-1827.4809999999998</v>
      </c>
      <c r="I719" s="2">
        <f t="shared" si="202"/>
        <v>3339686.805360999</v>
      </c>
      <c r="J719" s="4">
        <f t="shared" si="203"/>
        <v>-1137404.246809999</v>
      </c>
      <c r="K719" s="2">
        <f t="shared" si="204"/>
        <v>1293688420661.4211</v>
      </c>
      <c r="L719" s="2">
        <f t="shared" si="205"/>
        <v>2078584650.3645835</v>
      </c>
      <c r="N719" s="42">
        <f t="shared" si="206"/>
        <v>826319.11251750751</v>
      </c>
      <c r="O719" s="42">
        <f t="shared" si="207"/>
        <v>214167905437.51083</v>
      </c>
      <c r="P719" s="4">
        <f t="shared" si="208"/>
        <v>-674621.46251750749</v>
      </c>
      <c r="Q719" s="4">
        <f t="shared" si="209"/>
        <v>455114117689.26074</v>
      </c>
      <c r="R719" s="43">
        <f t="shared" si="210"/>
        <v>1.4207211026578256E-3</v>
      </c>
      <c r="S719" s="4">
        <f t="shared" si="211"/>
        <v>-0.55480059371793777</v>
      </c>
      <c r="T719" s="30">
        <f t="shared" si="212"/>
        <v>736225.04090152786</v>
      </c>
      <c r="U719" s="31">
        <f t="shared" si="213"/>
        <v>916413.18413348717</v>
      </c>
      <c r="V719" s="31">
        <f t="shared" si="214"/>
        <v>3217252.9102364136</v>
      </c>
      <c r="W719" s="42">
        <f t="shared" si="215"/>
        <v>3218258.0329000987</v>
      </c>
    </row>
    <row r="720" spans="2:23" x14ac:dyDescent="0.3">
      <c r="B720" s="2">
        <v>712</v>
      </c>
      <c r="C720" s="2">
        <v>3466</v>
      </c>
      <c r="D720" s="4">
        <v>1462270.74</v>
      </c>
      <c r="E720" s="4">
        <f t="shared" si="198"/>
        <v>5068230384.8400002</v>
      </c>
      <c r="F720" s="2">
        <f t="shared" si="199"/>
        <v>12013156</v>
      </c>
      <c r="G720" s="2">
        <f t="shared" si="200"/>
        <v>2138235717060.1475</v>
      </c>
      <c r="H720" s="42">
        <f t="shared" si="201"/>
        <v>-1558.4809999999998</v>
      </c>
      <c r="I720" s="2">
        <f t="shared" si="202"/>
        <v>2428863.0273609995</v>
      </c>
      <c r="J720" s="4">
        <f t="shared" si="203"/>
        <v>173168.84319000086</v>
      </c>
      <c r="K720" s="2">
        <f t="shared" si="204"/>
        <v>29987448251.763107</v>
      </c>
      <c r="L720" s="2">
        <f t="shared" si="205"/>
        <v>-269880351.90359569</v>
      </c>
      <c r="N720" s="42">
        <f t="shared" si="206"/>
        <v>894439.42073120724</v>
      </c>
      <c r="O720" s="42">
        <f t="shared" si="207"/>
        <v>155758470024.64297</v>
      </c>
      <c r="P720" s="4">
        <f t="shared" si="208"/>
        <v>567831.31926879275</v>
      </c>
      <c r="Q720" s="4">
        <f t="shared" si="209"/>
        <v>322432407142.53766</v>
      </c>
      <c r="R720" s="43">
        <f t="shared" si="210"/>
        <v>1.3059789706734749E-3</v>
      </c>
      <c r="S720" s="4">
        <f t="shared" si="211"/>
        <v>0.46695083483395788</v>
      </c>
      <c r="T720" s="30">
        <f t="shared" si="212"/>
        <v>808060.0788868079</v>
      </c>
      <c r="U720" s="31">
        <f t="shared" si="213"/>
        <v>980818.76257560658</v>
      </c>
      <c r="V720" s="31">
        <f t="shared" si="214"/>
        <v>3285510.3055268512</v>
      </c>
      <c r="W720" s="42">
        <f t="shared" si="215"/>
        <v>3286241.3037888664</v>
      </c>
    </row>
    <row r="721" spans="2:23" x14ac:dyDescent="0.3">
      <c r="B721" s="2">
        <v>713</v>
      </c>
      <c r="C721" s="2">
        <v>8369</v>
      </c>
      <c r="D721" s="4">
        <v>3530797.4099999997</v>
      </c>
      <c r="E721" s="4">
        <f t="shared" si="198"/>
        <v>29549243524.289997</v>
      </c>
      <c r="F721" s="2">
        <f t="shared" si="199"/>
        <v>70040161</v>
      </c>
      <c r="G721" s="2">
        <f t="shared" si="200"/>
        <v>12466530350462.705</v>
      </c>
      <c r="H721" s="42">
        <f t="shared" si="201"/>
        <v>3344.5190000000002</v>
      </c>
      <c r="I721" s="2">
        <f t="shared" si="202"/>
        <v>11185807.341361001</v>
      </c>
      <c r="J721" s="4">
        <f t="shared" si="203"/>
        <v>2241695.5131900003</v>
      </c>
      <c r="K721" s="2">
        <f t="shared" si="204"/>
        <v>5025198773856.1787</v>
      </c>
      <c r="L721" s="2">
        <f t="shared" si="205"/>
        <v>7497393236.0787067</v>
      </c>
      <c r="N721" s="42">
        <f t="shared" si="206"/>
        <v>2136052.3247154825</v>
      </c>
      <c r="O721" s="42">
        <f t="shared" si="207"/>
        <v>717325027329.28149</v>
      </c>
      <c r="P721" s="4">
        <f t="shared" si="208"/>
        <v>1394745.0852845171</v>
      </c>
      <c r="Q721" s="4">
        <f t="shared" si="209"/>
        <v>1945313852925.3149</v>
      </c>
      <c r="R721" s="43">
        <f t="shared" si="210"/>
        <v>2.4091456693546755E-3</v>
      </c>
      <c r="S721" s="4">
        <f t="shared" si="211"/>
        <v>1.14758971835454</v>
      </c>
      <c r="T721" s="30">
        <f t="shared" si="212"/>
        <v>2018731.9803718706</v>
      </c>
      <c r="U721" s="31">
        <f t="shared" si="213"/>
        <v>2253372.6690590945</v>
      </c>
      <c r="V721" s="31">
        <f t="shared" si="214"/>
        <v>4525804.8858853597</v>
      </c>
      <c r="W721" s="42">
        <f t="shared" si="215"/>
        <v>4529171.4024668587</v>
      </c>
    </row>
    <row r="722" spans="2:23" x14ac:dyDescent="0.3">
      <c r="B722" s="2">
        <v>714</v>
      </c>
      <c r="C722" s="2">
        <v>1818</v>
      </c>
      <c r="D722" s="4">
        <v>280081.08</v>
      </c>
      <c r="E722" s="4">
        <f t="shared" si="198"/>
        <v>509187403.44000006</v>
      </c>
      <c r="F722" s="2">
        <f t="shared" si="199"/>
        <v>3305124</v>
      </c>
      <c r="G722" s="2">
        <f t="shared" si="200"/>
        <v>78445411373.966415</v>
      </c>
      <c r="H722" s="42">
        <f t="shared" si="201"/>
        <v>-3206.4809999999998</v>
      </c>
      <c r="I722" s="2">
        <f t="shared" si="202"/>
        <v>10281520.403360998</v>
      </c>
      <c r="J722" s="4">
        <f t="shared" si="203"/>
        <v>-1009020.8168099991</v>
      </c>
      <c r="K722" s="2">
        <f t="shared" si="204"/>
        <v>1018123008755.9177</v>
      </c>
      <c r="L722" s="2">
        <f t="shared" si="205"/>
        <v>3235406077.7057424</v>
      </c>
      <c r="N722" s="42">
        <f t="shared" si="206"/>
        <v>477107.56966735132</v>
      </c>
      <c r="O722" s="42">
        <f t="shared" si="207"/>
        <v>659334787311.84131</v>
      </c>
      <c r="P722" s="4">
        <f t="shared" si="208"/>
        <v>-197026.4896673513</v>
      </c>
      <c r="Q722" s="4">
        <f t="shared" si="209"/>
        <v>38819437630.638885</v>
      </c>
      <c r="R722" s="43">
        <f t="shared" si="210"/>
        <v>2.2952270237308666E-3</v>
      </c>
      <c r="S722" s="4">
        <f t="shared" si="211"/>
        <v>-0.16210321682039644</v>
      </c>
      <c r="T722" s="30">
        <f t="shared" si="212"/>
        <v>362594.61432395293</v>
      </c>
      <c r="U722" s="31">
        <f t="shared" si="213"/>
        <v>591620.5250107497</v>
      </c>
      <c r="V722" s="31">
        <f t="shared" si="214"/>
        <v>2866996.3013604013</v>
      </c>
      <c r="W722" s="42">
        <f t="shared" si="215"/>
        <v>2870090.6607154626</v>
      </c>
    </row>
    <row r="723" spans="2:23" x14ac:dyDescent="0.3">
      <c r="B723" s="2">
        <v>715</v>
      </c>
      <c r="C723" s="2">
        <v>4756</v>
      </c>
      <c r="D723" s="4">
        <v>2006508.8399999999</v>
      </c>
      <c r="E723" s="4">
        <f t="shared" si="198"/>
        <v>9542956043.039999</v>
      </c>
      <c r="F723" s="2">
        <f t="shared" si="199"/>
        <v>22619536</v>
      </c>
      <c r="G723" s="2">
        <f t="shared" si="200"/>
        <v>4026077724998.145</v>
      </c>
      <c r="H723" s="42">
        <f t="shared" si="201"/>
        <v>-268.48099999999977</v>
      </c>
      <c r="I723" s="2">
        <f t="shared" si="202"/>
        <v>72082.047360999873</v>
      </c>
      <c r="J723" s="4">
        <f t="shared" si="203"/>
        <v>717406.94319000072</v>
      </c>
      <c r="K723" s="2">
        <f t="shared" si="204"/>
        <v>514672722137.22095</v>
      </c>
      <c r="L723" s="2">
        <f t="shared" si="205"/>
        <v>-192610133.51459441</v>
      </c>
      <c r="N723" s="42">
        <f t="shared" si="206"/>
        <v>1221113.017741143</v>
      </c>
      <c r="O723" s="42">
        <f t="shared" si="207"/>
        <v>4622487677.0395432</v>
      </c>
      <c r="P723" s="4">
        <f t="shared" si="208"/>
        <v>785395.82225885685</v>
      </c>
      <c r="Q723" s="4">
        <f t="shared" si="209"/>
        <v>616846597621.66589</v>
      </c>
      <c r="R723" s="43">
        <f t="shared" si="210"/>
        <v>1.0090806234880686E-3</v>
      </c>
      <c r="S723" s="4">
        <f t="shared" si="211"/>
        <v>0.64576701030825956</v>
      </c>
      <c r="T723" s="30">
        <f t="shared" si="212"/>
        <v>1145184.5331431385</v>
      </c>
      <c r="U723" s="31">
        <f t="shared" si="213"/>
        <v>1297041.5023391475</v>
      </c>
      <c r="V723" s="31">
        <f t="shared" si="214"/>
        <v>3612538.5825542202</v>
      </c>
      <c r="W723" s="42">
        <f t="shared" si="215"/>
        <v>3612560.2765938323</v>
      </c>
    </row>
    <row r="724" spans="2:23" x14ac:dyDescent="0.3">
      <c r="B724" s="2">
        <v>716</v>
      </c>
      <c r="C724" s="2">
        <v>154</v>
      </c>
      <c r="D724" s="4">
        <v>39313.120000000003</v>
      </c>
      <c r="E724" s="4">
        <f t="shared" si="198"/>
        <v>6054220.4800000004</v>
      </c>
      <c r="F724" s="2">
        <f t="shared" si="199"/>
        <v>23716</v>
      </c>
      <c r="G724" s="2">
        <f t="shared" si="200"/>
        <v>1545521404.1344001</v>
      </c>
      <c r="H724" s="42">
        <f t="shared" si="201"/>
        <v>-4870.4809999999998</v>
      </c>
      <c r="I724" s="2">
        <f t="shared" si="202"/>
        <v>23721585.171360999</v>
      </c>
      <c r="J724" s="4">
        <f t="shared" si="203"/>
        <v>-1249788.776809999</v>
      </c>
      <c r="K724" s="2">
        <f t="shared" si="204"/>
        <v>1561971986640.2336</v>
      </c>
      <c r="L724" s="2">
        <f t="shared" si="205"/>
        <v>6087072491.466341</v>
      </c>
      <c r="N724" s="42">
        <f t="shared" si="206"/>
        <v>55723.953059186111</v>
      </c>
      <c r="O724" s="42">
        <f t="shared" si="207"/>
        <v>1521221152130.9839</v>
      </c>
      <c r="P724" s="4">
        <f t="shared" si="208"/>
        <v>-16410.833059186109</v>
      </c>
      <c r="Q724" s="4">
        <f t="shared" si="209"/>
        <v>269315441.69647568</v>
      </c>
      <c r="R724" s="43">
        <f t="shared" si="210"/>
        <v>3.9883555110814452E-3</v>
      </c>
      <c r="S724" s="4">
        <f t="shared" si="211"/>
        <v>-1.3513456812654385E-2</v>
      </c>
      <c r="T724" s="30">
        <f t="shared" si="212"/>
        <v>-95227.99789054619</v>
      </c>
      <c r="U724" s="31">
        <f t="shared" si="213"/>
        <v>206675.90400891841</v>
      </c>
      <c r="V724" s="31">
        <f t="shared" si="214"/>
        <v>2443588.0353133176</v>
      </c>
      <c r="W724" s="42">
        <f t="shared" si="215"/>
        <v>2450727.3661248595</v>
      </c>
    </row>
    <row r="725" spans="2:23" x14ac:dyDescent="0.3">
      <c r="B725" s="2">
        <v>717</v>
      </c>
      <c r="C725" s="2">
        <v>8020</v>
      </c>
      <c r="D725" s="4">
        <v>1235561.2</v>
      </c>
      <c r="E725" s="4">
        <f t="shared" si="198"/>
        <v>9909200824</v>
      </c>
      <c r="F725" s="2">
        <f t="shared" si="199"/>
        <v>64320400</v>
      </c>
      <c r="G725" s="2">
        <f t="shared" si="200"/>
        <v>1526611478945.4399</v>
      </c>
      <c r="H725" s="42">
        <f t="shared" si="201"/>
        <v>2995.5190000000002</v>
      </c>
      <c r="I725" s="2">
        <f t="shared" si="202"/>
        <v>8973134.079361001</v>
      </c>
      <c r="J725" s="4">
        <f t="shared" si="203"/>
        <v>-53540.696809999179</v>
      </c>
      <c r="K725" s="2">
        <f t="shared" si="204"/>
        <v>2866606214.9002562</v>
      </c>
      <c r="L725" s="2">
        <f t="shared" si="205"/>
        <v>-160382174.56759194</v>
      </c>
      <c r="N725" s="42">
        <f t="shared" si="206"/>
        <v>2047673.1887802363</v>
      </c>
      <c r="O725" s="42">
        <f t="shared" si="207"/>
        <v>575430405001.39478</v>
      </c>
      <c r="P725" s="4">
        <f t="shared" si="208"/>
        <v>-812111.98878023634</v>
      </c>
      <c r="Q725" s="4">
        <f t="shared" si="209"/>
        <v>659525882320.5907</v>
      </c>
      <c r="R725" s="43">
        <f t="shared" si="210"/>
        <v>2.1304014670193603E-3</v>
      </c>
      <c r="S725" s="4">
        <f t="shared" si="211"/>
        <v>-0.66810860357097301</v>
      </c>
      <c r="T725" s="30">
        <f t="shared" si="212"/>
        <v>1937348.5472488776</v>
      </c>
      <c r="U725" s="31">
        <f t="shared" si="213"/>
        <v>2157997.830311595</v>
      </c>
      <c r="V725" s="31">
        <f t="shared" si="214"/>
        <v>4437758.9278879091</v>
      </c>
      <c r="W725" s="42">
        <f t="shared" si="215"/>
        <v>4440459.5109640025</v>
      </c>
    </row>
    <row r="726" spans="2:23" x14ac:dyDescent="0.3">
      <c r="B726" s="2">
        <v>718</v>
      </c>
      <c r="C726" s="2">
        <v>388</v>
      </c>
      <c r="D726" s="4">
        <v>59775.28</v>
      </c>
      <c r="E726" s="4">
        <f t="shared" si="198"/>
        <v>23192808.640000001</v>
      </c>
      <c r="F726" s="2">
        <f t="shared" si="199"/>
        <v>150544</v>
      </c>
      <c r="G726" s="2">
        <f t="shared" si="200"/>
        <v>3573084099.0783997</v>
      </c>
      <c r="H726" s="42">
        <f t="shared" si="201"/>
        <v>-4636.4809999999998</v>
      </c>
      <c r="I726" s="2">
        <f t="shared" si="202"/>
        <v>21496956.063360997</v>
      </c>
      <c r="J726" s="4">
        <f t="shared" si="203"/>
        <v>-1229326.6168099991</v>
      </c>
      <c r="K726" s="2">
        <f t="shared" si="204"/>
        <v>1511243930797.5183</v>
      </c>
      <c r="L726" s="2">
        <f t="shared" si="205"/>
        <v>5699749501.6338415</v>
      </c>
      <c r="N726" s="42">
        <f t="shared" si="206"/>
        <v>114981.02414470934</v>
      </c>
      <c r="O726" s="42">
        <f t="shared" si="207"/>
        <v>1378559823628.3018</v>
      </c>
      <c r="P726" s="4">
        <f t="shared" si="208"/>
        <v>-55205.744144709344</v>
      </c>
      <c r="Q726" s="4">
        <f t="shared" si="209"/>
        <v>3047674186.5711102</v>
      </c>
      <c r="R726" s="43">
        <f t="shared" si="210"/>
        <v>3.7081051565212406E-3</v>
      </c>
      <c r="S726" s="4">
        <f t="shared" si="211"/>
        <v>-4.5452628999371338E-2</v>
      </c>
      <c r="T726" s="30">
        <f t="shared" si="212"/>
        <v>-30570.855939799047</v>
      </c>
      <c r="U726" s="31">
        <f t="shared" si="213"/>
        <v>260532.90422921773</v>
      </c>
      <c r="V726" s="31">
        <f t="shared" si="214"/>
        <v>2503180.3493725602</v>
      </c>
      <c r="W726" s="42">
        <f t="shared" si="215"/>
        <v>2509650.1467787381</v>
      </c>
    </row>
    <row r="727" spans="2:23" x14ac:dyDescent="0.3">
      <c r="B727" s="2">
        <v>719</v>
      </c>
      <c r="C727" s="2">
        <v>6326</v>
      </c>
      <c r="D727" s="4">
        <v>974583.56</v>
      </c>
      <c r="E727" s="4">
        <f t="shared" si="198"/>
        <v>6165215600.5600004</v>
      </c>
      <c r="F727" s="2">
        <f t="shared" si="199"/>
        <v>40018276</v>
      </c>
      <c r="G727" s="2">
        <f t="shared" si="200"/>
        <v>949813115422.27368</v>
      </c>
      <c r="H727" s="42">
        <f t="shared" si="201"/>
        <v>1301.5190000000002</v>
      </c>
      <c r="I727" s="2">
        <f t="shared" si="202"/>
        <v>1693951.7073610006</v>
      </c>
      <c r="J727" s="4">
        <f t="shared" si="203"/>
        <v>-314518.33680999908</v>
      </c>
      <c r="K727" s="2">
        <f t="shared" si="204"/>
        <v>98921784189.728027</v>
      </c>
      <c r="L727" s="2">
        <f t="shared" si="205"/>
        <v>-409351591.20661324</v>
      </c>
      <c r="N727" s="42">
        <f t="shared" si="206"/>
        <v>1618692.5117764911</v>
      </c>
      <c r="O727" s="42">
        <f t="shared" si="207"/>
        <v>108629973473.99034</v>
      </c>
      <c r="P727" s="4">
        <f t="shared" si="208"/>
        <v>-644108.95177649101</v>
      </c>
      <c r="Q727" s="4">
        <f t="shared" si="209"/>
        <v>414876341758.61005</v>
      </c>
      <c r="R727" s="43">
        <f t="shared" si="210"/>
        <v>1.2133976242999799E-3</v>
      </c>
      <c r="S727" s="4">
        <f t="shared" si="211"/>
        <v>-0.52965249114690105</v>
      </c>
      <c r="T727" s="30">
        <f t="shared" si="212"/>
        <v>1535431.1769888101</v>
      </c>
      <c r="U727" s="31">
        <f t="shared" si="213"/>
        <v>1701953.8465641721</v>
      </c>
      <c r="V727" s="31">
        <f t="shared" si="214"/>
        <v>4009874.0015309323</v>
      </c>
      <c r="W727" s="42">
        <f t="shared" si="215"/>
        <v>4010383.8185657514</v>
      </c>
    </row>
    <row r="728" spans="2:23" x14ac:dyDescent="0.3">
      <c r="B728" s="2">
        <v>720</v>
      </c>
      <c r="C728" s="2">
        <v>6933</v>
      </c>
      <c r="D728" s="4">
        <v>1769856.24</v>
      </c>
      <c r="E728" s="4">
        <f t="shared" si="198"/>
        <v>12270413311.92</v>
      </c>
      <c r="F728" s="2">
        <f t="shared" si="199"/>
        <v>48066489</v>
      </c>
      <c r="G728" s="2">
        <f t="shared" si="200"/>
        <v>3132391110266.9375</v>
      </c>
      <c r="H728" s="42">
        <f t="shared" si="201"/>
        <v>1908.5190000000002</v>
      </c>
      <c r="I728" s="2">
        <f t="shared" si="202"/>
        <v>3642444.7733610007</v>
      </c>
      <c r="J728" s="4">
        <f t="shared" si="203"/>
        <v>480754.34319000086</v>
      </c>
      <c r="K728" s="2">
        <f t="shared" si="204"/>
        <v>231124738496.04913</v>
      </c>
      <c r="L728" s="2">
        <f t="shared" si="205"/>
        <v>917528798.31063735</v>
      </c>
      <c r="N728" s="42">
        <f t="shared" si="206"/>
        <v>1772406.3671137246</v>
      </c>
      <c r="O728" s="42">
        <f t="shared" si="207"/>
        <v>233583211015.56464</v>
      </c>
      <c r="P728" s="4">
        <f t="shared" si="208"/>
        <v>-2550.1271137245931</v>
      </c>
      <c r="Q728" s="4">
        <f t="shared" si="209"/>
        <v>6503148.2961533237</v>
      </c>
      <c r="R728" s="43">
        <f t="shared" si="210"/>
        <v>1.4588614054942873E-3</v>
      </c>
      <c r="S728" s="4">
        <f t="shared" si="211"/>
        <v>-2.0972339826117463E-3</v>
      </c>
      <c r="T728" s="30">
        <f t="shared" si="212"/>
        <v>1681110.9838198416</v>
      </c>
      <c r="U728" s="31">
        <f t="shared" si="213"/>
        <v>1863701.7504076075</v>
      </c>
      <c r="V728" s="31">
        <f t="shared" si="214"/>
        <v>4163294.5953260176</v>
      </c>
      <c r="W728" s="42">
        <f t="shared" si="215"/>
        <v>4164390.8369862763</v>
      </c>
    </row>
    <row r="729" spans="2:23" x14ac:dyDescent="0.3">
      <c r="B729" s="2">
        <v>721</v>
      </c>
      <c r="C729" s="2">
        <v>339</v>
      </c>
      <c r="D729" s="4">
        <v>143020.71</v>
      </c>
      <c r="E729" s="4">
        <f t="shared" si="198"/>
        <v>48484020.689999998</v>
      </c>
      <c r="F729" s="2">
        <f t="shared" si="199"/>
        <v>114921</v>
      </c>
      <c r="G729" s="2">
        <f t="shared" si="200"/>
        <v>20454923488.904099</v>
      </c>
      <c r="H729" s="42">
        <f t="shared" si="201"/>
        <v>-4685.4809999999998</v>
      </c>
      <c r="I729" s="2">
        <f t="shared" si="202"/>
        <v>21953732.201360997</v>
      </c>
      <c r="J729" s="4">
        <f t="shared" si="203"/>
        <v>-1146081.1868099992</v>
      </c>
      <c r="K729" s="2">
        <f t="shared" si="204"/>
        <v>1313502086759.8162</v>
      </c>
      <c r="L729" s="2">
        <f t="shared" si="205"/>
        <v>5369941625.2557011</v>
      </c>
      <c r="N729" s="42">
        <f t="shared" si="206"/>
        <v>102572.49216526217</v>
      </c>
      <c r="O729" s="42">
        <f t="shared" si="207"/>
        <v>1407852028086.594</v>
      </c>
      <c r="P729" s="4">
        <f t="shared" si="208"/>
        <v>40448.217834737821</v>
      </c>
      <c r="Q729" s="4">
        <f t="shared" si="209"/>
        <v>1636058326.0064027</v>
      </c>
      <c r="R729" s="43">
        <f t="shared" si="210"/>
        <v>3.7656480854386036E-3</v>
      </c>
      <c r="S729" s="4">
        <f t="shared" si="211"/>
        <v>3.3303254258857731E-2</v>
      </c>
      <c r="T729" s="30">
        <f t="shared" si="212"/>
        <v>-44104.388133795292</v>
      </c>
      <c r="U729" s="31">
        <f t="shared" si="213"/>
        <v>249249.37246431963</v>
      </c>
      <c r="V729" s="31">
        <f t="shared" si="214"/>
        <v>2490702.9868410937</v>
      </c>
      <c r="W729" s="42">
        <f t="shared" si="215"/>
        <v>2497310.2574153445</v>
      </c>
    </row>
    <row r="730" spans="2:23" x14ac:dyDescent="0.3">
      <c r="B730" s="2">
        <v>722</v>
      </c>
      <c r="C730" s="2">
        <v>6704</v>
      </c>
      <c r="D730" s="4">
        <v>4365711.84</v>
      </c>
      <c r="E730" s="4">
        <f t="shared" si="198"/>
        <v>29267732175.360001</v>
      </c>
      <c r="F730" s="2">
        <f t="shared" si="199"/>
        <v>44943616</v>
      </c>
      <c r="G730" s="2">
        <f t="shared" si="200"/>
        <v>19059439869916.184</v>
      </c>
      <c r="H730" s="42">
        <f t="shared" si="201"/>
        <v>1679.5190000000002</v>
      </c>
      <c r="I730" s="2">
        <f t="shared" si="202"/>
        <v>2820784.0713610006</v>
      </c>
      <c r="J730" s="4">
        <f t="shared" si="203"/>
        <v>3076609.943190001</v>
      </c>
      <c r="K730" s="2">
        <f t="shared" si="204"/>
        <v>9465528742535.5801</v>
      </c>
      <c r="L730" s="2">
        <f t="shared" si="205"/>
        <v>5167224855.176528</v>
      </c>
      <c r="N730" s="42">
        <f t="shared" si="206"/>
        <v>1714415.4727607979</v>
      </c>
      <c r="O730" s="42">
        <f t="shared" si="207"/>
        <v>180891637888.05591</v>
      </c>
      <c r="P730" s="4">
        <f t="shared" si="208"/>
        <v>2651296.3672392019</v>
      </c>
      <c r="Q730" s="4">
        <f t="shared" si="209"/>
        <v>7029372426935.7891</v>
      </c>
      <c r="R730" s="43">
        <f t="shared" si="210"/>
        <v>1.3553517003323757E-3</v>
      </c>
      <c r="S730" s="4">
        <f t="shared" si="211"/>
        <v>2.1803229471520522</v>
      </c>
      <c r="T730" s="30">
        <f t="shared" si="212"/>
        <v>1626418.4859657739</v>
      </c>
      <c r="U730" s="31">
        <f t="shared" si="213"/>
        <v>1802412.459555822</v>
      </c>
      <c r="V730" s="31">
        <f t="shared" si="214"/>
        <v>4105427.3709181221</v>
      </c>
      <c r="W730" s="42">
        <f t="shared" si="215"/>
        <v>4106276.3229746427</v>
      </c>
    </row>
    <row r="731" spans="2:23" x14ac:dyDescent="0.3">
      <c r="B731" s="2">
        <v>723</v>
      </c>
      <c r="C731" s="2">
        <v>3221</v>
      </c>
      <c r="D731" s="4">
        <v>2152497.67</v>
      </c>
      <c r="E731" s="4">
        <f t="shared" si="198"/>
        <v>6933194995.0699997</v>
      </c>
      <c r="F731" s="2">
        <f t="shared" si="199"/>
        <v>10374841</v>
      </c>
      <c r="G731" s="2">
        <f t="shared" si="200"/>
        <v>4633246219355.4287</v>
      </c>
      <c r="H731" s="42">
        <f t="shared" si="201"/>
        <v>-1803.4809999999998</v>
      </c>
      <c r="I731" s="2">
        <f t="shared" si="202"/>
        <v>3252543.717360999</v>
      </c>
      <c r="J731" s="4">
        <f t="shared" si="203"/>
        <v>863395.77319000079</v>
      </c>
      <c r="K731" s="2">
        <f t="shared" si="204"/>
        <v>745452261162.35925</v>
      </c>
      <c r="L731" s="2">
        <f t="shared" si="205"/>
        <v>-1557117872.4284756</v>
      </c>
      <c r="N731" s="42">
        <f t="shared" si="206"/>
        <v>832396.76083397144</v>
      </c>
      <c r="O731" s="42">
        <f t="shared" si="207"/>
        <v>208579581226.88196</v>
      </c>
      <c r="P731" s="4">
        <f t="shared" si="208"/>
        <v>1320100.9091660285</v>
      </c>
      <c r="Q731" s="4">
        <f t="shared" si="209"/>
        <v>1742666410380.9751</v>
      </c>
      <c r="R731" s="43">
        <f t="shared" si="210"/>
        <v>1.4097431462777499E-3</v>
      </c>
      <c r="S731" s="4">
        <f t="shared" si="211"/>
        <v>1.0856291759018977</v>
      </c>
      <c r="T731" s="30">
        <f t="shared" si="212"/>
        <v>742651.44408855145</v>
      </c>
      <c r="U731" s="31">
        <f t="shared" si="213"/>
        <v>922142.07757939142</v>
      </c>
      <c r="V731" s="31">
        <f t="shared" si="214"/>
        <v>3223343.6747024413</v>
      </c>
      <c r="W731" s="42">
        <f t="shared" si="215"/>
        <v>3224322.570506677</v>
      </c>
    </row>
    <row r="732" spans="2:23" x14ac:dyDescent="0.3">
      <c r="B732" s="2">
        <v>724</v>
      </c>
      <c r="C732" s="2">
        <v>9115</v>
      </c>
      <c r="D732" s="4">
        <v>996087.2</v>
      </c>
      <c r="E732" s="4">
        <f t="shared" si="198"/>
        <v>9079334828</v>
      </c>
      <c r="F732" s="2">
        <f t="shared" si="199"/>
        <v>83083225</v>
      </c>
      <c r="G732" s="2">
        <f t="shared" si="200"/>
        <v>992189710003.83997</v>
      </c>
      <c r="H732" s="42">
        <f t="shared" si="201"/>
        <v>4090.5190000000002</v>
      </c>
      <c r="I732" s="2">
        <f t="shared" si="202"/>
        <v>16732345.689361002</v>
      </c>
      <c r="J732" s="4">
        <f t="shared" si="203"/>
        <v>-293014.69680999918</v>
      </c>
      <c r="K732" s="2">
        <f t="shared" si="204"/>
        <v>85857612546.655746</v>
      </c>
      <c r="L732" s="2">
        <f t="shared" si="205"/>
        <v>-1198582184.5805411</v>
      </c>
      <c r="N732" s="42">
        <f t="shared" si="206"/>
        <v>2324965.8932189029</v>
      </c>
      <c r="O732" s="42">
        <f t="shared" si="207"/>
        <v>1073014219056.2253</v>
      </c>
      <c r="P732" s="4">
        <f t="shared" si="208"/>
        <v>-1328878.6932189029</v>
      </c>
      <c r="Q732" s="4">
        <f t="shared" si="209"/>
        <v>1765918581291.1792</v>
      </c>
      <c r="R732" s="43">
        <f t="shared" si="210"/>
        <v>3.1078775761785651E-3</v>
      </c>
      <c r="S732" s="4">
        <f t="shared" si="211"/>
        <v>-1.0937782785254966</v>
      </c>
      <c r="T732" s="30">
        <f t="shared" si="212"/>
        <v>2191713.8888911009</v>
      </c>
      <c r="U732" s="31">
        <f t="shared" si="213"/>
        <v>2458217.8975467049</v>
      </c>
      <c r="V732" s="31">
        <f t="shared" si="214"/>
        <v>4713883.0684590824</v>
      </c>
      <c r="W732" s="42">
        <f t="shared" si="215"/>
        <v>4718918.8906184062</v>
      </c>
    </row>
    <row r="733" spans="2:23" x14ac:dyDescent="0.3">
      <c r="B733" s="2">
        <v>725</v>
      </c>
      <c r="C733" s="2">
        <v>639</v>
      </c>
      <c r="D733" s="4">
        <v>98444.34</v>
      </c>
      <c r="E733" s="4">
        <f t="shared" si="198"/>
        <v>62905933.259999998</v>
      </c>
      <c r="F733" s="2">
        <f t="shared" si="199"/>
        <v>408321</v>
      </c>
      <c r="G733" s="2">
        <f t="shared" si="200"/>
        <v>9691288078.0355988</v>
      </c>
      <c r="H733" s="42">
        <f t="shared" si="201"/>
        <v>-4385.4809999999998</v>
      </c>
      <c r="I733" s="2">
        <f t="shared" si="202"/>
        <v>19232443.601360999</v>
      </c>
      <c r="J733" s="4">
        <f t="shared" si="203"/>
        <v>-1190657.556809999</v>
      </c>
      <c r="K733" s="2">
        <f t="shared" si="204"/>
        <v>1417665417588.7561</v>
      </c>
      <c r="L733" s="2">
        <f t="shared" si="205"/>
        <v>5221606092.8966713</v>
      </c>
      <c r="N733" s="42">
        <f t="shared" si="206"/>
        <v>178543.09612106119</v>
      </c>
      <c r="O733" s="42">
        <f t="shared" si="207"/>
        <v>1233340849787.6523</v>
      </c>
      <c r="P733" s="4">
        <f t="shared" si="208"/>
        <v>-80098.756121061189</v>
      </c>
      <c r="Q733" s="4">
        <f t="shared" si="209"/>
        <v>6415810732.1412373</v>
      </c>
      <c r="R733" s="43">
        <f t="shared" si="210"/>
        <v>3.4228304479869947E-3</v>
      </c>
      <c r="S733" s="4">
        <f t="shared" si="211"/>
        <v>-6.5938390671534522E-2</v>
      </c>
      <c r="T733" s="30">
        <f t="shared" si="212"/>
        <v>38702.105413780228</v>
      </c>
      <c r="U733" s="31">
        <f t="shared" si="213"/>
        <v>318384.08682834217</v>
      </c>
      <c r="V733" s="31">
        <f t="shared" si="214"/>
        <v>2567083.6262634536</v>
      </c>
      <c r="W733" s="42">
        <f t="shared" si="215"/>
        <v>2572871.8871985707</v>
      </c>
    </row>
    <row r="734" spans="2:23" x14ac:dyDescent="0.3">
      <c r="B734" s="2">
        <v>726</v>
      </c>
      <c r="C734" s="2">
        <v>6079</v>
      </c>
      <c r="D734" s="4">
        <v>927533.82000000007</v>
      </c>
      <c r="E734" s="4">
        <f t="shared" si="198"/>
        <v>5638478091.7800007</v>
      </c>
      <c r="F734" s="2">
        <f t="shared" si="199"/>
        <v>36954241</v>
      </c>
      <c r="G734" s="2">
        <f t="shared" si="200"/>
        <v>860318987243.79248</v>
      </c>
      <c r="H734" s="42">
        <f t="shared" si="201"/>
        <v>1054.5190000000002</v>
      </c>
      <c r="I734" s="2">
        <f t="shared" si="202"/>
        <v>1112010.3213610004</v>
      </c>
      <c r="J734" s="4">
        <f t="shared" si="203"/>
        <v>-361568.07680999907</v>
      </c>
      <c r="K734" s="2">
        <f t="shared" si="204"/>
        <v>130731474168.08139</v>
      </c>
      <c r="L734" s="2">
        <f t="shared" si="205"/>
        <v>-381280406.78960347</v>
      </c>
      <c r="N734" s="42">
        <f t="shared" si="206"/>
        <v>1556143.3811862166</v>
      </c>
      <c r="O734" s="42">
        <f t="shared" si="207"/>
        <v>71311154377.853607</v>
      </c>
      <c r="P734" s="4">
        <f t="shared" si="208"/>
        <v>-628609.56118621654</v>
      </c>
      <c r="Q734" s="4">
        <f t="shared" si="209"/>
        <v>395149980414.72772</v>
      </c>
      <c r="R734" s="43">
        <f t="shared" si="210"/>
        <v>1.1400868512037947E-3</v>
      </c>
      <c r="S734" s="4">
        <f t="shared" si="211"/>
        <v>-0.51688833194307693</v>
      </c>
      <c r="T734" s="30">
        <f t="shared" si="212"/>
        <v>1475436.4623988119</v>
      </c>
      <c r="U734" s="31">
        <f t="shared" si="213"/>
        <v>1636850.2999736213</v>
      </c>
      <c r="V734" s="31">
        <f t="shared" si="214"/>
        <v>3947412.45012738</v>
      </c>
      <c r="W734" s="42">
        <f t="shared" si="215"/>
        <v>3947747.1242508679</v>
      </c>
    </row>
    <row r="735" spans="2:23" x14ac:dyDescent="0.3">
      <c r="B735" s="2">
        <v>727</v>
      </c>
      <c r="C735" s="2">
        <v>754</v>
      </c>
      <c r="D735" s="4">
        <v>82397.119999999995</v>
      </c>
      <c r="E735" s="4">
        <f t="shared" si="198"/>
        <v>62127428.479999997</v>
      </c>
      <c r="F735" s="2">
        <f t="shared" si="199"/>
        <v>568516</v>
      </c>
      <c r="G735" s="2">
        <f t="shared" si="200"/>
        <v>6789285384.2943993</v>
      </c>
      <c r="H735" s="42">
        <f t="shared" si="201"/>
        <v>-4270.4809999999998</v>
      </c>
      <c r="I735" s="2">
        <f t="shared" si="202"/>
        <v>18237007.971360996</v>
      </c>
      <c r="J735" s="4">
        <f t="shared" si="203"/>
        <v>-1206704.7768099993</v>
      </c>
      <c r="K735" s="2">
        <f t="shared" si="204"/>
        <v>1456136418376.0701</v>
      </c>
      <c r="L735" s="2">
        <f t="shared" si="205"/>
        <v>5153209821.9763422</v>
      </c>
      <c r="N735" s="42">
        <f t="shared" si="206"/>
        <v>207665.16097078414</v>
      </c>
      <c r="O735" s="42">
        <f t="shared" si="207"/>
        <v>1169505413622.5764</v>
      </c>
      <c r="P735" s="4">
        <f t="shared" si="208"/>
        <v>-125268.04097078415</v>
      </c>
      <c r="Q735" s="4">
        <f t="shared" si="209"/>
        <v>15692082088.658056</v>
      </c>
      <c r="R735" s="43">
        <f t="shared" si="210"/>
        <v>3.2974292351528409E-3</v>
      </c>
      <c r="S735" s="4">
        <f t="shared" si="211"/>
        <v>-0.10311587581506666</v>
      </c>
      <c r="T735" s="30">
        <f t="shared" si="212"/>
        <v>70409.729042999243</v>
      </c>
      <c r="U735" s="31">
        <f t="shared" si="213"/>
        <v>344920.59289856907</v>
      </c>
      <c r="V735" s="31">
        <f t="shared" si="214"/>
        <v>2596355.6627355507</v>
      </c>
      <c r="W735" s="42">
        <f t="shared" si="215"/>
        <v>2601844.333608951</v>
      </c>
    </row>
    <row r="736" spans="2:23" x14ac:dyDescent="0.3">
      <c r="B736" s="2">
        <v>728</v>
      </c>
      <c r="C736" s="2">
        <v>2012</v>
      </c>
      <c r="D736" s="4">
        <v>309968.72000000003</v>
      </c>
      <c r="E736" s="4">
        <f t="shared" si="198"/>
        <v>623657064.6400001</v>
      </c>
      <c r="F736" s="2">
        <f t="shared" si="199"/>
        <v>4048144</v>
      </c>
      <c r="G736" s="2">
        <f t="shared" si="200"/>
        <v>96080607378.438416</v>
      </c>
      <c r="H736" s="42">
        <f t="shared" si="201"/>
        <v>-3012.4809999999998</v>
      </c>
      <c r="I736" s="2">
        <f t="shared" si="202"/>
        <v>9075041.7753609978</v>
      </c>
      <c r="J736" s="4">
        <f t="shared" si="203"/>
        <v>-979133.17680999916</v>
      </c>
      <c r="K736" s="2">
        <f t="shared" si="204"/>
        <v>958701777930.04114</v>
      </c>
      <c r="L736" s="2">
        <f t="shared" si="205"/>
        <v>2949620091.6097627</v>
      </c>
      <c r="N736" s="42">
        <f t="shared" si="206"/>
        <v>526235.22689210135</v>
      </c>
      <c r="O736" s="42">
        <f t="shared" si="207"/>
        <v>581965556071.6228</v>
      </c>
      <c r="P736" s="4">
        <f t="shared" si="208"/>
        <v>-216266.50689210132</v>
      </c>
      <c r="Q736" s="4">
        <f t="shared" si="209"/>
        <v>46771202003.311302</v>
      </c>
      <c r="R736" s="43">
        <f t="shared" si="210"/>
        <v>2.143239412829612E-3</v>
      </c>
      <c r="S736" s="4">
        <f t="shared" si="211"/>
        <v>-0.17791935764823263</v>
      </c>
      <c r="T736" s="30">
        <f t="shared" si="212"/>
        <v>415578.67270176695</v>
      </c>
      <c r="U736" s="31">
        <f t="shared" si="213"/>
        <v>636891.78108243574</v>
      </c>
      <c r="V736" s="31">
        <f t="shared" si="214"/>
        <v>2916305.6220540553</v>
      </c>
      <c r="W736" s="42">
        <f t="shared" si="215"/>
        <v>2919036.875605586</v>
      </c>
    </row>
    <row r="737" spans="2:23" x14ac:dyDescent="0.3">
      <c r="B737" s="2">
        <v>729</v>
      </c>
      <c r="C737" s="2">
        <v>4232</v>
      </c>
      <c r="D737" s="4">
        <v>1080344.96</v>
      </c>
      <c r="E737" s="4">
        <f t="shared" si="198"/>
        <v>4572019870.7200003</v>
      </c>
      <c r="F737" s="2">
        <f t="shared" si="199"/>
        <v>17909824</v>
      </c>
      <c r="G737" s="2">
        <f t="shared" si="200"/>
        <v>1167145232597.4016</v>
      </c>
      <c r="H737" s="42">
        <f t="shared" si="201"/>
        <v>-792.48099999999977</v>
      </c>
      <c r="I737" s="2">
        <f t="shared" si="202"/>
        <v>628026.13536099961</v>
      </c>
      <c r="J737" s="4">
        <f t="shared" si="203"/>
        <v>-208756.93680999917</v>
      </c>
      <c r="K737" s="2">
        <f t="shared" si="204"/>
        <v>43579458666.293983</v>
      </c>
      <c r="L737" s="2">
        <f t="shared" si="205"/>
        <v>165435906.04012489</v>
      </c>
      <c r="N737" s="42">
        <f t="shared" si="206"/>
        <v>1088417.6961650141</v>
      </c>
      <c r="O737" s="42">
        <f t="shared" si="207"/>
        <v>40274148388.516624</v>
      </c>
      <c r="P737" s="4">
        <f t="shared" si="208"/>
        <v>-8072.7361650140956</v>
      </c>
      <c r="Q737" s="4">
        <f t="shared" si="209"/>
        <v>65169069.18992649</v>
      </c>
      <c r="R737" s="43">
        <f t="shared" si="210"/>
        <v>1.0791163553848433E-3</v>
      </c>
      <c r="S737" s="4">
        <f t="shared" si="211"/>
        <v>-6.6377860645740108E-3</v>
      </c>
      <c r="T737" s="30">
        <f t="shared" si="212"/>
        <v>1009898.4834920685</v>
      </c>
      <c r="U737" s="31">
        <f t="shared" si="213"/>
        <v>1166936.9088379596</v>
      </c>
      <c r="V737" s="31">
        <f t="shared" si="214"/>
        <v>3479759.599794881</v>
      </c>
      <c r="W737" s="42">
        <f t="shared" si="215"/>
        <v>3479948.6125153489</v>
      </c>
    </row>
    <row r="738" spans="2:23" x14ac:dyDescent="0.3">
      <c r="B738" s="2">
        <v>730</v>
      </c>
      <c r="C738" s="2">
        <v>3826</v>
      </c>
      <c r="D738" s="4">
        <v>418105.28</v>
      </c>
      <c r="E738" s="4">
        <f t="shared" si="198"/>
        <v>1599670801.2800002</v>
      </c>
      <c r="F738" s="2">
        <f t="shared" si="199"/>
        <v>14638276</v>
      </c>
      <c r="G738" s="2">
        <f t="shared" si="200"/>
        <v>174812025163.87842</v>
      </c>
      <c r="H738" s="42">
        <f t="shared" si="201"/>
        <v>-1198.4809999999998</v>
      </c>
      <c r="I738" s="2">
        <f t="shared" si="202"/>
        <v>1436356.7073609994</v>
      </c>
      <c r="J738" s="4">
        <f t="shared" si="203"/>
        <v>-870996.6168099991</v>
      </c>
      <c r="K738" s="2">
        <f t="shared" si="204"/>
        <v>758635106494.46436</v>
      </c>
      <c r="L738" s="2">
        <f t="shared" si="205"/>
        <v>1043872896.3110644</v>
      </c>
      <c r="N738" s="42">
        <f t="shared" si="206"/>
        <v>985604.14547816606</v>
      </c>
      <c r="O738" s="42">
        <f t="shared" si="207"/>
        <v>92110885063.479187</v>
      </c>
      <c r="P738" s="4">
        <f t="shared" si="208"/>
        <v>-567498.86547816603</v>
      </c>
      <c r="Q738" s="4">
        <f t="shared" si="209"/>
        <v>322054962319.00555</v>
      </c>
      <c r="R738" s="43">
        <f t="shared" si="210"/>
        <v>1.1809467812253617E-3</v>
      </c>
      <c r="S738" s="4">
        <f t="shared" si="211"/>
        <v>-0.46664823427316193</v>
      </c>
      <c r="T738" s="30">
        <f t="shared" si="212"/>
        <v>903463.71734552714</v>
      </c>
      <c r="U738" s="31">
        <f t="shared" si="213"/>
        <v>1067744.573610805</v>
      </c>
      <c r="V738" s="31">
        <f t="shared" si="214"/>
        <v>3376824.4023514395</v>
      </c>
      <c r="W738" s="42">
        <f t="shared" si="215"/>
        <v>3377256.6927840048</v>
      </c>
    </row>
    <row r="739" spans="2:23" x14ac:dyDescent="0.3">
      <c r="B739" s="2">
        <v>731</v>
      </c>
      <c r="C739" s="2">
        <v>4236</v>
      </c>
      <c r="D739" s="4">
        <v>646328.88</v>
      </c>
      <c r="E739" s="4">
        <f t="shared" si="198"/>
        <v>2737849135.6799998</v>
      </c>
      <c r="F739" s="2">
        <f t="shared" si="199"/>
        <v>17943696</v>
      </c>
      <c r="G739" s="2">
        <f t="shared" si="200"/>
        <v>417741021122.05438</v>
      </c>
      <c r="H739" s="42">
        <f t="shared" si="201"/>
        <v>-788.48099999999977</v>
      </c>
      <c r="I739" s="2">
        <f t="shared" si="202"/>
        <v>621702.28736099962</v>
      </c>
      <c r="J739" s="4">
        <f t="shared" si="203"/>
        <v>-642773.01680999913</v>
      </c>
      <c r="K739" s="2">
        <f t="shared" si="204"/>
        <v>413157151139.0274</v>
      </c>
      <c r="L739" s="2">
        <f t="shared" si="205"/>
        <v>506814311.06736475</v>
      </c>
      <c r="N739" s="42">
        <f t="shared" si="206"/>
        <v>1089430.6375510914</v>
      </c>
      <c r="O739" s="42">
        <f t="shared" si="207"/>
        <v>39868611774.037956</v>
      </c>
      <c r="P739" s="4">
        <f t="shared" si="208"/>
        <v>-443101.75755109137</v>
      </c>
      <c r="Q739" s="4">
        <f t="shared" si="209"/>
        <v>196339167544.86615</v>
      </c>
      <c r="R739" s="43">
        <f t="shared" si="210"/>
        <v>1.0783197009502628E-3</v>
      </c>
      <c r="S739" s="4">
        <f t="shared" si="211"/>
        <v>-0.3643391086378921</v>
      </c>
      <c r="T739" s="30">
        <f t="shared" si="212"/>
        <v>1010940.4135167478</v>
      </c>
      <c r="U739" s="31">
        <f t="shared" si="213"/>
        <v>1167920.861585435</v>
      </c>
      <c r="V739" s="31">
        <f t="shared" si="214"/>
        <v>3480773.4928409671</v>
      </c>
      <c r="W739" s="42">
        <f t="shared" si="215"/>
        <v>3480960.6023162529</v>
      </c>
    </row>
    <row r="740" spans="2:23" x14ac:dyDescent="0.3">
      <c r="B740" s="2">
        <v>732</v>
      </c>
      <c r="C740" s="2">
        <v>936</v>
      </c>
      <c r="D740" s="4">
        <v>409219.2</v>
      </c>
      <c r="E740" s="4">
        <f t="shared" si="198"/>
        <v>383029171.19999999</v>
      </c>
      <c r="F740" s="2">
        <f t="shared" si="199"/>
        <v>876096</v>
      </c>
      <c r="G740" s="2">
        <f t="shared" si="200"/>
        <v>167460353648.64001</v>
      </c>
      <c r="H740" s="42">
        <f t="shared" si="201"/>
        <v>-4088.4809999999998</v>
      </c>
      <c r="I740" s="2">
        <f t="shared" si="202"/>
        <v>16715676.887360997</v>
      </c>
      <c r="J740" s="4">
        <f t="shared" si="203"/>
        <v>-879882.69680999918</v>
      </c>
      <c r="K740" s="2">
        <f t="shared" si="204"/>
        <v>774193560145.63696</v>
      </c>
      <c r="L740" s="2">
        <f t="shared" si="205"/>
        <v>3597383688.1364422</v>
      </c>
      <c r="N740" s="42">
        <f t="shared" si="206"/>
        <v>253753.99403730221</v>
      </c>
      <c r="O740" s="42">
        <f t="shared" si="207"/>
        <v>1071945279775.8219</v>
      </c>
      <c r="P740" s="4">
        <f t="shared" si="208"/>
        <v>155465.2059626978</v>
      </c>
      <c r="Q740" s="4">
        <f t="shared" si="209"/>
        <v>24169430265.024048</v>
      </c>
      <c r="R740" s="43">
        <f t="shared" si="210"/>
        <v>3.1057777035958518E-3</v>
      </c>
      <c r="S740" s="4">
        <f t="shared" si="211"/>
        <v>0.12796072893939503</v>
      </c>
      <c r="T740" s="30">
        <f t="shared" si="212"/>
        <v>120547.01392685893</v>
      </c>
      <c r="U740" s="31">
        <f t="shared" si="213"/>
        <v>386960.97414774552</v>
      </c>
      <c r="V740" s="31">
        <f t="shared" si="214"/>
        <v>2642673.6802688735</v>
      </c>
      <c r="W740" s="42">
        <f t="shared" si="215"/>
        <v>2647704.4857248049</v>
      </c>
    </row>
    <row r="741" spans="2:23" x14ac:dyDescent="0.3">
      <c r="B741" s="2">
        <v>733</v>
      </c>
      <c r="C741" s="2">
        <v>6431</v>
      </c>
      <c r="D741" s="4">
        <v>702779.68</v>
      </c>
      <c r="E741" s="4">
        <f t="shared" si="198"/>
        <v>4519576122.0799999</v>
      </c>
      <c r="F741" s="2">
        <f t="shared" si="199"/>
        <v>41357761</v>
      </c>
      <c r="G741" s="2">
        <f t="shared" si="200"/>
        <v>493899278620.90247</v>
      </c>
      <c r="H741" s="42">
        <f t="shared" si="201"/>
        <v>1406.5190000000002</v>
      </c>
      <c r="I741" s="2">
        <f t="shared" si="202"/>
        <v>1978295.6973610006</v>
      </c>
      <c r="J741" s="4">
        <f t="shared" si="203"/>
        <v>-586322.21680999908</v>
      </c>
      <c r="K741" s="2">
        <f t="shared" si="204"/>
        <v>343773741924.99158</v>
      </c>
      <c r="L741" s="2">
        <f t="shared" si="205"/>
        <v>-824673338.0653832</v>
      </c>
      <c r="N741" s="42">
        <f t="shared" si="206"/>
        <v>1645282.2231610208</v>
      </c>
      <c r="O741" s="42">
        <f t="shared" si="207"/>
        <v>126864424879.52029</v>
      </c>
      <c r="P741" s="4">
        <f t="shared" si="208"/>
        <v>-942502.54316102073</v>
      </c>
      <c r="Q741" s="4">
        <f t="shared" si="209"/>
        <v>888311043864.9917</v>
      </c>
      <c r="R741" s="43">
        <f t="shared" si="210"/>
        <v>1.2492182038869315E-3</v>
      </c>
      <c r="S741" s="4">
        <f t="shared" si="211"/>
        <v>-0.77503622705276431</v>
      </c>
      <c r="T741" s="30">
        <f t="shared" si="212"/>
        <v>1560800.8526055212</v>
      </c>
      <c r="U741" s="31">
        <f t="shared" si="213"/>
        <v>1729763.5937165204</v>
      </c>
      <c r="V741" s="31">
        <f t="shared" si="214"/>
        <v>4036420.9194402555</v>
      </c>
      <c r="W741" s="42">
        <f t="shared" si="215"/>
        <v>4037016.3135380489</v>
      </c>
    </row>
    <row r="742" spans="2:23" x14ac:dyDescent="0.3">
      <c r="B742" s="2">
        <v>734</v>
      </c>
      <c r="C742" s="2">
        <v>5257</v>
      </c>
      <c r="D742" s="4">
        <v>3423410.97</v>
      </c>
      <c r="E742" s="4">
        <f t="shared" si="198"/>
        <v>17996871469.290001</v>
      </c>
      <c r="F742" s="2">
        <f t="shared" si="199"/>
        <v>27636049</v>
      </c>
      <c r="G742" s="2">
        <f t="shared" si="200"/>
        <v>11719742669516.342</v>
      </c>
      <c r="H742" s="42">
        <f t="shared" si="201"/>
        <v>232.51900000000023</v>
      </c>
      <c r="I742" s="2">
        <f t="shared" si="202"/>
        <v>54065.085361000107</v>
      </c>
      <c r="J742" s="4">
        <f t="shared" si="203"/>
        <v>2134309.0731900008</v>
      </c>
      <c r="K742" s="2">
        <f t="shared" si="204"/>
        <v>4555275219901.1602</v>
      </c>
      <c r="L742" s="2">
        <f t="shared" si="205"/>
        <v>496267411.38906628</v>
      </c>
      <c r="N742" s="42">
        <f t="shared" si="206"/>
        <v>1347983.9263473274</v>
      </c>
      <c r="O742" s="42">
        <f t="shared" si="207"/>
        <v>3467093402.4348006</v>
      </c>
      <c r="P742" s="4">
        <f t="shared" si="208"/>
        <v>2075427.0436526728</v>
      </c>
      <c r="Q742" s="4">
        <f t="shared" si="209"/>
        <v>4307397413524.8735</v>
      </c>
      <c r="R742" s="43">
        <f t="shared" si="210"/>
        <v>1.0068109148114895E-3</v>
      </c>
      <c r="S742" s="4">
        <f t="shared" si="211"/>
        <v>1.7064526657708832</v>
      </c>
      <c r="T742" s="30">
        <f t="shared" si="212"/>
        <v>1272140.8821756386</v>
      </c>
      <c r="U742" s="31">
        <f t="shared" si="213"/>
        <v>1423826.9705190163</v>
      </c>
      <c r="V742" s="31">
        <f t="shared" si="214"/>
        <v>3739412.2023919313</v>
      </c>
      <c r="W742" s="42">
        <f t="shared" si="215"/>
        <v>3739428.4739900115</v>
      </c>
    </row>
    <row r="743" spans="2:23" x14ac:dyDescent="0.3">
      <c r="B743" s="2">
        <v>735</v>
      </c>
      <c r="C743" s="2">
        <v>8981</v>
      </c>
      <c r="D743" s="4">
        <v>1847391.7</v>
      </c>
      <c r="E743" s="4">
        <f t="shared" si="198"/>
        <v>16591424857.699999</v>
      </c>
      <c r="F743" s="2">
        <f t="shared" si="199"/>
        <v>80658361</v>
      </c>
      <c r="G743" s="2">
        <f t="shared" si="200"/>
        <v>3412856093228.8896</v>
      </c>
      <c r="H743" s="42">
        <f t="shared" si="201"/>
        <v>3956.5190000000002</v>
      </c>
      <c r="I743" s="2">
        <f t="shared" si="202"/>
        <v>15654042.597361002</v>
      </c>
      <c r="J743" s="4">
        <f t="shared" si="203"/>
        <v>558289.80319000082</v>
      </c>
      <c r="K743" s="2">
        <f t="shared" si="204"/>
        <v>311687504345.92987</v>
      </c>
      <c r="L743" s="2">
        <f t="shared" si="205"/>
        <v>2208884213.8274989</v>
      </c>
      <c r="N743" s="42">
        <f t="shared" si="206"/>
        <v>2291032.3567853123</v>
      </c>
      <c r="O743" s="42">
        <f t="shared" si="207"/>
        <v>1003864646626.3427</v>
      </c>
      <c r="P743" s="4">
        <f t="shared" si="208"/>
        <v>-443640.65678531234</v>
      </c>
      <c r="Q743" s="4">
        <f t="shared" si="209"/>
        <v>196817032352.90329</v>
      </c>
      <c r="R743" s="43">
        <f t="shared" si="210"/>
        <v>2.9720370341441019E-3</v>
      </c>
      <c r="S743" s="4">
        <f t="shared" si="211"/>
        <v>-0.36512847939350984</v>
      </c>
      <c r="T743" s="30">
        <f t="shared" si="212"/>
        <v>2160725.0084859668</v>
      </c>
      <c r="U743" s="31">
        <f t="shared" si="213"/>
        <v>2421339.7050846578</v>
      </c>
      <c r="V743" s="31">
        <f t="shared" si="214"/>
        <v>4680111.9623644333</v>
      </c>
      <c r="W743" s="42">
        <f t="shared" si="215"/>
        <v>4684823.2545292024</v>
      </c>
    </row>
    <row r="744" spans="2:23" x14ac:dyDescent="0.3">
      <c r="B744" s="2">
        <v>736</v>
      </c>
      <c r="C744" s="2">
        <v>1201</v>
      </c>
      <c r="D744" s="4">
        <v>185026.06</v>
      </c>
      <c r="E744" s="4">
        <f t="shared" si="198"/>
        <v>222216298.06</v>
      </c>
      <c r="F744" s="2">
        <f t="shared" si="199"/>
        <v>1442401</v>
      </c>
      <c r="G744" s="2">
        <f t="shared" si="200"/>
        <v>34234642879.1236</v>
      </c>
      <c r="H744" s="42">
        <f t="shared" si="201"/>
        <v>-3823.4809999999998</v>
      </c>
      <c r="I744" s="2">
        <f t="shared" si="202"/>
        <v>14619006.957360998</v>
      </c>
      <c r="J744" s="4">
        <f t="shared" si="203"/>
        <v>-1104075.8368099991</v>
      </c>
      <c r="K744" s="2">
        <f t="shared" si="204"/>
        <v>1218983453427.6997</v>
      </c>
      <c r="L744" s="2">
        <f t="shared" si="205"/>
        <v>4221412984.6021318</v>
      </c>
      <c r="N744" s="42">
        <f t="shared" si="206"/>
        <v>320861.36086492467</v>
      </c>
      <c r="O744" s="42">
        <f t="shared" si="207"/>
        <v>937489735447.20496</v>
      </c>
      <c r="P744" s="4">
        <f t="shared" si="208"/>
        <v>-135835.30086492468</v>
      </c>
      <c r="Q744" s="4">
        <f t="shared" si="209"/>
        <v>18451228961.064606</v>
      </c>
      <c r="R744" s="43">
        <f t="shared" si="210"/>
        <v>2.8416471619405375E-3</v>
      </c>
      <c r="S744" s="4">
        <f t="shared" si="211"/>
        <v>-0.11178888426565717</v>
      </c>
      <c r="T744" s="30">
        <f t="shared" si="212"/>
        <v>193444.5077797728</v>
      </c>
      <c r="U744" s="31">
        <f t="shared" si="213"/>
        <v>448278.21395007655</v>
      </c>
      <c r="V744" s="31">
        <f t="shared" si="214"/>
        <v>2710096.868797278</v>
      </c>
      <c r="W744" s="42">
        <f t="shared" si="215"/>
        <v>2714496.652957439</v>
      </c>
    </row>
    <row r="745" spans="2:23" x14ac:dyDescent="0.3">
      <c r="B745" s="2">
        <v>737</v>
      </c>
      <c r="C745" s="2">
        <v>2549</v>
      </c>
      <c r="D745" s="4">
        <v>388926.42000000004</v>
      </c>
      <c r="E745" s="4">
        <f t="shared" si="198"/>
        <v>991373444.58000016</v>
      </c>
      <c r="F745" s="2">
        <f t="shared" si="199"/>
        <v>6497401</v>
      </c>
      <c r="G745" s="2">
        <f t="shared" si="200"/>
        <v>151263760174.01642</v>
      </c>
      <c r="H745" s="42">
        <f t="shared" si="201"/>
        <v>-2475.4809999999998</v>
      </c>
      <c r="I745" s="2">
        <f t="shared" si="202"/>
        <v>6128006.1813609991</v>
      </c>
      <c r="J745" s="4">
        <f t="shared" si="203"/>
        <v>-900175.47680999909</v>
      </c>
      <c r="K745" s="2">
        <f t="shared" si="204"/>
        <v>810315889050.10925</v>
      </c>
      <c r="L745" s="2">
        <f t="shared" si="205"/>
        <v>2228367289.5090933</v>
      </c>
      <c r="N745" s="42">
        <f t="shared" si="206"/>
        <v>662222.60797298164</v>
      </c>
      <c r="O745" s="42">
        <f t="shared" si="207"/>
        <v>392977642772.80481</v>
      </c>
      <c r="P745" s="4">
        <f t="shared" si="208"/>
        <v>-273296.1879729816</v>
      </c>
      <c r="Q745" s="4">
        <f t="shared" si="209"/>
        <v>74690806360.563293</v>
      </c>
      <c r="R745" s="43">
        <f t="shared" si="210"/>
        <v>1.7719830235510621E-3</v>
      </c>
      <c r="S745" s="4">
        <f t="shared" si="211"/>
        <v>-0.22479504540549236</v>
      </c>
      <c r="T745" s="30">
        <f t="shared" si="212"/>
        <v>561605.55864234839</v>
      </c>
      <c r="U745" s="31">
        <f t="shared" si="213"/>
        <v>762839.65730361489</v>
      </c>
      <c r="V745" s="31">
        <f t="shared" si="214"/>
        <v>3052736.6899643205</v>
      </c>
      <c r="W745" s="42">
        <f t="shared" si="215"/>
        <v>3054580.9941092841</v>
      </c>
    </row>
    <row r="746" spans="2:23" x14ac:dyDescent="0.3">
      <c r="B746" s="2">
        <v>738</v>
      </c>
      <c r="C746" s="2">
        <v>5684</v>
      </c>
      <c r="D746" s="4">
        <v>1169198.8</v>
      </c>
      <c r="E746" s="4">
        <f t="shared" si="198"/>
        <v>6645725979.1999998</v>
      </c>
      <c r="F746" s="2">
        <f t="shared" si="199"/>
        <v>32307856</v>
      </c>
      <c r="G746" s="2">
        <f t="shared" si="200"/>
        <v>1367025833921.4402</v>
      </c>
      <c r="H746" s="42">
        <f t="shared" si="201"/>
        <v>659.51900000000023</v>
      </c>
      <c r="I746" s="2">
        <f t="shared" si="202"/>
        <v>434965.31136100029</v>
      </c>
      <c r="J746" s="4">
        <f t="shared" si="203"/>
        <v>-119903.09680999909</v>
      </c>
      <c r="K746" s="2">
        <f t="shared" si="204"/>
        <v>14376752624.628014</v>
      </c>
      <c r="L746" s="2">
        <f t="shared" si="205"/>
        <v>-79078370.505033821</v>
      </c>
      <c r="N746" s="42">
        <f t="shared" si="206"/>
        <v>1456115.4193110813</v>
      </c>
      <c r="O746" s="42">
        <f t="shared" si="207"/>
        <v>27893516698.219479</v>
      </c>
      <c r="P746" s="4">
        <f t="shared" si="208"/>
        <v>-286916.61931108125</v>
      </c>
      <c r="Q746" s="4">
        <f t="shared" si="209"/>
        <v>82321146436.899918</v>
      </c>
      <c r="R746" s="43">
        <f t="shared" si="210"/>
        <v>1.0547952835337575E-3</v>
      </c>
      <c r="S746" s="4">
        <f t="shared" si="211"/>
        <v>-0.23591356315879039</v>
      </c>
      <c r="T746" s="30">
        <f t="shared" si="212"/>
        <v>1378486.0802897026</v>
      </c>
      <c r="U746" s="31">
        <f t="shared" si="213"/>
        <v>1533744.75833246</v>
      </c>
      <c r="V746" s="31">
        <f t="shared" si="214"/>
        <v>3847486.3760089334</v>
      </c>
      <c r="W746" s="42">
        <f t="shared" si="215"/>
        <v>3847617.2845366951</v>
      </c>
    </row>
    <row r="747" spans="2:23" x14ac:dyDescent="0.3">
      <c r="B747" s="2">
        <v>739</v>
      </c>
      <c r="C747" s="2">
        <v>300</v>
      </c>
      <c r="D747" s="4">
        <v>32784</v>
      </c>
      <c r="E747" s="4">
        <f t="shared" si="198"/>
        <v>9835200</v>
      </c>
      <c r="F747" s="2">
        <f t="shared" si="199"/>
        <v>90000</v>
      </c>
      <c r="G747" s="2">
        <f t="shared" si="200"/>
        <v>1074790656</v>
      </c>
      <c r="H747" s="42">
        <f t="shared" si="201"/>
        <v>-4724.4809999999998</v>
      </c>
      <c r="I747" s="2">
        <f t="shared" si="202"/>
        <v>22320720.719360996</v>
      </c>
      <c r="J747" s="4">
        <f t="shared" si="203"/>
        <v>-1256317.8968099991</v>
      </c>
      <c r="K747" s="2">
        <f t="shared" si="204"/>
        <v>1578334657845.0996</v>
      </c>
      <c r="L747" s="2">
        <f t="shared" si="205"/>
        <v>5935450033.4388008</v>
      </c>
      <c r="N747" s="42">
        <f t="shared" si="206"/>
        <v>92696.313651008299</v>
      </c>
      <c r="O747" s="42">
        <f t="shared" si="207"/>
        <v>1431386319414.0049</v>
      </c>
      <c r="P747" s="4">
        <f t="shared" si="208"/>
        <v>-59912.313651008299</v>
      </c>
      <c r="Q747" s="4">
        <f t="shared" si="209"/>
        <v>3589485327.0167952</v>
      </c>
      <c r="R747" s="43">
        <f t="shared" si="210"/>
        <v>3.811879909844375E-3</v>
      </c>
      <c r="S747" s="4">
        <f t="shared" si="211"/>
        <v>-4.9330265216130376E-2</v>
      </c>
      <c r="T747" s="30">
        <f t="shared" si="212"/>
        <v>-54878.214671473339</v>
      </c>
      <c r="U747" s="31">
        <f t="shared" si="213"/>
        <v>240270.84197348994</v>
      </c>
      <c r="V747" s="31">
        <f t="shared" si="214"/>
        <v>2480771.5062287655</v>
      </c>
      <c r="W747" s="42">
        <f t="shared" si="215"/>
        <v>2487489.2271427568</v>
      </c>
    </row>
    <row r="748" spans="2:23" x14ac:dyDescent="0.3">
      <c r="B748" s="2">
        <v>740</v>
      </c>
      <c r="C748" s="2">
        <v>8119</v>
      </c>
      <c r="D748" s="4">
        <v>2072618.32</v>
      </c>
      <c r="E748" s="4">
        <f t="shared" si="198"/>
        <v>16827588140.08</v>
      </c>
      <c r="F748" s="2">
        <f t="shared" si="199"/>
        <v>65918161</v>
      </c>
      <c r="G748" s="2">
        <f t="shared" si="200"/>
        <v>4295746700399.6226</v>
      </c>
      <c r="H748" s="42">
        <f t="shared" si="201"/>
        <v>3094.5190000000002</v>
      </c>
      <c r="I748" s="2">
        <f t="shared" si="202"/>
        <v>9576047.8413610011</v>
      </c>
      <c r="J748" s="4">
        <f t="shared" si="203"/>
        <v>783516.42319000093</v>
      </c>
      <c r="K748" s="2">
        <f t="shared" si="204"/>
        <v>613897985408.45264</v>
      </c>
      <c r="L748" s="2">
        <f t="shared" si="205"/>
        <v>2424606458.3734989</v>
      </c>
      <c r="N748" s="42">
        <f t="shared" si="206"/>
        <v>2072743.4880856499</v>
      </c>
      <c r="O748" s="42">
        <f t="shared" si="207"/>
        <v>614094143577.03406</v>
      </c>
      <c r="P748" s="4">
        <f t="shared" si="208"/>
        <v>-125.1680856498424</v>
      </c>
      <c r="Q748" s="4">
        <f t="shared" si="209"/>
        <v>15667.049665246283</v>
      </c>
      <c r="R748" s="43">
        <f t="shared" si="210"/>
        <v>2.2063542606612775E-3</v>
      </c>
      <c r="S748" s="4">
        <f t="shared" si="211"/>
        <v>-1.0297724801732505E-4</v>
      </c>
      <c r="T748" s="30">
        <f t="shared" si="212"/>
        <v>1960469.429656252</v>
      </c>
      <c r="U748" s="31">
        <f t="shared" si="213"/>
        <v>2185017.546515048</v>
      </c>
      <c r="V748" s="31">
        <f t="shared" si="214"/>
        <v>4462738.4467871711</v>
      </c>
      <c r="W748" s="42">
        <f t="shared" si="215"/>
        <v>4465620.4847774776</v>
      </c>
    </row>
    <row r="749" spans="2:23" x14ac:dyDescent="0.3">
      <c r="B749" s="2">
        <v>741</v>
      </c>
      <c r="C749" s="2">
        <v>7898</v>
      </c>
      <c r="D749" s="4">
        <v>5143256.58</v>
      </c>
      <c r="E749" s="4">
        <f t="shared" si="198"/>
        <v>40621440468.840004</v>
      </c>
      <c r="F749" s="2">
        <f t="shared" si="199"/>
        <v>62378404</v>
      </c>
      <c r="G749" s="2">
        <f t="shared" si="200"/>
        <v>26453088247713.297</v>
      </c>
      <c r="H749" s="42">
        <f t="shared" si="201"/>
        <v>2873.5190000000002</v>
      </c>
      <c r="I749" s="2">
        <f t="shared" si="202"/>
        <v>8257111.4433610011</v>
      </c>
      <c r="J749" s="4">
        <f t="shared" si="203"/>
        <v>3854154.6831900012</v>
      </c>
      <c r="K749" s="2">
        <f t="shared" si="204"/>
        <v>14854508321955.418</v>
      </c>
      <c r="L749" s="2">
        <f t="shared" si="205"/>
        <v>11074986711.085449</v>
      </c>
      <c r="N749" s="42">
        <f t="shared" si="206"/>
        <v>2016778.4765048781</v>
      </c>
      <c r="O749" s="42">
        <f t="shared" si="207"/>
        <v>529513204636.43762</v>
      </c>
      <c r="P749" s="4">
        <f t="shared" si="208"/>
        <v>3126478.1034951219</v>
      </c>
      <c r="Q749" s="4">
        <f t="shared" si="209"/>
        <v>9774865331634.4551</v>
      </c>
      <c r="R749" s="43">
        <f t="shared" si="210"/>
        <v>2.0401996455604405E-3</v>
      </c>
      <c r="S749" s="4">
        <f t="shared" si="211"/>
        <v>2.5719759663107951</v>
      </c>
      <c r="T749" s="30">
        <f t="shared" si="212"/>
        <v>1908814.6838035595</v>
      </c>
      <c r="U749" s="31">
        <f t="shared" si="213"/>
        <v>2124742.269206197</v>
      </c>
      <c r="V749" s="31">
        <f t="shared" si="214"/>
        <v>4406972.0222832197</v>
      </c>
      <c r="W749" s="42">
        <f t="shared" si="215"/>
        <v>4409457.1088404339</v>
      </c>
    </row>
    <row r="750" spans="2:23" x14ac:dyDescent="0.3">
      <c r="B750" s="2">
        <v>742</v>
      </c>
      <c r="C750" s="2">
        <v>421</v>
      </c>
      <c r="D750" s="4">
        <v>107472.88</v>
      </c>
      <c r="E750" s="4">
        <f t="shared" si="198"/>
        <v>45246082.480000004</v>
      </c>
      <c r="F750" s="2">
        <f t="shared" si="199"/>
        <v>177241</v>
      </c>
      <c r="G750" s="2">
        <f t="shared" si="200"/>
        <v>11550419935.494402</v>
      </c>
      <c r="H750" s="42">
        <f t="shared" si="201"/>
        <v>-4603.4809999999998</v>
      </c>
      <c r="I750" s="2">
        <f t="shared" si="202"/>
        <v>21192037.317360997</v>
      </c>
      <c r="J750" s="4">
        <f t="shared" si="203"/>
        <v>-1181629.016809999</v>
      </c>
      <c r="K750" s="2">
        <f t="shared" si="204"/>
        <v>1396247133367.365</v>
      </c>
      <c r="L750" s="2">
        <f t="shared" si="205"/>
        <v>5439606727.9335108</v>
      </c>
      <c r="N750" s="42">
        <f t="shared" si="206"/>
        <v>123337.79057984723</v>
      </c>
      <c r="O750" s="42">
        <f t="shared" si="207"/>
        <v>1359005951374.5847</v>
      </c>
      <c r="P750" s="4">
        <f t="shared" si="208"/>
        <v>-15864.91057984723</v>
      </c>
      <c r="Q750" s="4">
        <f t="shared" si="209"/>
        <v>251695387.70654857</v>
      </c>
      <c r="R750" s="43">
        <f t="shared" si="210"/>
        <v>3.6696926470511215E-3</v>
      </c>
      <c r="S750" s="4">
        <f t="shared" si="211"/>
        <v>-1.3061829073292617E-2</v>
      </c>
      <c r="T750" s="30">
        <f t="shared" si="212"/>
        <v>-21458.236091576051</v>
      </c>
      <c r="U750" s="31">
        <f t="shared" si="213"/>
        <v>268133.81725127052</v>
      </c>
      <c r="V750" s="31">
        <f t="shared" si="214"/>
        <v>2511583.0622123615</v>
      </c>
      <c r="W750" s="42">
        <f t="shared" si="215"/>
        <v>2517961.0900657023</v>
      </c>
    </row>
    <row r="751" spans="2:23" x14ac:dyDescent="0.3">
      <c r="B751" s="2">
        <v>743</v>
      </c>
      <c r="C751" s="2">
        <v>3506</v>
      </c>
      <c r="D751" s="4">
        <v>895011.68</v>
      </c>
      <c r="E751" s="4">
        <f t="shared" si="198"/>
        <v>3137910950.0800004</v>
      </c>
      <c r="F751" s="2">
        <f t="shared" si="199"/>
        <v>12292036</v>
      </c>
      <c r="G751" s="2">
        <f t="shared" si="200"/>
        <v>801045907336.42249</v>
      </c>
      <c r="H751" s="42">
        <f t="shared" si="201"/>
        <v>-1518.4809999999998</v>
      </c>
      <c r="I751" s="2">
        <f t="shared" si="202"/>
        <v>2305784.5473609995</v>
      </c>
      <c r="J751" s="4">
        <f t="shared" si="203"/>
        <v>-394090.21680999908</v>
      </c>
      <c r="K751" s="2">
        <f t="shared" si="204"/>
        <v>155307098985.35208</v>
      </c>
      <c r="L751" s="2">
        <f t="shared" si="205"/>
        <v>598418506.51186407</v>
      </c>
      <c r="N751" s="42">
        <f t="shared" si="206"/>
        <v>904568.83459198044</v>
      </c>
      <c r="O751" s="42">
        <f t="shared" si="207"/>
        <v>147865675938.76663</v>
      </c>
      <c r="P751" s="4">
        <f t="shared" si="208"/>
        <v>-9557.1545919803903</v>
      </c>
      <c r="Q751" s="4">
        <f t="shared" si="209"/>
        <v>91339203.895011857</v>
      </c>
      <c r="R751" s="43">
        <f t="shared" si="210"/>
        <v>1.2904740096286466E-3</v>
      </c>
      <c r="S751" s="4">
        <f t="shared" si="211"/>
        <v>-7.8591766990066154E-3</v>
      </c>
      <c r="T751" s="30">
        <f t="shared" si="212"/>
        <v>818703.78405642742</v>
      </c>
      <c r="U751" s="31">
        <f t="shared" si="213"/>
        <v>990433.88512753346</v>
      </c>
      <c r="V751" s="31">
        <f t="shared" si="214"/>
        <v>3295658.2431903752</v>
      </c>
      <c r="W751" s="42">
        <f t="shared" si="215"/>
        <v>3296352.1993648368</v>
      </c>
    </row>
    <row r="752" spans="2:23" x14ac:dyDescent="0.3">
      <c r="B752" s="2">
        <v>744</v>
      </c>
      <c r="C752" s="2">
        <v>7002</v>
      </c>
      <c r="D752" s="4">
        <v>572273.46000000008</v>
      </c>
      <c r="E752" s="4">
        <f t="shared" si="198"/>
        <v>4007058766.9200006</v>
      </c>
      <c r="F752" s="2">
        <f t="shared" si="199"/>
        <v>49028004</v>
      </c>
      <c r="G752" s="2">
        <f t="shared" si="200"/>
        <v>327496913020.3717</v>
      </c>
      <c r="H752" s="42">
        <f t="shared" si="201"/>
        <v>1977.5190000000002</v>
      </c>
      <c r="I752" s="2">
        <f t="shared" si="202"/>
        <v>3910581.3953610011</v>
      </c>
      <c r="J752" s="4">
        <f t="shared" si="203"/>
        <v>-716828.43680999905</v>
      </c>
      <c r="K752" s="2">
        <f t="shared" si="204"/>
        <v>513843007819.4668</v>
      </c>
      <c r="L752" s="2">
        <f t="shared" si="205"/>
        <v>-1417541853.5320728</v>
      </c>
      <c r="N752" s="42">
        <f t="shared" si="206"/>
        <v>1789879.6060235584</v>
      </c>
      <c r="O752" s="42">
        <f t="shared" si="207"/>
        <v>250778314045.18015</v>
      </c>
      <c r="P752" s="4">
        <f t="shared" si="208"/>
        <v>-1217606.1460235585</v>
      </c>
      <c r="Q752" s="4">
        <f t="shared" si="209"/>
        <v>1482564726834.3433</v>
      </c>
      <c r="R752" s="43">
        <f t="shared" si="210"/>
        <v>1.4926402422072679E-3</v>
      </c>
      <c r="S752" s="4">
        <f t="shared" si="211"/>
        <v>-1.0013807414319857</v>
      </c>
      <c r="T752" s="30">
        <f t="shared" si="212"/>
        <v>1697533.3331496918</v>
      </c>
      <c r="U752" s="31">
        <f t="shared" si="213"/>
        <v>1882225.878897425</v>
      </c>
      <c r="V752" s="31">
        <f t="shared" si="214"/>
        <v>4180727.4750234243</v>
      </c>
      <c r="W752" s="42">
        <f t="shared" si="215"/>
        <v>4181904.4159313459</v>
      </c>
    </row>
    <row r="753" spans="2:23" x14ac:dyDescent="0.3">
      <c r="B753" s="2">
        <v>745</v>
      </c>
      <c r="C753" s="2">
        <v>7790</v>
      </c>
      <c r="D753" s="4">
        <v>5205823.3</v>
      </c>
      <c r="E753" s="4">
        <f t="shared" si="198"/>
        <v>40553363507</v>
      </c>
      <c r="F753" s="2">
        <f t="shared" si="199"/>
        <v>60684100</v>
      </c>
      <c r="G753" s="2">
        <f t="shared" si="200"/>
        <v>27100596230822.887</v>
      </c>
      <c r="H753" s="42">
        <f t="shared" si="201"/>
        <v>2765.5190000000002</v>
      </c>
      <c r="I753" s="2">
        <f t="shared" si="202"/>
        <v>7648095.3393610017</v>
      </c>
      <c r="J753" s="4">
        <f t="shared" si="203"/>
        <v>3916721.4031900009</v>
      </c>
      <c r="K753" s="2">
        <f t="shared" si="204"/>
        <v>15340706550206.65</v>
      </c>
      <c r="L753" s="2">
        <f t="shared" si="205"/>
        <v>10831767458.228609</v>
      </c>
      <c r="N753" s="42">
        <f t="shared" si="206"/>
        <v>1989429.0590807903</v>
      </c>
      <c r="O753" s="42">
        <f t="shared" si="207"/>
        <v>490458134214.25903</v>
      </c>
      <c r="P753" s="4">
        <f t="shared" si="208"/>
        <v>3216394.2409192096</v>
      </c>
      <c r="Q753" s="4">
        <f t="shared" si="209"/>
        <v>10345191913018.258</v>
      </c>
      <c r="R753" s="43">
        <f t="shared" si="210"/>
        <v>1.9634781019713986E-3</v>
      </c>
      <c r="S753" s="4">
        <f t="shared" si="211"/>
        <v>2.6458431636228212</v>
      </c>
      <c r="T753" s="30">
        <f t="shared" si="212"/>
        <v>1883514.7030996536</v>
      </c>
      <c r="U753" s="31">
        <f t="shared" si="213"/>
        <v>2095343.4150619269</v>
      </c>
      <c r="V753" s="31">
        <f t="shared" si="214"/>
        <v>4379714.2964556087</v>
      </c>
      <c r="W753" s="42">
        <f t="shared" si="215"/>
        <v>4382016.0915424293</v>
      </c>
    </row>
    <row r="754" spans="2:23" x14ac:dyDescent="0.3">
      <c r="B754" s="2">
        <v>746</v>
      </c>
      <c r="C754" s="2">
        <v>4779</v>
      </c>
      <c r="D754" s="4">
        <v>44588.07</v>
      </c>
      <c r="E754" s="4">
        <f t="shared" si="198"/>
        <v>213086386.53</v>
      </c>
      <c r="F754" s="2">
        <f t="shared" si="199"/>
        <v>22838841</v>
      </c>
      <c r="G754" s="2">
        <f t="shared" si="200"/>
        <v>1988095986.3248999</v>
      </c>
      <c r="H754" s="42">
        <f t="shared" si="201"/>
        <v>-245.48099999999977</v>
      </c>
      <c r="I754" s="2">
        <f t="shared" si="202"/>
        <v>60260.921360999884</v>
      </c>
      <c r="J754" s="4">
        <f t="shared" si="203"/>
        <v>-1244513.8268099991</v>
      </c>
      <c r="K754" s="2">
        <f t="shared" si="204"/>
        <v>1548814665121.2683</v>
      </c>
      <c r="L754" s="2">
        <f t="shared" si="205"/>
        <v>305504498.71914512</v>
      </c>
      <c r="N754" s="42">
        <f t="shared" si="206"/>
        <v>1226937.4307110875</v>
      </c>
      <c r="O754" s="42">
        <f t="shared" si="207"/>
        <v>3864420845.3627291</v>
      </c>
      <c r="P754" s="4">
        <f t="shared" si="208"/>
        <v>-1182349.3607110875</v>
      </c>
      <c r="Q754" s="4">
        <f t="shared" si="209"/>
        <v>1397950010773.9172</v>
      </c>
      <c r="R754" s="43">
        <f t="shared" si="210"/>
        <v>1.0075914427788493E-3</v>
      </c>
      <c r="S754" s="4">
        <f t="shared" si="211"/>
        <v>-0.9721488465846998</v>
      </c>
      <c r="T754" s="30">
        <f t="shared" si="212"/>
        <v>1151064.9936576399</v>
      </c>
      <c r="U754" s="31">
        <f t="shared" si="213"/>
        <v>1302809.8677645351</v>
      </c>
      <c r="V754" s="31">
        <f t="shared" si="214"/>
        <v>3618364.7743931962</v>
      </c>
      <c r="W754" s="42">
        <f t="shared" si="215"/>
        <v>3618382.9107095599</v>
      </c>
    </row>
    <row r="755" spans="2:23" x14ac:dyDescent="0.3">
      <c r="B755" s="2">
        <v>747</v>
      </c>
      <c r="C755" s="2">
        <v>3912</v>
      </c>
      <c r="D755" s="4">
        <v>1710326.4</v>
      </c>
      <c r="E755" s="4">
        <f t="shared" si="198"/>
        <v>6690796876.7999992</v>
      </c>
      <c r="F755" s="2">
        <f t="shared" si="199"/>
        <v>15303744</v>
      </c>
      <c r="G755" s="2">
        <f t="shared" si="200"/>
        <v>2925216394536.9595</v>
      </c>
      <c r="H755" s="42">
        <f t="shared" si="201"/>
        <v>-1112.4809999999998</v>
      </c>
      <c r="I755" s="2">
        <f t="shared" si="202"/>
        <v>1237613.9753609996</v>
      </c>
      <c r="J755" s="4">
        <f t="shared" si="203"/>
        <v>421224.50319000077</v>
      </c>
      <c r="K755" s="2">
        <f t="shared" si="204"/>
        <v>177430082087.66296</v>
      </c>
      <c r="L755" s="2">
        <f t="shared" si="205"/>
        <v>-468604256.53331518</v>
      </c>
      <c r="N755" s="42">
        <f t="shared" si="206"/>
        <v>1007382.3852788284</v>
      </c>
      <c r="O755" s="42">
        <f t="shared" si="207"/>
        <v>79365883177.36142</v>
      </c>
      <c r="P755" s="4">
        <f t="shared" si="208"/>
        <v>702944.01472117146</v>
      </c>
      <c r="Q755" s="4">
        <f t="shared" si="209"/>
        <v>494130287832.31854</v>
      </c>
      <c r="R755" s="43">
        <f t="shared" si="210"/>
        <v>1.1559099241110818E-3</v>
      </c>
      <c r="S755" s="4">
        <f t="shared" si="211"/>
        <v>0.57801608434652341</v>
      </c>
      <c r="T755" s="30">
        <f t="shared" si="212"/>
        <v>926117.33751351584</v>
      </c>
      <c r="U755" s="31">
        <f t="shared" si="213"/>
        <v>1088647.4330441409</v>
      </c>
      <c r="V755" s="31">
        <f t="shared" si="214"/>
        <v>3398632.5517872591</v>
      </c>
      <c r="W755" s="42">
        <f t="shared" si="215"/>
        <v>3399005.0279816845</v>
      </c>
    </row>
    <row r="756" spans="2:23" x14ac:dyDescent="0.3">
      <c r="B756" s="2">
        <v>748</v>
      </c>
      <c r="C756" s="2">
        <v>3164</v>
      </c>
      <c r="D756" s="4">
        <v>650834.79999999993</v>
      </c>
      <c r="E756" s="4">
        <f t="shared" si="198"/>
        <v>2059241307.1999998</v>
      </c>
      <c r="F756" s="2">
        <f t="shared" si="199"/>
        <v>10010896</v>
      </c>
      <c r="G756" s="2">
        <f t="shared" si="200"/>
        <v>423585936891.03992</v>
      </c>
      <c r="H756" s="42">
        <f t="shared" si="201"/>
        <v>-1860.4809999999998</v>
      </c>
      <c r="I756" s="2">
        <f t="shared" si="202"/>
        <v>3461389.5513609992</v>
      </c>
      <c r="J756" s="4">
        <f t="shared" si="203"/>
        <v>-638267.0968099992</v>
      </c>
      <c r="K756" s="2">
        <f t="shared" si="204"/>
        <v>407384886870.26489</v>
      </c>
      <c r="L756" s="2">
        <f t="shared" si="205"/>
        <v>1187483806.540164</v>
      </c>
      <c r="N756" s="42">
        <f t="shared" si="206"/>
        <v>817962.34608236956</v>
      </c>
      <c r="O756" s="42">
        <f t="shared" si="207"/>
        <v>221972476259.83264</v>
      </c>
      <c r="P756" s="4">
        <f t="shared" si="208"/>
        <v>-167127.54608236963</v>
      </c>
      <c r="Q756" s="4">
        <f t="shared" si="209"/>
        <v>27931616659.514587</v>
      </c>
      <c r="R756" s="43">
        <f t="shared" si="210"/>
        <v>1.4360527539406384E-3</v>
      </c>
      <c r="S756" s="4">
        <f t="shared" si="211"/>
        <v>-0.13744474310200772</v>
      </c>
      <c r="T756" s="30">
        <f t="shared" si="212"/>
        <v>727383.45576291275</v>
      </c>
      <c r="U756" s="31">
        <f t="shared" si="213"/>
        <v>908541.23640182638</v>
      </c>
      <c r="V756" s="31">
        <f t="shared" si="214"/>
        <v>3208877.8258606475</v>
      </c>
      <c r="W756" s="42">
        <f t="shared" si="215"/>
        <v>3209919.5765679395</v>
      </c>
    </row>
    <row r="757" spans="2:23" x14ac:dyDescent="0.3">
      <c r="B757" s="2">
        <v>749</v>
      </c>
      <c r="C757" s="2">
        <v>7538</v>
      </c>
      <c r="D757" s="4">
        <v>357678.10000000003</v>
      </c>
      <c r="E757" s="4">
        <f t="shared" si="198"/>
        <v>2696177517.8000002</v>
      </c>
      <c r="F757" s="2">
        <f t="shared" si="199"/>
        <v>56821444</v>
      </c>
      <c r="G757" s="2">
        <f t="shared" si="200"/>
        <v>127933623219.61003</v>
      </c>
      <c r="H757" s="42">
        <f t="shared" si="201"/>
        <v>2513.5190000000002</v>
      </c>
      <c r="I757" s="2">
        <f t="shared" si="202"/>
        <v>6317777.7633610014</v>
      </c>
      <c r="J757" s="4">
        <f t="shared" si="203"/>
        <v>-931423.79680999904</v>
      </c>
      <c r="K757" s="2">
        <f t="shared" si="204"/>
        <v>867550289263.95435</v>
      </c>
      <c r="L757" s="2">
        <f t="shared" si="205"/>
        <v>-2341151410.3340721</v>
      </c>
      <c r="N757" s="42">
        <f t="shared" si="206"/>
        <v>1925613.7517579193</v>
      </c>
      <c r="O757" s="42">
        <f t="shared" si="207"/>
        <v>405147341489.24219</v>
      </c>
      <c r="P757" s="4">
        <f t="shared" si="208"/>
        <v>-1567935.6517579192</v>
      </c>
      <c r="Q757" s="4">
        <f t="shared" si="209"/>
        <v>2458422208053.5308</v>
      </c>
      <c r="R757" s="43">
        <f t="shared" si="210"/>
        <v>1.7958897291451307E-3</v>
      </c>
      <c r="S757" s="4">
        <f t="shared" si="211"/>
        <v>-1.2896937543374667</v>
      </c>
      <c r="T757" s="30">
        <f t="shared" si="212"/>
        <v>1824320.239044342</v>
      </c>
      <c r="U757" s="31">
        <f t="shared" si="213"/>
        <v>2026907.2644714967</v>
      </c>
      <c r="V757" s="31">
        <f t="shared" si="214"/>
        <v>4316099.2654343853</v>
      </c>
      <c r="W757" s="42">
        <f t="shared" si="215"/>
        <v>4318000.6838444807</v>
      </c>
    </row>
    <row r="758" spans="2:23" x14ac:dyDescent="0.3">
      <c r="B758" s="2">
        <v>750</v>
      </c>
      <c r="C758" s="2">
        <v>4071</v>
      </c>
      <c r="D758" s="4">
        <v>1779841.2</v>
      </c>
      <c r="E758" s="4">
        <f t="shared" si="198"/>
        <v>7245733525.1999998</v>
      </c>
      <c r="F758" s="2">
        <f t="shared" si="199"/>
        <v>16573041</v>
      </c>
      <c r="G758" s="2">
        <f t="shared" si="200"/>
        <v>3167834697217.4399</v>
      </c>
      <c r="H758" s="42">
        <f t="shared" si="201"/>
        <v>-953.48099999999977</v>
      </c>
      <c r="I758" s="2">
        <f t="shared" si="202"/>
        <v>909126.0173609996</v>
      </c>
      <c r="J758" s="4">
        <f t="shared" si="203"/>
        <v>490739.30319000082</v>
      </c>
      <c r="K758" s="2">
        <f t="shared" si="204"/>
        <v>240825063695.40756</v>
      </c>
      <c r="L758" s="2">
        <f t="shared" si="205"/>
        <v>-467910601.54490507</v>
      </c>
      <c r="N758" s="42">
        <f t="shared" si="206"/>
        <v>1047646.8053754019</v>
      </c>
      <c r="O758" s="42">
        <f t="shared" si="207"/>
        <v>58300561179.689728</v>
      </c>
      <c r="P758" s="4">
        <f t="shared" si="208"/>
        <v>732194.39462459809</v>
      </c>
      <c r="Q758" s="4">
        <f t="shared" si="209"/>
        <v>536108631519.6817</v>
      </c>
      <c r="R758" s="43">
        <f t="shared" si="210"/>
        <v>1.1145282545252601E-3</v>
      </c>
      <c r="S758" s="4">
        <f t="shared" si="211"/>
        <v>0.60205558545079296</v>
      </c>
      <c r="T758" s="30">
        <f t="shared" si="212"/>
        <v>967849.66279784834</v>
      </c>
      <c r="U758" s="31">
        <f t="shared" si="213"/>
        <v>1127443.9479529553</v>
      </c>
      <c r="V758" s="31">
        <f t="shared" si="214"/>
        <v>3438946.406607199</v>
      </c>
      <c r="W758" s="42">
        <f t="shared" si="215"/>
        <v>3439220.0200322801</v>
      </c>
    </row>
    <row r="759" spans="2:23" x14ac:dyDescent="0.3">
      <c r="B759" s="2">
        <v>751</v>
      </c>
      <c r="C759" s="2">
        <v>6830</v>
      </c>
      <c r="D759" s="4">
        <v>1052229.8</v>
      </c>
      <c r="E759" s="4">
        <f t="shared" si="198"/>
        <v>7186729534</v>
      </c>
      <c r="F759" s="2">
        <f t="shared" si="199"/>
        <v>46648900</v>
      </c>
      <c r="G759" s="2">
        <f t="shared" si="200"/>
        <v>1107187552008.04</v>
      </c>
      <c r="H759" s="42">
        <f t="shared" si="201"/>
        <v>1805.5190000000002</v>
      </c>
      <c r="I759" s="2">
        <f t="shared" si="202"/>
        <v>3259898.8593610008</v>
      </c>
      <c r="J759" s="4">
        <f t="shared" si="203"/>
        <v>-236872.09680999909</v>
      </c>
      <c r="K759" s="2">
        <f t="shared" si="204"/>
        <v>56108390247.165581</v>
      </c>
      <c r="L759" s="2">
        <f t="shared" si="205"/>
        <v>-427677071.36029279</v>
      </c>
      <c r="N759" s="42">
        <f t="shared" si="206"/>
        <v>1746323.1264222334</v>
      </c>
      <c r="O759" s="42">
        <f t="shared" si="207"/>
        <v>209051252808.12347</v>
      </c>
      <c r="P759" s="4">
        <f t="shared" si="208"/>
        <v>-694093.32642223337</v>
      </c>
      <c r="Q759" s="4">
        <f t="shared" si="209"/>
        <v>481765545783.88098</v>
      </c>
      <c r="R759" s="43">
        <f t="shared" si="210"/>
        <v>1.4106697192268894E-3</v>
      </c>
      <c r="S759" s="4">
        <f t="shared" si="211"/>
        <v>-0.57081114808958777</v>
      </c>
      <c r="T759" s="30">
        <f t="shared" si="212"/>
        <v>1656548.3213534509</v>
      </c>
      <c r="U759" s="31">
        <f t="shared" si="213"/>
        <v>1836097.9314910159</v>
      </c>
      <c r="V759" s="31">
        <f t="shared" si="214"/>
        <v>4137268.9332505181</v>
      </c>
      <c r="W759" s="42">
        <f t="shared" si="215"/>
        <v>4138250.0426815557</v>
      </c>
    </row>
    <row r="760" spans="2:23" x14ac:dyDescent="0.3">
      <c r="B760" s="2">
        <v>752</v>
      </c>
      <c r="C760" s="2">
        <v>1915</v>
      </c>
      <c r="D760" s="4">
        <v>90866.75</v>
      </c>
      <c r="E760" s="4">
        <f t="shared" si="198"/>
        <v>174009826.25</v>
      </c>
      <c r="F760" s="2">
        <f t="shared" si="199"/>
        <v>3667225</v>
      </c>
      <c r="G760" s="2">
        <f t="shared" si="200"/>
        <v>8256766255.5625</v>
      </c>
      <c r="H760" s="42">
        <f t="shared" si="201"/>
        <v>-3109.4809999999998</v>
      </c>
      <c r="I760" s="2">
        <f t="shared" si="202"/>
        <v>9668872.0893609989</v>
      </c>
      <c r="J760" s="4">
        <f t="shared" si="203"/>
        <v>-1198235.1468099991</v>
      </c>
      <c r="K760" s="2">
        <f t="shared" si="204"/>
        <v>1435767467050.7803</v>
      </c>
      <c r="L760" s="2">
        <f t="shared" si="205"/>
        <v>3725889422.5379028</v>
      </c>
      <c r="N760" s="42">
        <f t="shared" si="206"/>
        <v>501671.39827972633</v>
      </c>
      <c r="O760" s="42">
        <f t="shared" si="207"/>
        <v>620046790015.63403</v>
      </c>
      <c r="P760" s="4">
        <f t="shared" si="208"/>
        <v>-410804.64827972633</v>
      </c>
      <c r="Q760" s="4">
        <f t="shared" si="209"/>
        <v>168760459048.22964</v>
      </c>
      <c r="R760" s="43">
        <f t="shared" si="210"/>
        <v>2.2180479080743383E-3</v>
      </c>
      <c r="S760" s="4">
        <f t="shared" si="211"/>
        <v>-0.3379757693292435</v>
      </c>
      <c r="T760" s="30">
        <f t="shared" si="212"/>
        <v>389100.2075420969</v>
      </c>
      <c r="U760" s="31">
        <f t="shared" si="213"/>
        <v>614242.58901735581</v>
      </c>
      <c r="V760" s="31">
        <f t="shared" si="214"/>
        <v>2891652.3801770317</v>
      </c>
      <c r="W760" s="42">
        <f t="shared" si="215"/>
        <v>2894562.354860235</v>
      </c>
    </row>
    <row r="761" spans="2:23" x14ac:dyDescent="0.3">
      <c r="B761" s="2">
        <v>753</v>
      </c>
      <c r="C761" s="2">
        <v>2454</v>
      </c>
      <c r="D761" s="4">
        <v>378063.24</v>
      </c>
      <c r="E761" s="4">
        <f t="shared" si="198"/>
        <v>927767190.95999992</v>
      </c>
      <c r="F761" s="2">
        <f t="shared" si="199"/>
        <v>6022116</v>
      </c>
      <c r="G761" s="2">
        <f t="shared" si="200"/>
        <v>142931813439.29761</v>
      </c>
      <c r="H761" s="42">
        <f t="shared" si="201"/>
        <v>-2570.4809999999998</v>
      </c>
      <c r="I761" s="2">
        <f t="shared" si="202"/>
        <v>6607372.5713609988</v>
      </c>
      <c r="J761" s="4">
        <f t="shared" si="203"/>
        <v>-911038.65680999914</v>
      </c>
      <c r="K761" s="2">
        <f t="shared" si="204"/>
        <v>829991434202.16736</v>
      </c>
      <c r="L761" s="2">
        <f t="shared" si="205"/>
        <v>2341807557.595623</v>
      </c>
      <c r="N761" s="42">
        <f t="shared" si="206"/>
        <v>638165.25005364523</v>
      </c>
      <c r="O761" s="42">
        <f t="shared" si="207"/>
        <v>423718518090.40625</v>
      </c>
      <c r="P761" s="4">
        <f t="shared" si="208"/>
        <v>-260102.01005364524</v>
      </c>
      <c r="Q761" s="4">
        <f t="shared" si="209"/>
        <v>67653055633.946571</v>
      </c>
      <c r="R761" s="43">
        <f t="shared" si="210"/>
        <v>1.8323717869087987E-3</v>
      </c>
      <c r="S761" s="4">
        <f t="shared" si="211"/>
        <v>-0.21394887452557221</v>
      </c>
      <c r="T761" s="30">
        <f t="shared" si="212"/>
        <v>535848.06180274102</v>
      </c>
      <c r="U761" s="31">
        <f t="shared" si="213"/>
        <v>740482.43830454943</v>
      </c>
      <c r="V761" s="31">
        <f t="shared" si="214"/>
        <v>3028607.1673156656</v>
      </c>
      <c r="W761" s="42">
        <f t="shared" si="215"/>
        <v>3030595.7431113357</v>
      </c>
    </row>
    <row r="762" spans="2:23" x14ac:dyDescent="0.3">
      <c r="B762" s="2">
        <v>754</v>
      </c>
      <c r="C762" s="2">
        <v>3610</v>
      </c>
      <c r="D762" s="4">
        <v>550813.80000000005</v>
      </c>
      <c r="E762" s="4">
        <f t="shared" si="198"/>
        <v>1988437818.0000002</v>
      </c>
      <c r="F762" s="2">
        <f t="shared" si="199"/>
        <v>13032100</v>
      </c>
      <c r="G762" s="2">
        <f t="shared" si="200"/>
        <v>303395842270.44006</v>
      </c>
      <c r="H762" s="42">
        <f t="shared" si="201"/>
        <v>-1414.4809999999998</v>
      </c>
      <c r="I762" s="2">
        <f t="shared" si="202"/>
        <v>2000756.4993609993</v>
      </c>
      <c r="J762" s="4">
        <f t="shared" si="203"/>
        <v>-738288.09680999909</v>
      </c>
      <c r="K762" s="2">
        <f t="shared" si="204"/>
        <v>545069313891.33057</v>
      </c>
      <c r="L762" s="2">
        <f t="shared" si="205"/>
        <v>1044294485.4639041</v>
      </c>
      <c r="N762" s="42">
        <f t="shared" si="206"/>
        <v>930905.31062999077</v>
      </c>
      <c r="O762" s="42">
        <f t="shared" si="207"/>
        <v>128304794351.01216</v>
      </c>
      <c r="P762" s="4">
        <f t="shared" si="208"/>
        <v>-380091.51062999072</v>
      </c>
      <c r="Q762" s="4">
        <f t="shared" si="209"/>
        <v>144469556452.98834</v>
      </c>
      <c r="R762" s="43">
        <f t="shared" si="210"/>
        <v>1.2520477307062876E-3</v>
      </c>
      <c r="S762" s="4">
        <f t="shared" si="211"/>
        <v>-0.31255629999179557</v>
      </c>
      <c r="T762" s="30">
        <f t="shared" si="212"/>
        <v>846328.31742983265</v>
      </c>
      <c r="U762" s="31">
        <f t="shared" si="213"/>
        <v>1015482.3038301489</v>
      </c>
      <c r="V762" s="31">
        <f t="shared" si="214"/>
        <v>3322040.6265492123</v>
      </c>
      <c r="W762" s="42">
        <f t="shared" si="215"/>
        <v>3322642.7805207549</v>
      </c>
    </row>
    <row r="763" spans="2:23" x14ac:dyDescent="0.3">
      <c r="B763" s="2">
        <v>755</v>
      </c>
      <c r="C763" s="2">
        <v>7573</v>
      </c>
      <c r="D763" s="4">
        <v>1155488.3400000001</v>
      </c>
      <c r="E763" s="4">
        <f t="shared" si="198"/>
        <v>8750513198.8199997</v>
      </c>
      <c r="F763" s="2">
        <f t="shared" si="199"/>
        <v>57350329</v>
      </c>
      <c r="G763" s="2">
        <f t="shared" si="200"/>
        <v>1335153303875.9558</v>
      </c>
      <c r="H763" s="42">
        <f t="shared" si="201"/>
        <v>2548.5190000000002</v>
      </c>
      <c r="I763" s="2">
        <f t="shared" si="202"/>
        <v>6494949.0933610015</v>
      </c>
      <c r="J763" s="4">
        <f t="shared" si="203"/>
        <v>-133613.55680999905</v>
      </c>
      <c r="K763" s="2">
        <f t="shared" si="204"/>
        <v>17852582563.418842</v>
      </c>
      <c r="L763" s="2">
        <f t="shared" si="205"/>
        <v>-340516688.18786198</v>
      </c>
      <c r="N763" s="42">
        <f t="shared" si="206"/>
        <v>1934476.9888860958</v>
      </c>
      <c r="O763" s="42">
        <f t="shared" si="207"/>
        <v>416509009472.23029</v>
      </c>
      <c r="P763" s="4">
        <f t="shared" si="208"/>
        <v>-778988.64888609573</v>
      </c>
      <c r="Q763" s="4">
        <f t="shared" si="209"/>
        <v>606823315093.38489</v>
      </c>
      <c r="R763" s="43">
        <f t="shared" si="210"/>
        <v>1.8182091026855774E-3</v>
      </c>
      <c r="S763" s="4">
        <f t="shared" si="211"/>
        <v>-0.64075845590755098</v>
      </c>
      <c r="T763" s="30">
        <f t="shared" si="212"/>
        <v>1832555.9803199368</v>
      </c>
      <c r="U763" s="31">
        <f t="shared" si="213"/>
        <v>2036397.9974522549</v>
      </c>
      <c r="V763" s="31">
        <f t="shared" si="214"/>
        <v>4324935.8307881588</v>
      </c>
      <c r="W763" s="42">
        <f t="shared" si="215"/>
        <v>4326890.5712517863</v>
      </c>
    </row>
    <row r="764" spans="2:23" x14ac:dyDescent="0.3">
      <c r="B764" s="2">
        <v>756</v>
      </c>
      <c r="C764" s="2">
        <v>8569</v>
      </c>
      <c r="D764" s="4">
        <v>3746366.8</v>
      </c>
      <c r="E764" s="4">
        <f t="shared" si="198"/>
        <v>32102617109.199997</v>
      </c>
      <c r="F764" s="2">
        <f t="shared" si="199"/>
        <v>73427761</v>
      </c>
      <c r="G764" s="2">
        <f t="shared" si="200"/>
        <v>14035264200142.238</v>
      </c>
      <c r="H764" s="42">
        <f t="shared" si="201"/>
        <v>3544.5190000000002</v>
      </c>
      <c r="I764" s="2">
        <f t="shared" si="202"/>
        <v>12563614.941361001</v>
      </c>
      <c r="J764" s="4">
        <f t="shared" si="203"/>
        <v>2457264.9031900009</v>
      </c>
      <c r="K764" s="2">
        <f t="shared" si="204"/>
        <v>6038150804449.3643</v>
      </c>
      <c r="L764" s="2">
        <f t="shared" si="205"/>
        <v>8709822137.3901196</v>
      </c>
      <c r="N764" s="42">
        <f t="shared" si="206"/>
        <v>2186699.3940193485</v>
      </c>
      <c r="O764" s="42">
        <f t="shared" si="207"/>
        <v>805681266996.48804</v>
      </c>
      <c r="P764" s="4">
        <f t="shared" si="208"/>
        <v>1559667.4059806513</v>
      </c>
      <c r="Q764" s="4">
        <f t="shared" si="209"/>
        <v>2432562417278.4136</v>
      </c>
      <c r="R764" s="43">
        <f t="shared" si="210"/>
        <v>2.5827166556495031E-3</v>
      </c>
      <c r="S764" s="4">
        <f t="shared" si="211"/>
        <v>1.2833986849801224</v>
      </c>
      <c r="T764" s="30">
        <f t="shared" si="212"/>
        <v>2065226.2756869192</v>
      </c>
      <c r="U764" s="31">
        <f t="shared" si="213"/>
        <v>2308172.5123517779</v>
      </c>
      <c r="V764" s="31">
        <f t="shared" si="214"/>
        <v>4576244.4654372307</v>
      </c>
      <c r="W764" s="42">
        <f t="shared" si="215"/>
        <v>4580025.6516737659</v>
      </c>
    </row>
    <row r="765" spans="2:23" x14ac:dyDescent="0.3">
      <c r="B765" s="2">
        <v>757</v>
      </c>
      <c r="C765" s="2">
        <v>7852</v>
      </c>
      <c r="D765" s="4">
        <v>3432894.4</v>
      </c>
      <c r="E765" s="4">
        <f t="shared" si="198"/>
        <v>26955086828.799999</v>
      </c>
      <c r="F765" s="2">
        <f t="shared" si="199"/>
        <v>61653904</v>
      </c>
      <c r="G765" s="2">
        <f t="shared" si="200"/>
        <v>11784763961551.359</v>
      </c>
      <c r="H765" s="42">
        <f t="shared" si="201"/>
        <v>2827.5190000000002</v>
      </c>
      <c r="I765" s="2">
        <f t="shared" si="202"/>
        <v>7994863.6953610014</v>
      </c>
      <c r="J765" s="4">
        <f t="shared" si="203"/>
        <v>2143792.5031900005</v>
      </c>
      <c r="K765" s="2">
        <f t="shared" si="204"/>
        <v>4595846296733.6484</v>
      </c>
      <c r="L765" s="2">
        <f t="shared" si="205"/>
        <v>6061614034.8272877</v>
      </c>
      <c r="N765" s="42">
        <f t="shared" si="206"/>
        <v>2005129.6505649888</v>
      </c>
      <c r="O765" s="42">
        <f t="shared" si="207"/>
        <v>512695744147.4162</v>
      </c>
      <c r="P765" s="4">
        <f t="shared" si="208"/>
        <v>1427764.7494350111</v>
      </c>
      <c r="Q765" s="4">
        <f t="shared" si="209"/>
        <v>2038512179729.22</v>
      </c>
      <c r="R765" s="43">
        <f t="shared" si="210"/>
        <v>2.0071626669039451E-3</v>
      </c>
      <c r="S765" s="4">
        <f t="shared" si="211"/>
        <v>1.1745215281300676</v>
      </c>
      <c r="T765" s="30">
        <f t="shared" si="212"/>
        <v>1898043.55503583</v>
      </c>
      <c r="U765" s="31">
        <f t="shared" si="213"/>
        <v>2112215.7460941477</v>
      </c>
      <c r="V765" s="31">
        <f t="shared" si="214"/>
        <v>4395362.6799910357</v>
      </c>
      <c r="W765" s="42">
        <f t="shared" si="215"/>
        <v>4397768.8396105031</v>
      </c>
    </row>
    <row r="766" spans="2:23" x14ac:dyDescent="0.3">
      <c r="B766" s="2">
        <v>758</v>
      </c>
      <c r="C766" s="2">
        <v>8707</v>
      </c>
      <c r="D766" s="4">
        <v>5818626.8899999997</v>
      </c>
      <c r="E766" s="4">
        <f t="shared" si="198"/>
        <v>50662784331.229996</v>
      </c>
      <c r="F766" s="2">
        <f t="shared" si="199"/>
        <v>75811849</v>
      </c>
      <c r="G766" s="2">
        <f t="shared" si="200"/>
        <v>33856418885031.066</v>
      </c>
      <c r="H766" s="42">
        <f t="shared" si="201"/>
        <v>3682.5190000000002</v>
      </c>
      <c r="I766" s="2">
        <f t="shared" si="202"/>
        <v>13560946.185361002</v>
      </c>
      <c r="J766" s="4">
        <f t="shared" si="203"/>
        <v>4529524.9931900008</v>
      </c>
      <c r="K766" s="2">
        <f t="shared" si="204"/>
        <v>20516596663932.875</v>
      </c>
      <c r="L766" s="2">
        <f t="shared" si="205"/>
        <v>16680061848.397049</v>
      </c>
      <c r="N766" s="42">
        <f t="shared" si="206"/>
        <v>2221645.8718390162</v>
      </c>
      <c r="O766" s="42">
        <f t="shared" si="207"/>
        <v>869638265362.92004</v>
      </c>
      <c r="P766" s="4">
        <f t="shared" si="208"/>
        <v>3596981.0181609835</v>
      </c>
      <c r="Q766" s="4">
        <f t="shared" si="209"/>
        <v>12938272445010.426</v>
      </c>
      <c r="R766" s="43">
        <f t="shared" si="210"/>
        <v>2.7083566707602692E-3</v>
      </c>
      <c r="S766" s="4">
        <f t="shared" si="211"/>
        <v>2.9600230594779693</v>
      </c>
      <c r="T766" s="30">
        <f t="shared" si="212"/>
        <v>2097253.2197088273</v>
      </c>
      <c r="U766" s="31">
        <f t="shared" si="213"/>
        <v>2346038.5239692051</v>
      </c>
      <c r="V766" s="31">
        <f t="shared" si="214"/>
        <v>4611040.7397733461</v>
      </c>
      <c r="W766" s="42">
        <f t="shared" si="215"/>
        <v>4615122.0862611849</v>
      </c>
    </row>
    <row r="767" spans="2:23" x14ac:dyDescent="0.3">
      <c r="B767" s="2">
        <v>759</v>
      </c>
      <c r="C767" s="2">
        <v>1454</v>
      </c>
      <c r="D767" s="4">
        <v>158893.12</v>
      </c>
      <c r="E767" s="4">
        <f t="shared" si="198"/>
        <v>231030596.47999999</v>
      </c>
      <c r="F767" s="2">
        <f t="shared" si="199"/>
        <v>2114116</v>
      </c>
      <c r="G767" s="2">
        <f t="shared" si="200"/>
        <v>25247023583.3344</v>
      </c>
      <c r="H767" s="42">
        <f t="shared" si="201"/>
        <v>-3570.4809999999998</v>
      </c>
      <c r="I767" s="2">
        <f t="shared" si="202"/>
        <v>12748334.571360998</v>
      </c>
      <c r="J767" s="4">
        <f t="shared" si="203"/>
        <v>-1130208.7768099993</v>
      </c>
      <c r="K767" s="2">
        <f t="shared" si="204"/>
        <v>1277371879178.3547</v>
      </c>
      <c r="L767" s="2">
        <f t="shared" si="205"/>
        <v>4035388963.6333427</v>
      </c>
      <c r="N767" s="42">
        <f t="shared" si="206"/>
        <v>384929.90353431518</v>
      </c>
      <c r="O767" s="42">
        <f t="shared" si="207"/>
        <v>817526993424.12341</v>
      </c>
      <c r="P767" s="4">
        <f t="shared" si="208"/>
        <v>-226036.78353431518</v>
      </c>
      <c r="Q767" s="4">
        <f t="shared" si="209"/>
        <v>51092627510.538857</v>
      </c>
      <c r="R767" s="43">
        <f t="shared" si="210"/>
        <v>2.6059869354528049E-3</v>
      </c>
      <c r="S767" s="4">
        <f t="shared" si="211"/>
        <v>-0.18600035733992309</v>
      </c>
      <c r="T767" s="30">
        <f t="shared" si="212"/>
        <v>262910.77586772066</v>
      </c>
      <c r="U767" s="31">
        <f t="shared" si="213"/>
        <v>506949.0312009097</v>
      </c>
      <c r="V767" s="31">
        <f t="shared" si="214"/>
        <v>2774447.1558885174</v>
      </c>
      <c r="W767" s="42">
        <f t="shared" si="215"/>
        <v>2778283.935978577</v>
      </c>
    </row>
    <row r="768" spans="2:23" x14ac:dyDescent="0.3">
      <c r="B768" s="2">
        <v>760</v>
      </c>
      <c r="C768" s="2">
        <v>8439</v>
      </c>
      <c r="D768" s="4">
        <v>1735902.2999999998</v>
      </c>
      <c r="E768" s="4">
        <f t="shared" si="198"/>
        <v>14649279509.699999</v>
      </c>
      <c r="F768" s="2">
        <f t="shared" si="199"/>
        <v>71216721</v>
      </c>
      <c r="G768" s="2">
        <f t="shared" si="200"/>
        <v>3013356795145.2896</v>
      </c>
      <c r="H768" s="42">
        <f t="shared" si="201"/>
        <v>3414.5190000000002</v>
      </c>
      <c r="I768" s="2">
        <f t="shared" si="202"/>
        <v>11658940.001361001</v>
      </c>
      <c r="J768" s="4">
        <f t="shared" si="203"/>
        <v>446800.40319000068</v>
      </c>
      <c r="K768" s="2">
        <f t="shared" si="204"/>
        <v>199630600290.74716</v>
      </c>
      <c r="L768" s="2">
        <f t="shared" si="205"/>
        <v>1525608465.8999181</v>
      </c>
      <c r="N768" s="42">
        <f t="shared" si="206"/>
        <v>2153778.7989718355</v>
      </c>
      <c r="O768" s="42">
        <f t="shared" si="207"/>
        <v>747666145132.18994</v>
      </c>
      <c r="P768" s="4">
        <f t="shared" si="208"/>
        <v>-417876.49897183571</v>
      </c>
      <c r="Q768" s="4">
        <f t="shared" si="209"/>
        <v>174620768392.95862</v>
      </c>
      <c r="R768" s="43">
        <f t="shared" si="210"/>
        <v>2.4687491310023653E-3</v>
      </c>
      <c r="S768" s="4">
        <f t="shared" si="211"/>
        <v>-0.34383709641294091</v>
      </c>
      <c r="T768" s="30">
        <f t="shared" si="212"/>
        <v>2035016.0398102938</v>
      </c>
      <c r="U768" s="31">
        <f t="shared" si="213"/>
        <v>2272541.5581333772</v>
      </c>
      <c r="V768" s="31">
        <f t="shared" si="214"/>
        <v>4543460.1111662528</v>
      </c>
      <c r="W768" s="42">
        <f t="shared" si="215"/>
        <v>4546969.0233510751</v>
      </c>
    </row>
    <row r="769" spans="2:23" x14ac:dyDescent="0.3">
      <c r="B769" s="2">
        <v>761</v>
      </c>
      <c r="C769" s="2">
        <v>9043</v>
      </c>
      <c r="D769" s="4">
        <v>739084.39</v>
      </c>
      <c r="E769" s="4">
        <f t="shared" si="198"/>
        <v>6683540138.7700005</v>
      </c>
      <c r="F769" s="2">
        <f t="shared" si="199"/>
        <v>81775849</v>
      </c>
      <c r="G769" s="2">
        <f t="shared" si="200"/>
        <v>546245735541.67212</v>
      </c>
      <c r="H769" s="42">
        <f t="shared" si="201"/>
        <v>4018.5190000000002</v>
      </c>
      <c r="I769" s="2">
        <f t="shared" si="202"/>
        <v>16148494.953361003</v>
      </c>
      <c r="J769" s="4">
        <f t="shared" si="203"/>
        <v>-550017.50680999912</v>
      </c>
      <c r="K769" s="2">
        <f t="shared" si="204"/>
        <v>302519257797.48743</v>
      </c>
      <c r="L769" s="2">
        <f t="shared" si="205"/>
        <v>-2210255801.4486108</v>
      </c>
      <c r="N769" s="42">
        <f t="shared" si="206"/>
        <v>2306732.9482695111</v>
      </c>
      <c r="O769" s="42">
        <f t="shared" si="207"/>
        <v>1035572956894.5919</v>
      </c>
      <c r="P769" s="4">
        <f t="shared" si="208"/>
        <v>-1567648.558269511</v>
      </c>
      <c r="Q769" s="4">
        <f t="shared" si="209"/>
        <v>2457522002244.4766</v>
      </c>
      <c r="R769" s="43">
        <f t="shared" si="210"/>
        <v>3.0343262703964795E-3</v>
      </c>
      <c r="S769" s="4">
        <f t="shared" si="211"/>
        <v>-1.2902582450308138</v>
      </c>
      <c r="T769" s="30">
        <f t="shared" si="212"/>
        <v>2175067.1618921421</v>
      </c>
      <c r="U769" s="31">
        <f t="shared" si="213"/>
        <v>2438398.7346468801</v>
      </c>
      <c r="V769" s="31">
        <f t="shared" si="214"/>
        <v>4695738.0733189583</v>
      </c>
      <c r="W769" s="42">
        <f t="shared" si="215"/>
        <v>4700598.1776429331</v>
      </c>
    </row>
    <row r="770" spans="2:23" x14ac:dyDescent="0.3">
      <c r="B770" s="2">
        <v>762</v>
      </c>
      <c r="C770" s="2">
        <v>4677</v>
      </c>
      <c r="D770" s="4">
        <v>511102.56</v>
      </c>
      <c r="E770" s="4">
        <f t="shared" si="198"/>
        <v>2390426673.1199999</v>
      </c>
      <c r="F770" s="2">
        <f t="shared" si="199"/>
        <v>21874329</v>
      </c>
      <c r="G770" s="2">
        <f t="shared" si="200"/>
        <v>261225826838.55359</v>
      </c>
      <c r="H770" s="42">
        <f t="shared" si="201"/>
        <v>-347.48099999999977</v>
      </c>
      <c r="I770" s="2">
        <f t="shared" si="202"/>
        <v>120743.04536099984</v>
      </c>
      <c r="J770" s="4">
        <f t="shared" si="203"/>
        <v>-777999.33680999908</v>
      </c>
      <c r="K770" s="2">
        <f t="shared" si="204"/>
        <v>605282968076.79834</v>
      </c>
      <c r="L770" s="2">
        <f t="shared" si="205"/>
        <v>270339987.55407512</v>
      </c>
      <c r="N770" s="42">
        <f t="shared" si="206"/>
        <v>1201107.425366116</v>
      </c>
      <c r="O770" s="42">
        <f t="shared" si="207"/>
        <v>7743027004.6883659</v>
      </c>
      <c r="P770" s="4">
        <f t="shared" si="208"/>
        <v>-690004.86536611593</v>
      </c>
      <c r="Q770" s="4">
        <f t="shared" si="209"/>
        <v>476106714228.9118</v>
      </c>
      <c r="R770" s="43">
        <f t="shared" si="210"/>
        <v>1.0152107518288838E-3</v>
      </c>
      <c r="S770" s="4">
        <f t="shared" si="211"/>
        <v>-0.56733653719790222</v>
      </c>
      <c r="T770" s="30">
        <f t="shared" si="212"/>
        <v>1124948.6585768145</v>
      </c>
      <c r="U770" s="31">
        <f t="shared" si="213"/>
        <v>1277266.1921554175</v>
      </c>
      <c r="V770" s="31">
        <f t="shared" si="214"/>
        <v>3592525.6675512902</v>
      </c>
      <c r="W770" s="42">
        <f t="shared" si="215"/>
        <v>3592562.0067578601</v>
      </c>
    </row>
    <row r="771" spans="2:23" x14ac:dyDescent="0.3">
      <c r="B771" s="2">
        <v>763</v>
      </c>
      <c r="C771" s="2">
        <v>3783</v>
      </c>
      <c r="D771" s="4">
        <v>2463527.4300000002</v>
      </c>
      <c r="E771" s="4">
        <f t="shared" si="198"/>
        <v>9319524267.6900005</v>
      </c>
      <c r="F771" s="2">
        <f t="shared" si="199"/>
        <v>14311089</v>
      </c>
      <c r="G771" s="2">
        <f t="shared" si="200"/>
        <v>6068967398362.4053</v>
      </c>
      <c r="H771" s="42">
        <f t="shared" si="201"/>
        <v>-1241.4809999999998</v>
      </c>
      <c r="I771" s="2">
        <f t="shared" si="202"/>
        <v>1541275.0733609993</v>
      </c>
      <c r="J771" s="4">
        <f t="shared" si="203"/>
        <v>1174425.533190001</v>
      </c>
      <c r="K771" s="2">
        <f t="shared" si="204"/>
        <v>1379275333008.6182</v>
      </c>
      <c r="L771" s="2">
        <f t="shared" si="205"/>
        <v>-1458026985.3702555</v>
      </c>
      <c r="N771" s="42">
        <f t="shared" si="206"/>
        <v>974715.02557783481</v>
      </c>
      <c r="O771" s="42">
        <f t="shared" si="207"/>
        <v>98839104803.149475</v>
      </c>
      <c r="P771" s="4">
        <f t="shared" si="208"/>
        <v>1488812.4044221654</v>
      </c>
      <c r="Q771" s="4">
        <f t="shared" si="209"/>
        <v>2216562375561.3091</v>
      </c>
      <c r="R771" s="43">
        <f t="shared" si="210"/>
        <v>1.1941639998464969E-3</v>
      </c>
      <c r="S771" s="4">
        <f t="shared" si="211"/>
        <v>1.2242425822627425</v>
      </c>
      <c r="T771" s="30">
        <f t="shared" si="212"/>
        <v>892116.2164320742</v>
      </c>
      <c r="U771" s="31">
        <f t="shared" si="213"/>
        <v>1057313.8347235955</v>
      </c>
      <c r="V771" s="31">
        <f t="shared" si="214"/>
        <v>3365919.4926911341</v>
      </c>
      <c r="W771" s="42">
        <f t="shared" si="215"/>
        <v>3366383.359685428</v>
      </c>
    </row>
    <row r="772" spans="2:23" x14ac:dyDescent="0.3">
      <c r="B772" s="2">
        <v>764</v>
      </c>
      <c r="C772" s="2">
        <v>6836</v>
      </c>
      <c r="D772" s="4">
        <v>324368.2</v>
      </c>
      <c r="E772" s="4">
        <f t="shared" si="198"/>
        <v>2217381015.2000003</v>
      </c>
      <c r="F772" s="2">
        <f t="shared" si="199"/>
        <v>46730896</v>
      </c>
      <c r="G772" s="2">
        <f t="shared" si="200"/>
        <v>105214729171.24001</v>
      </c>
      <c r="H772" s="42">
        <f t="shared" si="201"/>
        <v>1811.5190000000002</v>
      </c>
      <c r="I772" s="2">
        <f t="shared" si="202"/>
        <v>3281601.0873610009</v>
      </c>
      <c r="J772" s="4">
        <f t="shared" si="203"/>
        <v>-964733.69680999918</v>
      </c>
      <c r="K772" s="2">
        <f t="shared" si="204"/>
        <v>930711105760.68738</v>
      </c>
      <c r="L772" s="2">
        <f t="shared" si="205"/>
        <v>-1747633421.7115531</v>
      </c>
      <c r="N772" s="42">
        <f t="shared" si="206"/>
        <v>1747842.5385013495</v>
      </c>
      <c r="O772" s="42">
        <f t="shared" si="207"/>
        <v>210442976339.39191</v>
      </c>
      <c r="P772" s="4">
        <f t="shared" si="208"/>
        <v>-1423474.3385013496</v>
      </c>
      <c r="Q772" s="4">
        <f t="shared" si="209"/>
        <v>2026279192371.8547</v>
      </c>
      <c r="R772" s="43">
        <f t="shared" si="210"/>
        <v>1.4134036837650115E-3</v>
      </c>
      <c r="S772" s="4">
        <f t="shared" si="211"/>
        <v>-1.1706439217859042</v>
      </c>
      <c r="T772" s="30">
        <f t="shared" si="212"/>
        <v>1657980.7809995376</v>
      </c>
      <c r="U772" s="31">
        <f t="shared" si="213"/>
        <v>1837704.2960031615</v>
      </c>
      <c r="V772" s="31">
        <f t="shared" si="214"/>
        <v>4138785.0788718993</v>
      </c>
      <c r="W772" s="42">
        <f t="shared" si="215"/>
        <v>4139772.7198741268</v>
      </c>
    </row>
    <row r="773" spans="2:23" x14ac:dyDescent="0.3">
      <c r="B773" s="2">
        <v>765</v>
      </c>
      <c r="C773" s="2">
        <v>1340</v>
      </c>
      <c r="D773" s="4">
        <v>204457.2</v>
      </c>
      <c r="E773" s="4">
        <f t="shared" si="198"/>
        <v>273972648</v>
      </c>
      <c r="F773" s="2">
        <f t="shared" si="199"/>
        <v>1795600</v>
      </c>
      <c r="G773" s="2">
        <f t="shared" si="200"/>
        <v>41802746631.840004</v>
      </c>
      <c r="H773" s="42">
        <f t="shared" si="201"/>
        <v>-3684.4809999999998</v>
      </c>
      <c r="I773" s="2">
        <f t="shared" si="202"/>
        <v>13575400.239360997</v>
      </c>
      <c r="J773" s="4">
        <f t="shared" si="203"/>
        <v>-1084644.6968099992</v>
      </c>
      <c r="K773" s="2">
        <f t="shared" si="204"/>
        <v>1176454118318.0549</v>
      </c>
      <c r="L773" s="2">
        <f t="shared" si="205"/>
        <v>3996352777.1472025</v>
      </c>
      <c r="N773" s="42">
        <f t="shared" si="206"/>
        <v>356061.07403111155</v>
      </c>
      <c r="O773" s="42">
        <f t="shared" si="207"/>
        <v>870565176971.90344</v>
      </c>
      <c r="P773" s="4">
        <f t="shared" si="208"/>
        <v>-151603.87403111154</v>
      </c>
      <c r="Q773" s="4">
        <f t="shared" si="209"/>
        <v>22983734621.241135</v>
      </c>
      <c r="R773" s="43">
        <f t="shared" si="210"/>
        <v>2.7101775377730061E-3</v>
      </c>
      <c r="S773" s="4">
        <f t="shared" si="211"/>
        <v>-0.12475778171765677</v>
      </c>
      <c r="T773" s="30">
        <f t="shared" si="212"/>
        <v>231626.61344528018</v>
      </c>
      <c r="U773" s="31">
        <f t="shared" si="213"/>
        <v>480495.53461694292</v>
      </c>
      <c r="V773" s="31">
        <f t="shared" si="214"/>
        <v>2745453.7650372609</v>
      </c>
      <c r="W773" s="42">
        <f t="shared" si="215"/>
        <v>2749539.4616673943</v>
      </c>
    </row>
    <row r="774" spans="2:23" x14ac:dyDescent="0.3">
      <c r="B774" s="2">
        <v>766</v>
      </c>
      <c r="C774" s="2">
        <v>6830</v>
      </c>
      <c r="D774" s="4">
        <v>4447764.3</v>
      </c>
      <c r="E774" s="4">
        <f t="shared" si="198"/>
        <v>30378230169</v>
      </c>
      <c r="F774" s="2">
        <f t="shared" si="199"/>
        <v>46648900</v>
      </c>
      <c r="G774" s="2">
        <f t="shared" si="200"/>
        <v>19782607268354.488</v>
      </c>
      <c r="H774" s="42">
        <f t="shared" si="201"/>
        <v>1805.5190000000002</v>
      </c>
      <c r="I774" s="2">
        <f t="shared" si="202"/>
        <v>3259898.8593610008</v>
      </c>
      <c r="J774" s="4">
        <f t="shared" si="203"/>
        <v>3158662.4031900009</v>
      </c>
      <c r="K774" s="2">
        <f t="shared" si="204"/>
        <v>9977148177326.0313</v>
      </c>
      <c r="L774" s="2">
        <f t="shared" si="205"/>
        <v>5703024983.545208</v>
      </c>
      <c r="N774" s="42">
        <f t="shared" si="206"/>
        <v>1746323.1264222334</v>
      </c>
      <c r="O774" s="42">
        <f t="shared" si="207"/>
        <v>209051252808.12347</v>
      </c>
      <c r="P774" s="4">
        <f t="shared" si="208"/>
        <v>2701441.1735777664</v>
      </c>
      <c r="Q774" s="4">
        <f t="shared" si="209"/>
        <v>7297784414301.2197</v>
      </c>
      <c r="R774" s="43">
        <f t="shared" si="210"/>
        <v>1.4106697192268894E-3</v>
      </c>
      <c r="S774" s="4">
        <f t="shared" si="211"/>
        <v>2.2216216164112281</v>
      </c>
      <c r="T774" s="30">
        <f t="shared" si="212"/>
        <v>1656548.3213534509</v>
      </c>
      <c r="U774" s="31">
        <f t="shared" si="213"/>
        <v>1836097.9314910159</v>
      </c>
      <c r="V774" s="31">
        <f t="shared" si="214"/>
        <v>4137268.9332505181</v>
      </c>
      <c r="W774" s="42">
        <f t="shared" si="215"/>
        <v>4138250.0426815557</v>
      </c>
    </row>
    <row r="775" spans="2:23" x14ac:dyDescent="0.3">
      <c r="B775" s="2">
        <v>767</v>
      </c>
      <c r="C775" s="2">
        <v>9876</v>
      </c>
      <c r="D775" s="4">
        <v>2521145.2799999998</v>
      </c>
      <c r="E775" s="4">
        <f t="shared" si="198"/>
        <v>24898830785.279999</v>
      </c>
      <c r="F775" s="2">
        <f t="shared" si="199"/>
        <v>97535376</v>
      </c>
      <c r="G775" s="2">
        <f t="shared" si="200"/>
        <v>6356173522866.2773</v>
      </c>
      <c r="H775" s="42">
        <f t="shared" si="201"/>
        <v>4851.5190000000002</v>
      </c>
      <c r="I775" s="2">
        <f t="shared" si="202"/>
        <v>23537236.607361004</v>
      </c>
      <c r="J775" s="4">
        <f t="shared" si="203"/>
        <v>1232043.3831900007</v>
      </c>
      <c r="K775" s="2">
        <f t="shared" si="204"/>
        <v>1517930898062.2627</v>
      </c>
      <c r="L775" s="2">
        <f t="shared" si="205"/>
        <v>5977281882.3705692</v>
      </c>
      <c r="N775" s="42">
        <f t="shared" si="206"/>
        <v>2517677.9919201131</v>
      </c>
      <c r="O775" s="42">
        <f t="shared" si="207"/>
        <v>1509399221476.0159</v>
      </c>
      <c r="P775" s="4">
        <f t="shared" si="208"/>
        <v>3467.2880798866972</v>
      </c>
      <c r="Q775" s="4">
        <f t="shared" si="209"/>
        <v>12022086.628924379</v>
      </c>
      <c r="R775" s="43">
        <f t="shared" si="210"/>
        <v>3.9651319767682984E-3</v>
      </c>
      <c r="S775" s="4">
        <f t="shared" si="211"/>
        <v>2.8550958575114895E-3</v>
      </c>
      <c r="T775" s="30">
        <f t="shared" si="212"/>
        <v>2367166.1667191782</v>
      </c>
      <c r="U775" s="31">
        <f t="shared" si="213"/>
        <v>2668189.817121048</v>
      </c>
      <c r="V775" s="31">
        <f t="shared" si="214"/>
        <v>4905569.8565759603</v>
      </c>
      <c r="W775" s="42">
        <f t="shared" si="215"/>
        <v>4912653.7050800631</v>
      </c>
    </row>
    <row r="776" spans="2:23" x14ac:dyDescent="0.3">
      <c r="B776" s="2">
        <v>768</v>
      </c>
      <c r="C776" s="2">
        <v>9074</v>
      </c>
      <c r="D776" s="4">
        <v>1384510.9200000002</v>
      </c>
      <c r="E776" s="4">
        <f t="shared" si="198"/>
        <v>12563052088.080002</v>
      </c>
      <c r="F776" s="2">
        <f t="shared" si="199"/>
        <v>82337476</v>
      </c>
      <c r="G776" s="2">
        <f t="shared" si="200"/>
        <v>1916870487599.2468</v>
      </c>
      <c r="H776" s="42">
        <f t="shared" si="201"/>
        <v>4049.5190000000002</v>
      </c>
      <c r="I776" s="2">
        <f t="shared" si="202"/>
        <v>16398604.131361002</v>
      </c>
      <c r="J776" s="4">
        <f t="shared" si="203"/>
        <v>95409.023190001026</v>
      </c>
      <c r="K776" s="2">
        <f t="shared" si="204"/>
        <v>9102881706.0701542</v>
      </c>
      <c r="L776" s="2">
        <f t="shared" si="205"/>
        <v>386360652.17934978</v>
      </c>
      <c r="N776" s="42">
        <f t="shared" si="206"/>
        <v>2314583.2440116103</v>
      </c>
      <c r="O776" s="42">
        <f t="shared" si="207"/>
        <v>1051611993458.4314</v>
      </c>
      <c r="P776" s="4">
        <f t="shared" si="208"/>
        <v>-930072.32401161012</v>
      </c>
      <c r="Q776" s="4">
        <f t="shared" si="209"/>
        <v>865034527892.35754</v>
      </c>
      <c r="R776" s="43">
        <f t="shared" si="210"/>
        <v>3.0658340779501966E-3</v>
      </c>
      <c r="S776" s="4">
        <f t="shared" si="211"/>
        <v>-0.76551114814685217</v>
      </c>
      <c r="T776" s="30">
        <f t="shared" si="212"/>
        <v>2182235.6281021661</v>
      </c>
      <c r="U776" s="31">
        <f t="shared" si="213"/>
        <v>2446930.8599210544</v>
      </c>
      <c r="V776" s="31">
        <f t="shared" si="214"/>
        <v>4703550.6936387457</v>
      </c>
      <c r="W776" s="42">
        <f t="shared" si="215"/>
        <v>4708486.0717257187</v>
      </c>
    </row>
    <row r="777" spans="2:23" x14ac:dyDescent="0.3">
      <c r="B777" s="2">
        <v>769</v>
      </c>
      <c r="C777" s="2">
        <v>55</v>
      </c>
      <c r="D777" s="4">
        <v>11313.5</v>
      </c>
      <c r="E777" s="4">
        <f t="shared" si="198"/>
        <v>622242.5</v>
      </c>
      <c r="F777" s="2">
        <f t="shared" si="199"/>
        <v>3025</v>
      </c>
      <c r="G777" s="2">
        <f t="shared" si="200"/>
        <v>127995282.25</v>
      </c>
      <c r="H777" s="42">
        <f t="shared" si="201"/>
        <v>-4969.4809999999998</v>
      </c>
      <c r="I777" s="2">
        <f t="shared" si="202"/>
        <v>24695741.409360997</v>
      </c>
      <c r="J777" s="4">
        <f t="shared" si="203"/>
        <v>-1277788.3968099991</v>
      </c>
      <c r="K777" s="2">
        <f t="shared" si="204"/>
        <v>1632743187022.2678</v>
      </c>
      <c r="L777" s="2">
        <f t="shared" si="205"/>
        <v>6349945159.9677505</v>
      </c>
      <c r="N777" s="42">
        <f t="shared" si="206"/>
        <v>30653.653753772436</v>
      </c>
      <c r="O777" s="42">
        <f t="shared" si="207"/>
        <v>1583691980451.304</v>
      </c>
      <c r="P777" s="4">
        <f t="shared" si="208"/>
        <v>-19340.153753772436</v>
      </c>
      <c r="Q777" s="4">
        <f t="shared" si="209"/>
        <v>374041547.21955806</v>
      </c>
      <c r="R777" s="43">
        <f t="shared" si="210"/>
        <v>4.1110760266562744E-3</v>
      </c>
      <c r="S777" s="4">
        <f t="shared" si="211"/>
        <v>-1.5926579346066276E-2</v>
      </c>
      <c r="T777" s="30">
        <f t="shared" si="212"/>
        <v>-122603.07555102571</v>
      </c>
      <c r="U777" s="31">
        <f t="shared" si="213"/>
        <v>183910.38305857059</v>
      </c>
      <c r="V777" s="31">
        <f t="shared" si="214"/>
        <v>2418370.9196246061</v>
      </c>
      <c r="W777" s="42">
        <f t="shared" si="215"/>
        <v>2425803.4365811213</v>
      </c>
    </row>
    <row r="778" spans="2:23" x14ac:dyDescent="0.3">
      <c r="B778" s="2">
        <v>770</v>
      </c>
      <c r="C778" s="2">
        <v>480</v>
      </c>
      <c r="D778" s="4">
        <v>320769.59999999998</v>
      </c>
      <c r="E778" s="4">
        <f t="shared" ref="E778:E841" si="216">C778*D778</f>
        <v>153969408</v>
      </c>
      <c r="F778" s="2">
        <f t="shared" ref="F778:F841" si="217">POWER(C778,2)</f>
        <v>230400</v>
      </c>
      <c r="G778" s="2">
        <f t="shared" ref="G778:G841" si="218">POWER(D778,2)</f>
        <v>102893136284.15999</v>
      </c>
      <c r="H778" s="42">
        <f t="shared" ref="H778:H841" si="219">C778-$AG$9</f>
        <v>-4544.4809999999998</v>
      </c>
      <c r="I778" s="2">
        <f t="shared" ref="I778:I841" si="220">POWER(H778,2)</f>
        <v>20652307.559361</v>
      </c>
      <c r="J778" s="4">
        <f t="shared" ref="J778:J841" si="221">D778-$AG$10</f>
        <v>-968332.29680999916</v>
      </c>
      <c r="K778" s="2">
        <f t="shared" ref="K778:K841" si="222">POWER(J778,2)</f>
        <v>937667437045.32825</v>
      </c>
      <c r="L778" s="2">
        <f t="shared" ref="L778:L841" si="223">H778*J778</f>
        <v>4400567724.539402</v>
      </c>
      <c r="N778" s="42">
        <f t="shared" ref="N778:N841" si="224">$AG$18+$AG$17*C778</f>
        <v>138278.67602448771</v>
      </c>
      <c r="O778" s="42">
        <f t="shared" ref="O778:O841" si="225">(N778-$AG$10)^2</f>
        <v>1324394085499.1379</v>
      </c>
      <c r="P778" s="4">
        <f t="shared" ref="P778:P841" si="226">D778-N778</f>
        <v>182490.92397551227</v>
      </c>
      <c r="Q778" s="4">
        <f t="shared" ref="Q778:Q841" si="227">P778^2</f>
        <v>33302937333.436199</v>
      </c>
      <c r="R778" s="43">
        <f t="shared" ref="R778:R841" si="228">(1/$AG$8)+((I778)/($I$1009))</f>
        <v>3.6016995350747262E-3</v>
      </c>
      <c r="S778" s="4">
        <f t="shared" ref="S778:S841" si="229">P778 / ($AG$19*SQRT(1-R778))</f>
        <v>0.1502425061697171</v>
      </c>
      <c r="T778" s="30">
        <f t="shared" ref="T778:T841" si="230">N778-$AK$16*SQRT($AG$25*((1/$AG$8)+((C778-$AG$9)^2)/$I$1009))</f>
        <v>-5169.6678578415303</v>
      </c>
      <c r="U778" s="31">
        <f t="shared" ref="U778:U841" si="231">N778+$AK$16*SQRT($AG$25*((1/$AG$8)+((C778-$AG$9)^2)/$I$1009))</f>
        <v>281727.01990681695</v>
      </c>
      <c r="V778" s="31">
        <f t="shared" ref="V778:V841" si="232">N778+$AK$16*SQRT($AG$25*(1+(1/$AG$8)-((C778-$AG$9)^2)/$I$1009))</f>
        <v>2526605.2741790013</v>
      </c>
      <c r="W778" s="42">
        <f t="shared" ref="W778:W841" si="233">N778+$AK$16*SQRT($AG$25*(1+(1/$AG$8)+((C778-$AG$9)^2)/$I$1009))</f>
        <v>2532820.8628450241</v>
      </c>
    </row>
    <row r="779" spans="2:23" x14ac:dyDescent="0.3">
      <c r="B779" s="2">
        <v>771</v>
      </c>
      <c r="C779" s="2">
        <v>5042</v>
      </c>
      <c r="D779" s="4">
        <v>550989.76</v>
      </c>
      <c r="E779" s="4">
        <f t="shared" si="216"/>
        <v>2778090369.9200001</v>
      </c>
      <c r="F779" s="2">
        <f t="shared" si="217"/>
        <v>25421764</v>
      </c>
      <c r="G779" s="2">
        <f t="shared" si="218"/>
        <v>303589715624.8576</v>
      </c>
      <c r="H779" s="42">
        <f t="shared" si="219"/>
        <v>17.519000000000233</v>
      </c>
      <c r="I779" s="2">
        <f t="shared" si="220"/>
        <v>306.91536100000815</v>
      </c>
      <c r="J779" s="4">
        <f t="shared" si="221"/>
        <v>-738112.13680999912</v>
      </c>
      <c r="K779" s="2">
        <f t="shared" si="222"/>
        <v>544809526506.22284</v>
      </c>
      <c r="L779" s="2">
        <f t="shared" si="223"/>
        <v>-12930986.524774546</v>
      </c>
      <c r="N779" s="42">
        <f t="shared" si="224"/>
        <v>1293538.3268456715</v>
      </c>
      <c r="O779" s="42">
        <f t="shared" si="225"/>
        <v>19681911.461416066</v>
      </c>
      <c r="P779" s="4">
        <f t="shared" si="226"/>
        <v>-742548.56684567151</v>
      </c>
      <c r="Q779" s="4">
        <f t="shared" si="227"/>
        <v>551378374124.56067</v>
      </c>
      <c r="R779" s="43">
        <f t="shared" si="228"/>
        <v>1.0000386640354705E-3</v>
      </c>
      <c r="S779" s="4">
        <f t="shared" si="229"/>
        <v>-0.61053443930507856</v>
      </c>
      <c r="T779" s="30">
        <f t="shared" si="230"/>
        <v>1217950.789813505</v>
      </c>
      <c r="U779" s="31">
        <f t="shared" si="231"/>
        <v>1369125.863877838</v>
      </c>
      <c r="V779" s="31">
        <f t="shared" si="232"/>
        <v>3684974.6925180485</v>
      </c>
      <c r="W779" s="42">
        <f t="shared" si="233"/>
        <v>3684974.7848882601</v>
      </c>
    </row>
    <row r="780" spans="2:23" x14ac:dyDescent="0.3">
      <c r="B780" s="2">
        <v>772</v>
      </c>
      <c r="C780" s="2">
        <v>464</v>
      </c>
      <c r="D780" s="4">
        <v>95444.799999999988</v>
      </c>
      <c r="E780" s="4">
        <f t="shared" si="216"/>
        <v>44286387.199999996</v>
      </c>
      <c r="F780" s="2">
        <f t="shared" si="217"/>
        <v>215296</v>
      </c>
      <c r="G780" s="2">
        <f t="shared" si="218"/>
        <v>9109709847.0399971</v>
      </c>
      <c r="H780" s="42">
        <f t="shared" si="219"/>
        <v>-4560.4809999999998</v>
      </c>
      <c r="I780" s="2">
        <f t="shared" si="220"/>
        <v>20797986.951360997</v>
      </c>
      <c r="J780" s="4">
        <f t="shared" si="221"/>
        <v>-1193657.0968099991</v>
      </c>
      <c r="K780" s="2">
        <f t="shared" si="222"/>
        <v>1424817264764.8755</v>
      </c>
      <c r="L780" s="2">
        <f t="shared" si="223"/>
        <v>5443650510.5171614</v>
      </c>
      <c r="N780" s="42">
        <f t="shared" si="224"/>
        <v>134226.91048017843</v>
      </c>
      <c r="O780" s="42">
        <f t="shared" si="225"/>
        <v>1333736234050.3035</v>
      </c>
      <c r="P780" s="4">
        <f t="shared" si="226"/>
        <v>-38782.110480178439</v>
      </c>
      <c r="Q780" s="4">
        <f t="shared" si="227"/>
        <v>1504052093.2967663</v>
      </c>
      <c r="R780" s="43">
        <f t="shared" si="228"/>
        <v>3.6200516734663786E-3</v>
      </c>
      <c r="S780" s="4">
        <f t="shared" si="229"/>
        <v>-3.1929122865756353E-2</v>
      </c>
      <c r="T780" s="30">
        <f t="shared" si="230"/>
        <v>-9586.4331510273914</v>
      </c>
      <c r="U780" s="31">
        <f t="shared" si="231"/>
        <v>278040.25411138427</v>
      </c>
      <c r="V780" s="31">
        <f t="shared" si="232"/>
        <v>2522531.5579254134</v>
      </c>
      <c r="W780" s="42">
        <f t="shared" si="233"/>
        <v>2528790.9908311469</v>
      </c>
    </row>
    <row r="781" spans="2:23" x14ac:dyDescent="0.3">
      <c r="B781" s="2">
        <v>773</v>
      </c>
      <c r="C781" s="2">
        <v>501</v>
      </c>
      <c r="D781" s="4">
        <v>334803.27</v>
      </c>
      <c r="E781" s="4">
        <f t="shared" si="216"/>
        <v>167736438.27000001</v>
      </c>
      <c r="F781" s="2">
        <f t="shared" si="217"/>
        <v>251001</v>
      </c>
      <c r="G781" s="2">
        <f t="shared" si="218"/>
        <v>112093229602.69292</v>
      </c>
      <c r="H781" s="42">
        <f t="shared" si="219"/>
        <v>-4523.4809999999998</v>
      </c>
      <c r="I781" s="2">
        <f t="shared" si="220"/>
        <v>20461880.357360996</v>
      </c>
      <c r="J781" s="4">
        <f t="shared" si="221"/>
        <v>-954298.62680999911</v>
      </c>
      <c r="K781" s="2">
        <f t="shared" si="222"/>
        <v>910685869131.44995</v>
      </c>
      <c r="L781" s="2">
        <f t="shared" si="223"/>
        <v>4316751706.7011213</v>
      </c>
      <c r="N781" s="42">
        <f t="shared" si="224"/>
        <v>143596.61830139364</v>
      </c>
      <c r="O781" s="42">
        <f t="shared" si="225"/>
        <v>1312182343091.0776</v>
      </c>
      <c r="P781" s="4">
        <f t="shared" si="226"/>
        <v>191206.65169860638</v>
      </c>
      <c r="Q781" s="4">
        <f t="shared" si="227"/>
        <v>36559983653.792175</v>
      </c>
      <c r="R781" s="43">
        <f t="shared" si="228"/>
        <v>3.5777102369546512E-3</v>
      </c>
      <c r="S781" s="4">
        <f t="shared" si="229"/>
        <v>0.15741616135056261</v>
      </c>
      <c r="T781" s="30">
        <f t="shared" si="230"/>
        <v>626.79495191879687</v>
      </c>
      <c r="U781" s="31">
        <f t="shared" si="231"/>
        <v>286566.44165086851</v>
      </c>
      <c r="V781" s="31">
        <f t="shared" si="232"/>
        <v>2531951.9093806571</v>
      </c>
      <c r="W781" s="42">
        <f t="shared" si="233"/>
        <v>2538110.1863333797</v>
      </c>
    </row>
    <row r="782" spans="2:23" x14ac:dyDescent="0.3">
      <c r="B782" s="2">
        <v>774</v>
      </c>
      <c r="C782" s="2">
        <v>940</v>
      </c>
      <c r="D782" s="4">
        <v>239963.2</v>
      </c>
      <c r="E782" s="4">
        <f t="shared" si="216"/>
        <v>225565408</v>
      </c>
      <c r="F782" s="2">
        <f t="shared" si="217"/>
        <v>883600</v>
      </c>
      <c r="G782" s="2">
        <f t="shared" si="218"/>
        <v>57582337354.240005</v>
      </c>
      <c r="H782" s="42">
        <f t="shared" si="219"/>
        <v>-4084.4809999999998</v>
      </c>
      <c r="I782" s="2">
        <f t="shared" si="220"/>
        <v>16682985.039360998</v>
      </c>
      <c r="J782" s="4">
        <f t="shared" si="221"/>
        <v>-1049138.6968099992</v>
      </c>
      <c r="K782" s="2">
        <f t="shared" si="222"/>
        <v>1100692005144.1833</v>
      </c>
      <c r="L782" s="2">
        <f t="shared" si="223"/>
        <v>4285187073.4852018</v>
      </c>
      <c r="N782" s="42">
        <f t="shared" si="224"/>
        <v>254766.93542337953</v>
      </c>
      <c r="O782" s="42">
        <f t="shared" si="225"/>
        <v>1069848812346.6599</v>
      </c>
      <c r="P782" s="4">
        <f t="shared" si="226"/>
        <v>-14803.735423379519</v>
      </c>
      <c r="Q782" s="4">
        <f t="shared" si="227"/>
        <v>219150582.4854216</v>
      </c>
      <c r="R782" s="43">
        <f t="shared" si="228"/>
        <v>3.1016593083270489E-3</v>
      </c>
      <c r="S782" s="4">
        <f t="shared" si="229"/>
        <v>-1.2184674063881785E-2</v>
      </c>
      <c r="T782" s="30">
        <f t="shared" si="230"/>
        <v>121648.30371327259</v>
      </c>
      <c r="U782" s="31">
        <f t="shared" si="231"/>
        <v>387885.5671334865</v>
      </c>
      <c r="V782" s="31">
        <f t="shared" si="232"/>
        <v>2643691.5463532694</v>
      </c>
      <c r="W782" s="42">
        <f t="shared" si="233"/>
        <v>2648712.5127515411</v>
      </c>
    </row>
    <row r="783" spans="2:23" x14ac:dyDescent="0.3">
      <c r="B783" s="2">
        <v>775</v>
      </c>
      <c r="C783" s="2">
        <v>4596</v>
      </c>
      <c r="D783" s="4">
        <v>218080.2</v>
      </c>
      <c r="E783" s="4">
        <f t="shared" si="216"/>
        <v>1002296599.2</v>
      </c>
      <c r="F783" s="2">
        <f t="shared" si="217"/>
        <v>21123216</v>
      </c>
      <c r="G783" s="2">
        <f t="shared" si="218"/>
        <v>47558973632.040009</v>
      </c>
      <c r="H783" s="42">
        <f t="shared" si="219"/>
        <v>-428.48099999999977</v>
      </c>
      <c r="I783" s="2">
        <f t="shared" si="220"/>
        <v>183595.96736099981</v>
      </c>
      <c r="J783" s="4">
        <f t="shared" si="221"/>
        <v>-1071021.6968099992</v>
      </c>
      <c r="K783" s="2">
        <f t="shared" si="222"/>
        <v>1147087475037.7698</v>
      </c>
      <c r="L783" s="2">
        <f t="shared" si="223"/>
        <v>458912447.67084503</v>
      </c>
      <c r="N783" s="42">
        <f t="shared" si="224"/>
        <v>1180595.3622980502</v>
      </c>
      <c r="O783" s="42">
        <f t="shared" si="225"/>
        <v>11773668031.792765</v>
      </c>
      <c r="P783" s="4">
        <f t="shared" si="226"/>
        <v>-962515.16229805024</v>
      </c>
      <c r="Q783" s="4">
        <f t="shared" si="227"/>
        <v>926435437653.64197</v>
      </c>
      <c r="R783" s="43">
        <f t="shared" si="228"/>
        <v>1.0231287250372272E-3</v>
      </c>
      <c r="S783" s="4">
        <f t="shared" si="229"/>
        <v>-0.79140338087712003</v>
      </c>
      <c r="T783" s="30">
        <f t="shared" si="230"/>
        <v>1104140.1783158102</v>
      </c>
      <c r="U783" s="31">
        <f t="shared" si="231"/>
        <v>1257050.5462802902</v>
      </c>
      <c r="V783" s="31">
        <f t="shared" si="232"/>
        <v>3572004.146186145</v>
      </c>
      <c r="W783" s="42">
        <f t="shared" si="233"/>
        <v>3572059.4018057426</v>
      </c>
    </row>
    <row r="784" spans="2:23" x14ac:dyDescent="0.3">
      <c r="B784" s="2">
        <v>776</v>
      </c>
      <c r="C784" s="2">
        <v>6320</v>
      </c>
      <c r="D784" s="4">
        <v>299884</v>
      </c>
      <c r="E784" s="4">
        <f t="shared" si="216"/>
        <v>1895266880</v>
      </c>
      <c r="F784" s="2">
        <f t="shared" si="217"/>
        <v>39942400</v>
      </c>
      <c r="G784" s="2">
        <f t="shared" si="218"/>
        <v>89930413456</v>
      </c>
      <c r="H784" s="42">
        <f t="shared" si="219"/>
        <v>1295.5190000000002</v>
      </c>
      <c r="I784" s="2">
        <f t="shared" si="220"/>
        <v>1678369.4793610007</v>
      </c>
      <c r="J784" s="4">
        <f t="shared" si="221"/>
        <v>-989217.89680999913</v>
      </c>
      <c r="K784" s="2">
        <f t="shared" si="222"/>
        <v>978552047369.19812</v>
      </c>
      <c r="L784" s="2">
        <f t="shared" si="223"/>
        <v>-1281550580.4573934</v>
      </c>
      <c r="N784" s="42">
        <f t="shared" si="224"/>
        <v>1617173.0996973752</v>
      </c>
      <c r="O784" s="42">
        <f t="shared" si="225"/>
        <v>107630714163.96988</v>
      </c>
      <c r="P784" s="4">
        <f t="shared" si="226"/>
        <v>-1317289.0996973752</v>
      </c>
      <c r="Q784" s="4">
        <f t="shared" si="227"/>
        <v>1735250572181.5212</v>
      </c>
      <c r="R784" s="43">
        <f t="shared" si="228"/>
        <v>1.2114346341969852E-3</v>
      </c>
      <c r="S784" s="4">
        <f t="shared" si="229"/>
        <v>-1.0832092391600603</v>
      </c>
      <c r="T784" s="30">
        <f t="shared" si="230"/>
        <v>1533979.1407346842</v>
      </c>
      <c r="U784" s="31">
        <f t="shared" si="231"/>
        <v>1700367.0586600662</v>
      </c>
      <c r="V784" s="31">
        <f t="shared" si="232"/>
        <v>4008356.9345388142</v>
      </c>
      <c r="W784" s="42">
        <f t="shared" si="233"/>
        <v>4008862.061897222</v>
      </c>
    </row>
    <row r="785" spans="2:23" x14ac:dyDescent="0.3">
      <c r="B785" s="2">
        <v>777</v>
      </c>
      <c r="C785" s="2">
        <v>7991</v>
      </c>
      <c r="D785" s="4">
        <v>5340145.57</v>
      </c>
      <c r="E785" s="4">
        <f t="shared" si="216"/>
        <v>42673103249.870003</v>
      </c>
      <c r="F785" s="2">
        <f t="shared" si="217"/>
        <v>63856081</v>
      </c>
      <c r="G785" s="2">
        <f t="shared" si="218"/>
        <v>28517154708790.629</v>
      </c>
      <c r="H785" s="42">
        <f t="shared" si="219"/>
        <v>2966.5190000000002</v>
      </c>
      <c r="I785" s="2">
        <f t="shared" si="220"/>
        <v>8800234.9773610011</v>
      </c>
      <c r="J785" s="4">
        <f t="shared" si="221"/>
        <v>4051043.6731900014</v>
      </c>
      <c r="K785" s="2">
        <f t="shared" si="222"/>
        <v>16410954842092.738</v>
      </c>
      <c r="L785" s="2">
        <f t="shared" si="223"/>
        <v>12017498026.347931</v>
      </c>
      <c r="N785" s="42">
        <f t="shared" si="224"/>
        <v>2040329.3637311757</v>
      </c>
      <c r="O785" s="42">
        <f t="shared" si="225"/>
        <v>564342707056.80737</v>
      </c>
      <c r="P785" s="4">
        <f t="shared" si="226"/>
        <v>3299816.2062688246</v>
      </c>
      <c r="Q785" s="4">
        <f t="shared" si="227"/>
        <v>10888786995154.379</v>
      </c>
      <c r="R785" s="43">
        <f t="shared" si="228"/>
        <v>2.1086202925915008E-3</v>
      </c>
      <c r="S785" s="4">
        <f t="shared" si="229"/>
        <v>2.7146644396671848</v>
      </c>
      <c r="T785" s="30">
        <f t="shared" si="230"/>
        <v>1930570.1494098739</v>
      </c>
      <c r="U785" s="31">
        <f t="shared" si="231"/>
        <v>2150088.5780524774</v>
      </c>
      <c r="V785" s="31">
        <f t="shared" si="232"/>
        <v>4430441.1355289854</v>
      </c>
      <c r="W785" s="42">
        <f t="shared" si="233"/>
        <v>4433089.6823233087</v>
      </c>
    </row>
    <row r="786" spans="2:23" x14ac:dyDescent="0.3">
      <c r="B786" s="2">
        <v>778</v>
      </c>
      <c r="C786" s="2">
        <v>3520</v>
      </c>
      <c r="D786" s="4">
        <v>2292259.2000000002</v>
      </c>
      <c r="E786" s="4">
        <f t="shared" si="216"/>
        <v>8068752384.000001</v>
      </c>
      <c r="F786" s="2">
        <f t="shared" si="217"/>
        <v>12390400</v>
      </c>
      <c r="G786" s="2">
        <f t="shared" si="218"/>
        <v>5254452239984.6406</v>
      </c>
      <c r="H786" s="42">
        <f t="shared" si="219"/>
        <v>-1504.4809999999998</v>
      </c>
      <c r="I786" s="2">
        <f t="shared" si="220"/>
        <v>2263463.0793609992</v>
      </c>
      <c r="J786" s="4">
        <f t="shared" si="221"/>
        <v>1003157.3031900011</v>
      </c>
      <c r="K786" s="2">
        <f t="shared" si="222"/>
        <v>1006324574943.4357</v>
      </c>
      <c r="L786" s="2">
        <f t="shared" si="223"/>
        <v>-1509231102.6605957</v>
      </c>
      <c r="N786" s="42">
        <f t="shared" si="224"/>
        <v>908114.12944325106</v>
      </c>
      <c r="O786" s="42">
        <f t="shared" si="225"/>
        <v>145151678883.09933</v>
      </c>
      <c r="P786" s="4">
        <f t="shared" si="226"/>
        <v>1384145.0705567491</v>
      </c>
      <c r="Q786" s="4">
        <f t="shared" si="227"/>
        <v>1915857576346.5481</v>
      </c>
      <c r="R786" s="43">
        <f t="shared" si="228"/>
        <v>1.2851425112814137E-3</v>
      </c>
      <c r="S786" s="4">
        <f t="shared" si="229"/>
        <v>1.1382270262403591</v>
      </c>
      <c r="T786" s="30">
        <f t="shared" si="230"/>
        <v>822426.63505436655</v>
      </c>
      <c r="U786" s="31">
        <f t="shared" si="231"/>
        <v>993801.62383213558</v>
      </c>
      <c r="V786" s="31">
        <f t="shared" si="232"/>
        <v>3299209.9075584337</v>
      </c>
      <c r="W786" s="42">
        <f t="shared" si="233"/>
        <v>3299891.1265304247</v>
      </c>
    </row>
    <row r="787" spans="2:23" x14ac:dyDescent="0.3">
      <c r="B787" s="2">
        <v>779</v>
      </c>
      <c r="C787" s="2">
        <v>3850</v>
      </c>
      <c r="D787" s="4">
        <v>2572839.5</v>
      </c>
      <c r="E787" s="4">
        <f t="shared" si="216"/>
        <v>9905432075</v>
      </c>
      <c r="F787" s="2">
        <f t="shared" si="217"/>
        <v>14822500</v>
      </c>
      <c r="G787" s="2">
        <f t="shared" si="218"/>
        <v>6619503092760.25</v>
      </c>
      <c r="H787" s="42">
        <f t="shared" si="219"/>
        <v>-1174.4809999999998</v>
      </c>
      <c r="I787" s="2">
        <f t="shared" si="220"/>
        <v>1379405.6193609994</v>
      </c>
      <c r="J787" s="4">
        <f t="shared" si="221"/>
        <v>1283737.6031900009</v>
      </c>
      <c r="K787" s="2">
        <f t="shared" si="222"/>
        <v>1647982233844.0081</v>
      </c>
      <c r="L787" s="2">
        <f t="shared" si="223"/>
        <v>-1507725423.9321952</v>
      </c>
      <c r="N787" s="42">
        <f t="shared" si="224"/>
        <v>991681.79379462998</v>
      </c>
      <c r="O787" s="42">
        <f t="shared" si="225"/>
        <v>88458717677.672806</v>
      </c>
      <c r="P787" s="4">
        <f t="shared" si="226"/>
        <v>1581157.7062053699</v>
      </c>
      <c r="Q787" s="4">
        <f t="shared" si="227"/>
        <v>2500059691892.627</v>
      </c>
      <c r="R787" s="43">
        <f t="shared" si="228"/>
        <v>1.1737722987252481E-3</v>
      </c>
      <c r="S787" s="4">
        <f t="shared" si="229"/>
        <v>1.3001643644612584</v>
      </c>
      <c r="T787" s="30">
        <f t="shared" si="230"/>
        <v>909791.25534956739</v>
      </c>
      <c r="U787" s="31">
        <f t="shared" si="231"/>
        <v>1073572.3322396926</v>
      </c>
      <c r="V787" s="31">
        <f t="shared" si="232"/>
        <v>3382910.6215164922</v>
      </c>
      <c r="W787" s="42">
        <f t="shared" si="233"/>
        <v>3383325.7717703478</v>
      </c>
    </row>
    <row r="788" spans="2:23" x14ac:dyDescent="0.3">
      <c r="B788" s="2">
        <v>780</v>
      </c>
      <c r="C788" s="2">
        <v>1954</v>
      </c>
      <c r="D788" s="4">
        <v>824373.05999999994</v>
      </c>
      <c r="E788" s="4">
        <f t="shared" si="216"/>
        <v>1610824959.2399998</v>
      </c>
      <c r="F788" s="2">
        <f t="shared" si="217"/>
        <v>3818116</v>
      </c>
      <c r="G788" s="2">
        <f t="shared" si="218"/>
        <v>679590942053.76355</v>
      </c>
      <c r="H788" s="42">
        <f t="shared" si="219"/>
        <v>-3070.4809999999998</v>
      </c>
      <c r="I788" s="2">
        <f t="shared" si="220"/>
        <v>9427853.5713609979</v>
      </c>
      <c r="J788" s="4">
        <f t="shared" si="221"/>
        <v>-464728.83680999919</v>
      </c>
      <c r="K788" s="2">
        <f t="shared" si="222"/>
        <v>215972891762.77487</v>
      </c>
      <c r="L788" s="2">
        <f t="shared" si="223"/>
        <v>1426941063.577203</v>
      </c>
      <c r="N788" s="42">
        <f t="shared" si="224"/>
        <v>511547.5767939802</v>
      </c>
      <c r="O788" s="42">
        <f t="shared" si="225"/>
        <v>604590720575.57361</v>
      </c>
      <c r="P788" s="4">
        <f t="shared" si="226"/>
        <v>312825.48320601974</v>
      </c>
      <c r="Q788" s="4">
        <f t="shared" si="227"/>
        <v>97859782943.079742</v>
      </c>
      <c r="R788" s="43">
        <f t="shared" si="228"/>
        <v>2.1876853074582741E-3</v>
      </c>
      <c r="S788" s="4">
        <f t="shared" si="229"/>
        <v>0.25736277616092962</v>
      </c>
      <c r="T788" s="30">
        <f t="shared" si="230"/>
        <v>399749.52802458615</v>
      </c>
      <c r="U788" s="31">
        <f t="shared" si="231"/>
        <v>623345.62556337425</v>
      </c>
      <c r="V788" s="31">
        <f t="shared" si="232"/>
        <v>2901564.8493479365</v>
      </c>
      <c r="W788" s="42">
        <f t="shared" si="233"/>
        <v>2904402.2863008776</v>
      </c>
    </row>
    <row r="789" spans="2:23" x14ac:dyDescent="0.3">
      <c r="B789" s="2">
        <v>781</v>
      </c>
      <c r="C789" s="2">
        <v>7837</v>
      </c>
      <c r="D789" s="4">
        <v>5103532.7700000005</v>
      </c>
      <c r="E789" s="4">
        <f t="shared" si="216"/>
        <v>39996386318.490005</v>
      </c>
      <c r="F789" s="2">
        <f t="shared" si="217"/>
        <v>61418569</v>
      </c>
      <c r="G789" s="2">
        <f t="shared" si="218"/>
        <v>26046046734463.879</v>
      </c>
      <c r="H789" s="42">
        <f t="shared" si="219"/>
        <v>2812.5190000000002</v>
      </c>
      <c r="I789" s="2">
        <f t="shared" si="220"/>
        <v>7910263.1253610011</v>
      </c>
      <c r="J789" s="4">
        <f t="shared" si="221"/>
        <v>3814430.8731900016</v>
      </c>
      <c r="K789" s="2">
        <f t="shared" si="222"/>
        <v>14549882886345.037</v>
      </c>
      <c r="L789" s="2">
        <f t="shared" si="223"/>
        <v>10728159305.03347</v>
      </c>
      <c r="N789" s="42">
        <f t="shared" si="224"/>
        <v>2001331.1203671989</v>
      </c>
      <c r="O789" s="42">
        <f t="shared" si="225"/>
        <v>507270466888.89172</v>
      </c>
      <c r="P789" s="4">
        <f t="shared" si="226"/>
        <v>3102201.6496328013</v>
      </c>
      <c r="Q789" s="4">
        <f t="shared" si="227"/>
        <v>9623655074984.4746</v>
      </c>
      <c r="R789" s="43">
        <f t="shared" si="228"/>
        <v>1.9965050073177991E-3</v>
      </c>
      <c r="S789" s="4">
        <f t="shared" si="229"/>
        <v>2.5519492398898671</v>
      </c>
      <c r="T789" s="30">
        <f t="shared" si="230"/>
        <v>1894529.7068452598</v>
      </c>
      <c r="U789" s="31">
        <f t="shared" si="231"/>
        <v>2108132.5338891381</v>
      </c>
      <c r="V789" s="31">
        <f t="shared" si="232"/>
        <v>4391576.8869955204</v>
      </c>
      <c r="W789" s="42">
        <f t="shared" si="233"/>
        <v>4393957.5849518776</v>
      </c>
    </row>
    <row r="790" spans="2:23" x14ac:dyDescent="0.3">
      <c r="B790" s="2">
        <v>782</v>
      </c>
      <c r="C790" s="2">
        <v>3535</v>
      </c>
      <c r="D790" s="4">
        <v>1545502</v>
      </c>
      <c r="E790" s="4">
        <f t="shared" si="216"/>
        <v>5463349570</v>
      </c>
      <c r="F790" s="2">
        <f t="shared" si="217"/>
        <v>12496225</v>
      </c>
      <c r="G790" s="2">
        <f t="shared" si="218"/>
        <v>2388576432004</v>
      </c>
      <c r="H790" s="42">
        <f t="shared" si="219"/>
        <v>-1489.4809999999998</v>
      </c>
      <c r="I790" s="2">
        <f t="shared" si="220"/>
        <v>2218553.6493609995</v>
      </c>
      <c r="J790" s="4">
        <f t="shared" si="221"/>
        <v>256400.10319000087</v>
      </c>
      <c r="K790" s="2">
        <f t="shared" si="222"/>
        <v>65741012915.843094</v>
      </c>
      <c r="L790" s="2">
        <f t="shared" si="223"/>
        <v>-381903082.0995456</v>
      </c>
      <c r="N790" s="42">
        <f t="shared" si="224"/>
        <v>911912.65964104095</v>
      </c>
      <c r="O790" s="42">
        <f t="shared" si="225"/>
        <v>142271720636.10059</v>
      </c>
      <c r="P790" s="4">
        <f t="shared" si="226"/>
        <v>633589.34035895905</v>
      </c>
      <c r="Q790" s="4">
        <f t="shared" si="227"/>
        <v>401435452216.50085</v>
      </c>
      <c r="R790" s="43">
        <f t="shared" si="228"/>
        <v>1.2794849912771413E-3</v>
      </c>
      <c r="S790" s="4">
        <f t="shared" si="229"/>
        <v>0.52101942451397176</v>
      </c>
      <c r="T790" s="30">
        <f t="shared" si="230"/>
        <v>826413.98221851257</v>
      </c>
      <c r="U790" s="31">
        <f t="shared" si="231"/>
        <v>997411.33706356934</v>
      </c>
      <c r="V790" s="31">
        <f t="shared" si="232"/>
        <v>3303015.1967510437</v>
      </c>
      <c r="W790" s="42">
        <f t="shared" si="233"/>
        <v>3303682.899639376</v>
      </c>
    </row>
    <row r="791" spans="2:23" x14ac:dyDescent="0.3">
      <c r="B791" s="2">
        <v>783</v>
      </c>
      <c r="C791" s="2">
        <v>8116</v>
      </c>
      <c r="D791" s="4">
        <v>3548315.1999999997</v>
      </c>
      <c r="E791" s="4">
        <f t="shared" si="216"/>
        <v>28798126163.199997</v>
      </c>
      <c r="F791" s="2">
        <f t="shared" si="217"/>
        <v>65869456</v>
      </c>
      <c r="G791" s="2">
        <f t="shared" si="218"/>
        <v>12590540758551.037</v>
      </c>
      <c r="H791" s="42">
        <f t="shared" si="219"/>
        <v>3091.5190000000002</v>
      </c>
      <c r="I791" s="2">
        <f t="shared" si="220"/>
        <v>9557489.7273610011</v>
      </c>
      <c r="J791" s="4">
        <f t="shared" si="221"/>
        <v>2259213.3031900004</v>
      </c>
      <c r="K791" s="2">
        <f t="shared" si="222"/>
        <v>5104044749310.6729</v>
      </c>
      <c r="L791" s="2">
        <f t="shared" si="223"/>
        <v>6984400851.8646469</v>
      </c>
      <c r="N791" s="42">
        <f t="shared" si="224"/>
        <v>2071983.782046092</v>
      </c>
      <c r="O791" s="42">
        <f t="shared" si="225"/>
        <v>612904046230.81885</v>
      </c>
      <c r="P791" s="4">
        <f t="shared" si="226"/>
        <v>1476331.4179539077</v>
      </c>
      <c r="Q791" s="4">
        <f t="shared" si="227"/>
        <v>2179554455637.7959</v>
      </c>
      <c r="R791" s="43">
        <f t="shared" si="228"/>
        <v>2.2040163797040586E-3</v>
      </c>
      <c r="S791" s="4">
        <f t="shared" si="229"/>
        <v>1.214593701646405</v>
      </c>
      <c r="T791" s="30">
        <f t="shared" si="230"/>
        <v>1959769.2228905451</v>
      </c>
      <c r="U791" s="31">
        <f t="shared" si="231"/>
        <v>2184198.3412016388</v>
      </c>
      <c r="V791" s="31">
        <f t="shared" si="232"/>
        <v>4461981.5350844543</v>
      </c>
      <c r="W791" s="42">
        <f t="shared" si="233"/>
        <v>4464857.9877633853</v>
      </c>
    </row>
    <row r="792" spans="2:23" x14ac:dyDescent="0.3">
      <c r="B792" s="2">
        <v>784</v>
      </c>
      <c r="C792" s="2">
        <v>2678</v>
      </c>
      <c r="D792" s="4">
        <v>550864.6</v>
      </c>
      <c r="E792" s="4">
        <f t="shared" si="216"/>
        <v>1475215398.8</v>
      </c>
      <c r="F792" s="2">
        <f t="shared" si="217"/>
        <v>7171684</v>
      </c>
      <c r="G792" s="2">
        <f t="shared" si="218"/>
        <v>303451807533.15997</v>
      </c>
      <c r="H792" s="42">
        <f t="shared" si="219"/>
        <v>-2346.4809999999998</v>
      </c>
      <c r="I792" s="2">
        <f t="shared" si="220"/>
        <v>5505973.0833609989</v>
      </c>
      <c r="J792" s="4">
        <f t="shared" si="221"/>
        <v>-738237.29680999916</v>
      </c>
      <c r="K792" s="2">
        <f t="shared" si="222"/>
        <v>544994306401.33478</v>
      </c>
      <c r="L792" s="2">
        <f t="shared" si="223"/>
        <v>1732259790.4560235</v>
      </c>
      <c r="N792" s="42">
        <f t="shared" si="224"/>
        <v>694889.96767397516</v>
      </c>
      <c r="O792" s="42">
        <f t="shared" si="225"/>
        <v>353087816727.55518</v>
      </c>
      <c r="P792" s="4">
        <f t="shared" si="226"/>
        <v>-144025.36767397518</v>
      </c>
      <c r="Q792" s="4">
        <f t="shared" si="227"/>
        <v>20743306533.623737</v>
      </c>
      <c r="R792" s="43">
        <f t="shared" si="228"/>
        <v>1.6936216483286527E-3</v>
      </c>
      <c r="S792" s="4">
        <f t="shared" si="229"/>
        <v>-0.11846092185774899</v>
      </c>
      <c r="T792" s="30">
        <f t="shared" si="230"/>
        <v>596522.83846708736</v>
      </c>
      <c r="U792" s="31">
        <f t="shared" si="231"/>
        <v>793257.09688086296</v>
      </c>
      <c r="V792" s="31">
        <f t="shared" si="232"/>
        <v>3085497.6884651738</v>
      </c>
      <c r="W792" s="42">
        <f t="shared" si="233"/>
        <v>3087154.7835355252</v>
      </c>
    </row>
    <row r="793" spans="2:23" x14ac:dyDescent="0.3">
      <c r="B793" s="2">
        <v>785</v>
      </c>
      <c r="C793" s="2">
        <v>5351</v>
      </c>
      <c r="D793" s="4">
        <v>1366003.28</v>
      </c>
      <c r="E793" s="4">
        <f t="shared" si="216"/>
        <v>7309483551.2799997</v>
      </c>
      <c r="F793" s="2">
        <f t="shared" si="217"/>
        <v>28633201</v>
      </c>
      <c r="G793" s="2">
        <f t="shared" si="218"/>
        <v>1865964960970.7585</v>
      </c>
      <c r="H793" s="42">
        <f t="shared" si="219"/>
        <v>326.51900000000023</v>
      </c>
      <c r="I793" s="2">
        <f t="shared" si="220"/>
        <v>106614.65736100015</v>
      </c>
      <c r="J793" s="4">
        <f t="shared" si="221"/>
        <v>76901.383190000895</v>
      </c>
      <c r="K793" s="2">
        <f t="shared" si="222"/>
        <v>5913822736.5353527</v>
      </c>
      <c r="L793" s="2">
        <f t="shared" si="223"/>
        <v>25109762.73781592</v>
      </c>
      <c r="N793" s="42">
        <f t="shared" si="224"/>
        <v>1371788.0489201443</v>
      </c>
      <c r="O793" s="42">
        <f t="shared" si="225"/>
        <v>6836999750.7820683</v>
      </c>
      <c r="P793" s="4">
        <f t="shared" si="226"/>
        <v>-5784.768920144299</v>
      </c>
      <c r="Q793" s="4">
        <f t="shared" si="227"/>
        <v>33463551.459467441</v>
      </c>
      <c r="R793" s="43">
        <f t="shared" si="228"/>
        <v>1.0134309109861449E-3</v>
      </c>
      <c r="S793" s="4">
        <f t="shared" si="229"/>
        <v>-4.7563546414991628E-3</v>
      </c>
      <c r="T793" s="30">
        <f t="shared" si="230"/>
        <v>1295696.0711923472</v>
      </c>
      <c r="U793" s="31">
        <f t="shared" si="231"/>
        <v>1447880.0266479414</v>
      </c>
      <c r="V793" s="31">
        <f t="shared" si="232"/>
        <v>3763208.4171825638</v>
      </c>
      <c r="W793" s="42">
        <f t="shared" si="233"/>
        <v>3763240.5042650588</v>
      </c>
    </row>
    <row r="794" spans="2:23" x14ac:dyDescent="0.3">
      <c r="B794" s="2">
        <v>786</v>
      </c>
      <c r="C794" s="2">
        <v>6297</v>
      </c>
      <c r="D794" s="4">
        <v>514653.81</v>
      </c>
      <c r="E794" s="4">
        <f t="shared" si="216"/>
        <v>3240775041.5700002</v>
      </c>
      <c r="F794" s="2">
        <f t="shared" si="217"/>
        <v>39652209</v>
      </c>
      <c r="G794" s="2">
        <f t="shared" si="218"/>
        <v>264868544147.51608</v>
      </c>
      <c r="H794" s="42">
        <f t="shared" si="219"/>
        <v>1272.5190000000002</v>
      </c>
      <c r="I794" s="2">
        <f t="shared" si="220"/>
        <v>1619304.6053610006</v>
      </c>
      <c r="J794" s="4">
        <f t="shared" si="221"/>
        <v>-774448.08680999908</v>
      </c>
      <c r="K794" s="2">
        <f t="shared" si="222"/>
        <v>599769839163.66785</v>
      </c>
      <c r="L794" s="2">
        <f t="shared" si="223"/>
        <v>-985499904.97937334</v>
      </c>
      <c r="N794" s="42">
        <f t="shared" si="224"/>
        <v>1611348.6867274307</v>
      </c>
      <c r="O794" s="42">
        <f t="shared" si="225"/>
        <v>103842993612.08926</v>
      </c>
      <c r="P794" s="4">
        <f t="shared" si="226"/>
        <v>-1096694.8767274306</v>
      </c>
      <c r="Q794" s="4">
        <f t="shared" si="227"/>
        <v>1202739652640.1943</v>
      </c>
      <c r="R794" s="43">
        <f t="shared" si="228"/>
        <v>1.203993864937504E-3</v>
      </c>
      <c r="S794" s="4">
        <f t="shared" si="229"/>
        <v>-0.90181084646999332</v>
      </c>
      <c r="T794" s="30">
        <f t="shared" si="230"/>
        <v>1528410.6146689747</v>
      </c>
      <c r="U794" s="31">
        <f t="shared" si="231"/>
        <v>1694286.7587858867</v>
      </c>
      <c r="V794" s="31">
        <f t="shared" si="232"/>
        <v>4002541.4106662855</v>
      </c>
      <c r="W794" s="42">
        <f t="shared" si="233"/>
        <v>4003028.7616742169</v>
      </c>
    </row>
    <row r="795" spans="2:23" x14ac:dyDescent="0.3">
      <c r="B795" s="2">
        <v>787</v>
      </c>
      <c r="C795" s="2">
        <v>2707</v>
      </c>
      <c r="D795" s="4">
        <v>295820.96000000002</v>
      </c>
      <c r="E795" s="4">
        <f t="shared" si="216"/>
        <v>800787338.72000003</v>
      </c>
      <c r="F795" s="2">
        <f t="shared" si="217"/>
        <v>7327849</v>
      </c>
      <c r="G795" s="2">
        <f t="shared" si="218"/>
        <v>87510040375.321609</v>
      </c>
      <c r="H795" s="42">
        <f t="shared" si="219"/>
        <v>-2317.4809999999998</v>
      </c>
      <c r="I795" s="2">
        <f t="shared" si="220"/>
        <v>5370718.1853609988</v>
      </c>
      <c r="J795" s="4">
        <f t="shared" si="221"/>
        <v>-993280.93680999917</v>
      </c>
      <c r="K795" s="2">
        <f t="shared" si="222"/>
        <v>986607019430.14954</v>
      </c>
      <c r="L795" s="2">
        <f t="shared" si="223"/>
        <v>2301909698.7193732</v>
      </c>
      <c r="N795" s="42">
        <f t="shared" si="224"/>
        <v>702233.79272303567</v>
      </c>
      <c r="O795" s="42">
        <f t="shared" si="225"/>
        <v>344414171594.62695</v>
      </c>
      <c r="P795" s="4">
        <f t="shared" si="226"/>
        <v>-406412.83272303565</v>
      </c>
      <c r="Q795" s="4">
        <f t="shared" si="227"/>
        <v>165171390601.96216</v>
      </c>
      <c r="R795" s="43">
        <f t="shared" si="228"/>
        <v>1.6765827482332644E-3</v>
      </c>
      <c r="S795" s="4">
        <f t="shared" si="229"/>
        <v>-0.33427186297389438</v>
      </c>
      <c r="T795" s="30">
        <f t="shared" si="230"/>
        <v>604362.73198660079</v>
      </c>
      <c r="U795" s="31">
        <f t="shared" si="231"/>
        <v>800104.85345947056</v>
      </c>
      <c r="V795" s="31">
        <f t="shared" si="232"/>
        <v>3092861.8738525994</v>
      </c>
      <c r="W795" s="42">
        <f t="shared" si="233"/>
        <v>3094478.2621764336</v>
      </c>
    </row>
    <row r="796" spans="2:23" x14ac:dyDescent="0.3">
      <c r="B796" s="2">
        <v>788</v>
      </c>
      <c r="C796" s="2">
        <v>3805</v>
      </c>
      <c r="D796" s="4">
        <v>180547.25</v>
      </c>
      <c r="E796" s="4">
        <f t="shared" si="216"/>
        <v>686982286.25</v>
      </c>
      <c r="F796" s="2">
        <f t="shared" si="217"/>
        <v>14478025</v>
      </c>
      <c r="G796" s="2">
        <f t="shared" si="218"/>
        <v>32597309482.5625</v>
      </c>
      <c r="H796" s="42">
        <f t="shared" si="219"/>
        <v>-1219.4809999999998</v>
      </c>
      <c r="I796" s="2">
        <f t="shared" si="220"/>
        <v>1487133.9093609995</v>
      </c>
      <c r="J796" s="4">
        <f t="shared" si="221"/>
        <v>-1108554.6468099991</v>
      </c>
      <c r="K796" s="2">
        <f t="shared" si="222"/>
        <v>1228893404964.042</v>
      </c>
      <c r="L796" s="2">
        <f t="shared" si="223"/>
        <v>1351861329.2465043</v>
      </c>
      <c r="N796" s="42">
        <f t="shared" si="224"/>
        <v>980286.20320126018</v>
      </c>
      <c r="O796" s="42">
        <f t="shared" si="225"/>
        <v>95367132619.046524</v>
      </c>
      <c r="P796" s="4">
        <f t="shared" si="226"/>
        <v>-799738.95320126018</v>
      </c>
      <c r="Q796" s="4">
        <f t="shared" si="227"/>
        <v>639582393267.44739</v>
      </c>
      <c r="R796" s="43">
        <f t="shared" si="228"/>
        <v>1.1873435009360322E-3</v>
      </c>
      <c r="S796" s="4">
        <f t="shared" si="229"/>
        <v>-0.65761887490463611</v>
      </c>
      <c r="T796" s="30">
        <f t="shared" si="230"/>
        <v>897923.61446238111</v>
      </c>
      <c r="U796" s="31">
        <f t="shared" si="231"/>
        <v>1062648.7919401391</v>
      </c>
      <c r="V796" s="31">
        <f t="shared" si="232"/>
        <v>3371498.8183384258</v>
      </c>
      <c r="W796" s="42">
        <f t="shared" si="233"/>
        <v>3371946.390837552</v>
      </c>
    </row>
    <row r="797" spans="2:23" x14ac:dyDescent="0.3">
      <c r="B797" s="2">
        <v>789</v>
      </c>
      <c r="C797" s="2">
        <v>5846</v>
      </c>
      <c r="D797" s="4">
        <v>891982.68</v>
      </c>
      <c r="E797" s="4">
        <f t="shared" si="216"/>
        <v>5214530747.2800007</v>
      </c>
      <c r="F797" s="2">
        <f t="shared" si="217"/>
        <v>34175716</v>
      </c>
      <c r="G797" s="2">
        <f t="shared" si="218"/>
        <v>795633101419.98254</v>
      </c>
      <c r="H797" s="42">
        <f t="shared" si="219"/>
        <v>821.51900000000023</v>
      </c>
      <c r="I797" s="2">
        <f t="shared" si="220"/>
        <v>674893.46736100037</v>
      </c>
      <c r="J797" s="4">
        <f t="shared" si="221"/>
        <v>-397119.21680999908</v>
      </c>
      <c r="K797" s="2">
        <f t="shared" si="222"/>
        <v>157703672359.78705</v>
      </c>
      <c r="L797" s="2">
        <f t="shared" si="223"/>
        <v>-326240981.87453371</v>
      </c>
      <c r="N797" s="42">
        <f t="shared" si="224"/>
        <v>1497139.5454472126</v>
      </c>
      <c r="O797" s="42">
        <f t="shared" si="225"/>
        <v>43279663250.500702</v>
      </c>
      <c r="P797" s="4">
        <f t="shared" si="226"/>
        <v>-605156.86544721259</v>
      </c>
      <c r="Q797" s="4">
        <f t="shared" si="227"/>
        <v>366214831797.89575</v>
      </c>
      <c r="R797" s="43">
        <f t="shared" si="228"/>
        <v>1.0850205244722015E-3</v>
      </c>
      <c r="S797" s="4">
        <f t="shared" si="229"/>
        <v>-0.49759011038314871</v>
      </c>
      <c r="T797" s="30">
        <f t="shared" si="230"/>
        <v>1418405.8247076543</v>
      </c>
      <c r="U797" s="31">
        <f t="shared" si="231"/>
        <v>1575873.266186771</v>
      </c>
      <c r="V797" s="31">
        <f t="shared" si="232"/>
        <v>3888474.3961181515</v>
      </c>
      <c r="W797" s="42">
        <f t="shared" si="233"/>
        <v>3888677.5141782528</v>
      </c>
    </row>
    <row r="798" spans="2:23" x14ac:dyDescent="0.3">
      <c r="B798" s="2">
        <v>790</v>
      </c>
      <c r="C798" s="2">
        <v>7117</v>
      </c>
      <c r="D798" s="4">
        <v>1085911.8600000001</v>
      </c>
      <c r="E798" s="4">
        <f t="shared" si="216"/>
        <v>7728434707.6200008</v>
      </c>
      <c r="F798" s="2">
        <f t="shared" si="217"/>
        <v>50651689</v>
      </c>
      <c r="G798" s="2">
        <f t="shared" si="218"/>
        <v>1179204567688.6599</v>
      </c>
      <c r="H798" s="42">
        <f t="shared" si="219"/>
        <v>2092.5190000000002</v>
      </c>
      <c r="I798" s="2">
        <f t="shared" si="220"/>
        <v>4378635.7653610008</v>
      </c>
      <c r="J798" s="4">
        <f t="shared" si="221"/>
        <v>-203190.03680999903</v>
      </c>
      <c r="K798" s="2">
        <f t="shared" si="222"/>
        <v>41286191058.848763</v>
      </c>
      <c r="L798" s="2">
        <f t="shared" si="223"/>
        <v>-425179012.63562238</v>
      </c>
      <c r="N798" s="42">
        <f t="shared" si="224"/>
        <v>1819001.6708732813</v>
      </c>
      <c r="O798" s="42">
        <f t="shared" si="225"/>
        <v>280793770552.3175</v>
      </c>
      <c r="P798" s="4">
        <f t="shared" si="226"/>
        <v>-733089.81087328121</v>
      </c>
      <c r="Q798" s="4">
        <f t="shared" si="227"/>
        <v>537420670806.22321</v>
      </c>
      <c r="R798" s="43">
        <f t="shared" si="228"/>
        <v>1.5516039601026434E-3</v>
      </c>
      <c r="S798" s="4">
        <f t="shared" si="229"/>
        <v>-0.60292377527103125</v>
      </c>
      <c r="T798" s="30">
        <f t="shared" si="230"/>
        <v>1724849.0880018959</v>
      </c>
      <c r="U798" s="31">
        <f t="shared" si="231"/>
        <v>1913154.2537446667</v>
      </c>
      <c r="V798" s="31">
        <f t="shared" si="232"/>
        <v>4209779.0879394421</v>
      </c>
      <c r="W798" s="42">
        <f t="shared" si="233"/>
        <v>4211096.8959765891</v>
      </c>
    </row>
    <row r="799" spans="2:23" x14ac:dyDescent="0.3">
      <c r="B799" s="2">
        <v>791</v>
      </c>
      <c r="C799" s="2">
        <v>2934</v>
      </c>
      <c r="D799" s="4">
        <v>1237825.26</v>
      </c>
      <c r="E799" s="4">
        <f t="shared" si="216"/>
        <v>3631779312.8400002</v>
      </c>
      <c r="F799" s="2">
        <f t="shared" si="217"/>
        <v>8608356</v>
      </c>
      <c r="G799" s="2">
        <f t="shared" si="218"/>
        <v>1532211374294.0676</v>
      </c>
      <c r="H799" s="42">
        <f t="shared" si="219"/>
        <v>-2090.4809999999998</v>
      </c>
      <c r="I799" s="2">
        <f t="shared" si="220"/>
        <v>4370110.811360999</v>
      </c>
      <c r="J799" s="4">
        <f t="shared" si="221"/>
        <v>-51276.636809999123</v>
      </c>
      <c r="K799" s="2">
        <f t="shared" si="222"/>
        <v>2629293482.5445571</v>
      </c>
      <c r="L799" s="2">
        <f t="shared" si="223"/>
        <v>107192834.99520376</v>
      </c>
      <c r="N799" s="42">
        <f t="shared" si="224"/>
        <v>759718.21638292365</v>
      </c>
      <c r="O799" s="42">
        <f t="shared" si="225"/>
        <v>280247081102.51599</v>
      </c>
      <c r="P799" s="4">
        <f t="shared" si="226"/>
        <v>478107.04361707636</v>
      </c>
      <c r="Q799" s="4">
        <f t="shared" si="227"/>
        <v>228586345156.26096</v>
      </c>
      <c r="R799" s="43">
        <f t="shared" si="228"/>
        <v>1.5505300186656108E-3</v>
      </c>
      <c r="S799" s="4">
        <f t="shared" si="229"/>
        <v>0.39321505280391872</v>
      </c>
      <c r="T799" s="30">
        <f t="shared" si="230"/>
        <v>665598.22296908125</v>
      </c>
      <c r="U799" s="31">
        <f t="shared" si="231"/>
        <v>853838.20979676605</v>
      </c>
      <c r="V799" s="31">
        <f t="shared" si="232"/>
        <v>3150496.9166508242</v>
      </c>
      <c r="W799" s="42">
        <f t="shared" si="233"/>
        <v>3151812.1589907208</v>
      </c>
    </row>
    <row r="800" spans="2:23" x14ac:dyDescent="0.3">
      <c r="B800" s="2">
        <v>792</v>
      </c>
      <c r="C800" s="2">
        <v>647</v>
      </c>
      <c r="D800" s="4">
        <v>133087.9</v>
      </c>
      <c r="E800" s="4">
        <f t="shared" si="216"/>
        <v>86107871.299999997</v>
      </c>
      <c r="F800" s="2">
        <f t="shared" si="217"/>
        <v>418609</v>
      </c>
      <c r="G800" s="2">
        <f t="shared" si="218"/>
        <v>17712389126.41</v>
      </c>
      <c r="H800" s="42">
        <f t="shared" si="219"/>
        <v>-4377.4809999999998</v>
      </c>
      <c r="I800" s="2">
        <f t="shared" si="220"/>
        <v>19162339.905360997</v>
      </c>
      <c r="J800" s="4">
        <f t="shared" si="221"/>
        <v>-1156013.9968099992</v>
      </c>
      <c r="K800" s="2">
        <f t="shared" si="222"/>
        <v>1336368360820.6289</v>
      </c>
      <c r="L800" s="2">
        <f t="shared" si="223"/>
        <v>5060429306.7698317</v>
      </c>
      <c r="N800" s="42">
        <f t="shared" si="224"/>
        <v>180568.97889321583</v>
      </c>
      <c r="O800" s="42">
        <f t="shared" si="225"/>
        <v>1228845230105.0979</v>
      </c>
      <c r="P800" s="4">
        <f t="shared" si="226"/>
        <v>-47481.078893215832</v>
      </c>
      <c r="Q800" s="4">
        <f t="shared" si="227"/>
        <v>2254452852.8637862</v>
      </c>
      <c r="R800" s="43">
        <f t="shared" si="228"/>
        <v>3.4139990497151071E-3</v>
      </c>
      <c r="S800" s="4">
        <f t="shared" si="229"/>
        <v>-3.9086899834740715E-2</v>
      </c>
      <c r="T800" s="30">
        <f t="shared" si="230"/>
        <v>40908.509708403231</v>
      </c>
      <c r="U800" s="31">
        <f t="shared" si="231"/>
        <v>320229.44807802839</v>
      </c>
      <c r="V800" s="31">
        <f t="shared" si="232"/>
        <v>2569120.0711166942</v>
      </c>
      <c r="W800" s="42">
        <f t="shared" si="233"/>
        <v>2574887.233376862</v>
      </c>
    </row>
    <row r="801" spans="2:23" x14ac:dyDescent="0.3">
      <c r="B801" s="2">
        <v>793</v>
      </c>
      <c r="C801" s="2">
        <v>4635</v>
      </c>
      <c r="D801" s="4">
        <v>219930.75</v>
      </c>
      <c r="E801" s="4">
        <f t="shared" si="216"/>
        <v>1019379026.25</v>
      </c>
      <c r="F801" s="2">
        <f t="shared" si="217"/>
        <v>21483225</v>
      </c>
      <c r="G801" s="2">
        <f t="shared" si="218"/>
        <v>48369534795.5625</v>
      </c>
      <c r="H801" s="42">
        <f t="shared" si="219"/>
        <v>-389.48099999999977</v>
      </c>
      <c r="I801" s="2">
        <f t="shared" si="220"/>
        <v>151695.44936099983</v>
      </c>
      <c r="J801" s="4">
        <f t="shared" si="221"/>
        <v>-1069171.1468099991</v>
      </c>
      <c r="K801" s="2">
        <f t="shared" si="222"/>
        <v>1143126941171.0088</v>
      </c>
      <c r="L801" s="2">
        <f t="shared" si="223"/>
        <v>416421847.43070501</v>
      </c>
      <c r="N801" s="42">
        <f t="shared" si="224"/>
        <v>1190471.540812304</v>
      </c>
      <c r="O801" s="42">
        <f t="shared" si="225"/>
        <v>9727947124.2320747</v>
      </c>
      <c r="P801" s="4">
        <f t="shared" si="226"/>
        <v>-970540.79081230401</v>
      </c>
      <c r="Q801" s="4">
        <f t="shared" si="227"/>
        <v>941949426630.57251</v>
      </c>
      <c r="R801" s="43">
        <f t="shared" si="228"/>
        <v>1.0191100185265533E-3</v>
      </c>
      <c r="S801" s="4">
        <f t="shared" si="229"/>
        <v>-0.79800064276960547</v>
      </c>
      <c r="T801" s="30">
        <f t="shared" si="230"/>
        <v>1114166.6571988235</v>
      </c>
      <c r="U801" s="31">
        <f t="shared" si="231"/>
        <v>1266776.4244257845</v>
      </c>
      <c r="V801" s="31">
        <f t="shared" si="232"/>
        <v>3581885.1251911391</v>
      </c>
      <c r="W801" s="42">
        <f t="shared" si="233"/>
        <v>3581930.7799305376</v>
      </c>
    </row>
    <row r="802" spans="2:23" x14ac:dyDescent="0.3">
      <c r="B802" s="2">
        <v>794</v>
      </c>
      <c r="C802" s="2">
        <v>1309</v>
      </c>
      <c r="D802" s="4">
        <v>269261.3</v>
      </c>
      <c r="E802" s="4">
        <f t="shared" si="216"/>
        <v>352463041.69999999</v>
      </c>
      <c r="F802" s="2">
        <f t="shared" si="217"/>
        <v>1713481</v>
      </c>
      <c r="G802" s="2">
        <f t="shared" si="218"/>
        <v>72501647677.689987</v>
      </c>
      <c r="H802" s="42">
        <f t="shared" si="219"/>
        <v>-3715.4809999999998</v>
      </c>
      <c r="I802" s="2">
        <f t="shared" si="220"/>
        <v>13804799.061360998</v>
      </c>
      <c r="J802" s="4">
        <f t="shared" si="221"/>
        <v>-1019840.5968099991</v>
      </c>
      <c r="K802" s="2">
        <f t="shared" si="222"/>
        <v>1040074842901.7751</v>
      </c>
      <c r="L802" s="2">
        <f t="shared" si="223"/>
        <v>3789198360.476212</v>
      </c>
      <c r="N802" s="42">
        <f t="shared" si="224"/>
        <v>348210.77828901232</v>
      </c>
      <c r="O802" s="42">
        <f t="shared" si="225"/>
        <v>885276096911.67358</v>
      </c>
      <c r="P802" s="4">
        <f t="shared" si="226"/>
        <v>-78949.478289012332</v>
      </c>
      <c r="Q802" s="4">
        <f t="shared" si="227"/>
        <v>6233020122.1072292</v>
      </c>
      <c r="R802" s="43">
        <f t="shared" si="228"/>
        <v>2.7390763330688165E-3</v>
      </c>
      <c r="S802" s="4">
        <f t="shared" si="229"/>
        <v>-6.4970005233374123E-2</v>
      </c>
      <c r="T802" s="30">
        <f t="shared" si="230"/>
        <v>223114.65059564618</v>
      </c>
      <c r="U802" s="31">
        <f t="shared" si="231"/>
        <v>473306.90598237846</v>
      </c>
      <c r="V802" s="31">
        <f t="shared" si="232"/>
        <v>2737568.9192237318</v>
      </c>
      <c r="W802" s="42">
        <f t="shared" si="233"/>
        <v>2741723.6565214582</v>
      </c>
    </row>
    <row r="803" spans="2:23" x14ac:dyDescent="0.3">
      <c r="B803" s="2">
        <v>795</v>
      </c>
      <c r="C803" s="2">
        <v>4112</v>
      </c>
      <c r="D803" s="4">
        <v>627408.96000000008</v>
      </c>
      <c r="E803" s="4">
        <f t="shared" si="216"/>
        <v>2579905643.5200005</v>
      </c>
      <c r="F803" s="2">
        <f t="shared" si="217"/>
        <v>16908544</v>
      </c>
      <c r="G803" s="2">
        <f t="shared" si="218"/>
        <v>393642003088.28168</v>
      </c>
      <c r="H803" s="42">
        <f t="shared" si="219"/>
        <v>-912.48099999999977</v>
      </c>
      <c r="I803" s="2">
        <f t="shared" si="220"/>
        <v>832621.57536099956</v>
      </c>
      <c r="J803" s="4">
        <f t="shared" si="221"/>
        <v>-661692.93680999905</v>
      </c>
      <c r="K803" s="2">
        <f t="shared" si="222"/>
        <v>437837542624.24139</v>
      </c>
      <c r="L803" s="2">
        <f t="shared" si="223"/>
        <v>603782232.67332458</v>
      </c>
      <c r="N803" s="42">
        <f t="shared" si="224"/>
        <v>1058029.4545826945</v>
      </c>
      <c r="O803" s="42">
        <f t="shared" si="225"/>
        <v>53394473556.89106</v>
      </c>
      <c r="P803" s="4">
        <f t="shared" si="226"/>
        <v>-430620.49458269437</v>
      </c>
      <c r="Q803" s="4">
        <f t="shared" si="227"/>
        <v>185434010354.64432</v>
      </c>
      <c r="R803" s="43">
        <f t="shared" si="228"/>
        <v>1.10489051449982E-3</v>
      </c>
      <c r="S803" s="4">
        <f t="shared" si="229"/>
        <v>-0.35408113632587351</v>
      </c>
      <c r="T803" s="30">
        <f t="shared" si="230"/>
        <v>978578.07889585954</v>
      </c>
      <c r="U803" s="31">
        <f t="shared" si="231"/>
        <v>1137480.8302695295</v>
      </c>
      <c r="V803" s="31">
        <f t="shared" si="232"/>
        <v>3449340.5689541316</v>
      </c>
      <c r="W803" s="42">
        <f t="shared" si="233"/>
        <v>3449591.1573617016</v>
      </c>
    </row>
    <row r="804" spans="2:23" x14ac:dyDescent="0.3">
      <c r="B804" s="2">
        <v>796</v>
      </c>
      <c r="C804" s="2">
        <v>8517</v>
      </c>
      <c r="D804" s="4">
        <v>404131.65</v>
      </c>
      <c r="E804" s="4">
        <f t="shared" si="216"/>
        <v>3441989263.0500002</v>
      </c>
      <c r="F804" s="2">
        <f t="shared" si="217"/>
        <v>72539289</v>
      </c>
      <c r="G804" s="2">
        <f t="shared" si="218"/>
        <v>163322390531.7225</v>
      </c>
      <c r="H804" s="42">
        <f t="shared" si="219"/>
        <v>3492.5190000000002</v>
      </c>
      <c r="I804" s="2">
        <f t="shared" si="220"/>
        <v>12197688.965361001</v>
      </c>
      <c r="J804" s="4">
        <f t="shared" si="221"/>
        <v>-884970.24680999911</v>
      </c>
      <c r="K804" s="2">
        <f t="shared" si="222"/>
        <v>783172337738.95068</v>
      </c>
      <c r="L804" s="2">
        <f t="shared" si="223"/>
        <v>-3090775401.4186115</v>
      </c>
      <c r="N804" s="42">
        <f t="shared" si="224"/>
        <v>2173531.1560003432</v>
      </c>
      <c r="O804" s="42">
        <f t="shared" si="225"/>
        <v>782215114511.98071</v>
      </c>
      <c r="P804" s="4">
        <f t="shared" si="226"/>
        <v>-1769399.5060003432</v>
      </c>
      <c r="Q804" s="4">
        <f t="shared" si="227"/>
        <v>3130774611834.2588</v>
      </c>
      <c r="R804" s="43">
        <f t="shared" si="228"/>
        <v>2.5366186862630538E-3</v>
      </c>
      <c r="S804" s="4">
        <f t="shared" si="229"/>
        <v>-1.4559466435689632</v>
      </c>
      <c r="T804" s="30">
        <f t="shared" si="230"/>
        <v>2053146.9833284144</v>
      </c>
      <c r="U804" s="31">
        <f t="shared" si="231"/>
        <v>2293915.3286722722</v>
      </c>
      <c r="V804" s="31">
        <f t="shared" si="232"/>
        <v>4563131.3354833024</v>
      </c>
      <c r="W804" s="42">
        <f t="shared" si="233"/>
        <v>4566802.3913872968</v>
      </c>
    </row>
    <row r="805" spans="2:23" x14ac:dyDescent="0.3">
      <c r="B805" s="2">
        <v>797</v>
      </c>
      <c r="C805" s="2">
        <v>7030</v>
      </c>
      <c r="D805" s="4">
        <v>4697938.0999999996</v>
      </c>
      <c r="E805" s="4">
        <f t="shared" si="216"/>
        <v>33026504842.999996</v>
      </c>
      <c r="F805" s="2">
        <f t="shared" si="217"/>
        <v>49420900</v>
      </c>
      <c r="G805" s="2">
        <f t="shared" si="218"/>
        <v>22070622391431.605</v>
      </c>
      <c r="H805" s="42">
        <f t="shared" si="219"/>
        <v>2005.5190000000002</v>
      </c>
      <c r="I805" s="2">
        <f t="shared" si="220"/>
        <v>4022106.4593610009</v>
      </c>
      <c r="J805" s="4">
        <f t="shared" si="221"/>
        <v>3408836.2031900007</v>
      </c>
      <c r="K805" s="2">
        <f t="shared" si="222"/>
        <v>11620164260178.82</v>
      </c>
      <c r="L805" s="2">
        <f t="shared" si="223"/>
        <v>6836485773.3854074</v>
      </c>
      <c r="N805" s="42">
        <f t="shared" si="224"/>
        <v>1796970.1957260994</v>
      </c>
      <c r="O805" s="42">
        <f t="shared" si="225"/>
        <v>257930209043.93341</v>
      </c>
      <c r="P805" s="4">
        <f t="shared" si="226"/>
        <v>2900967.9042739002</v>
      </c>
      <c r="Q805" s="4">
        <f t="shared" si="227"/>
        <v>8415614781627.3047</v>
      </c>
      <c r="R805" s="43">
        <f t="shared" si="228"/>
        <v>1.5066897476353652E-3</v>
      </c>
      <c r="S805" s="4">
        <f t="shared" si="229"/>
        <v>2.3858238871248241</v>
      </c>
      <c r="T805" s="30">
        <f t="shared" si="230"/>
        <v>1704190.3352022683</v>
      </c>
      <c r="U805" s="31">
        <f t="shared" si="231"/>
        <v>1889750.0562499305</v>
      </c>
      <c r="V805" s="31">
        <f t="shared" si="232"/>
        <v>4187801.2780688219</v>
      </c>
      <c r="W805" s="42">
        <f t="shared" si="233"/>
        <v>4189011.7839137954</v>
      </c>
    </row>
    <row r="806" spans="2:23" x14ac:dyDescent="0.3">
      <c r="B806" s="2">
        <v>798</v>
      </c>
      <c r="C806" s="2">
        <v>4185</v>
      </c>
      <c r="D806" s="4">
        <v>342040.05</v>
      </c>
      <c r="E806" s="4">
        <f t="shared" si="216"/>
        <v>1431437609.25</v>
      </c>
      <c r="F806" s="2">
        <f t="shared" si="217"/>
        <v>17514225</v>
      </c>
      <c r="G806" s="2">
        <f t="shared" si="218"/>
        <v>116991395804.00249</v>
      </c>
      <c r="H806" s="42">
        <f t="shared" si="219"/>
        <v>-839.48099999999977</v>
      </c>
      <c r="I806" s="2">
        <f t="shared" si="220"/>
        <v>704728.34936099965</v>
      </c>
      <c r="J806" s="4">
        <f t="shared" si="221"/>
        <v>-947061.84680999909</v>
      </c>
      <c r="K806" s="2">
        <f t="shared" si="222"/>
        <v>896926141683.16614</v>
      </c>
      <c r="L806" s="2">
        <f t="shared" si="223"/>
        <v>795040426.22190464</v>
      </c>
      <c r="N806" s="42">
        <f t="shared" si="224"/>
        <v>1076515.6348786056</v>
      </c>
      <c r="O806" s="42">
        <f t="shared" si="225"/>
        <v>45192918761.963058</v>
      </c>
      <c r="P806" s="4">
        <f t="shared" si="226"/>
        <v>-734475.58487860556</v>
      </c>
      <c r="Q806" s="4">
        <f t="shared" si="227"/>
        <v>539454384782.76971</v>
      </c>
      <c r="R806" s="43">
        <f t="shared" si="228"/>
        <v>1.0887790099782546E-3</v>
      </c>
      <c r="S806" s="4">
        <f t="shared" si="229"/>
        <v>-0.60392353746829985</v>
      </c>
      <c r="T806" s="30">
        <f t="shared" si="230"/>
        <v>997645.66615116445</v>
      </c>
      <c r="U806" s="31">
        <f t="shared" si="231"/>
        <v>1155385.6036060469</v>
      </c>
      <c r="V806" s="31">
        <f t="shared" si="232"/>
        <v>3467845.9957547076</v>
      </c>
      <c r="W806" s="42">
        <f t="shared" si="233"/>
        <v>3468058.0930147269</v>
      </c>
    </row>
    <row r="807" spans="2:23" x14ac:dyDescent="0.3">
      <c r="B807" s="2">
        <v>799</v>
      </c>
      <c r="C807" s="2">
        <v>1552</v>
      </c>
      <c r="D807" s="4">
        <v>169602.56</v>
      </c>
      <c r="E807" s="4">
        <f t="shared" si="216"/>
        <v>263223173.12</v>
      </c>
      <c r="F807" s="2">
        <f t="shared" si="217"/>
        <v>2408704</v>
      </c>
      <c r="G807" s="2">
        <f t="shared" si="218"/>
        <v>28765028358.5536</v>
      </c>
      <c r="H807" s="42">
        <f t="shared" si="219"/>
        <v>-3472.4809999999998</v>
      </c>
      <c r="I807" s="2">
        <f t="shared" si="220"/>
        <v>12058124.295360999</v>
      </c>
      <c r="J807" s="4">
        <f t="shared" si="221"/>
        <v>-1119499.3368099991</v>
      </c>
      <c r="K807" s="2">
        <f t="shared" si="222"/>
        <v>1253278765118.0278</v>
      </c>
      <c r="L807" s="2">
        <f t="shared" si="223"/>
        <v>3887440176.5853224</v>
      </c>
      <c r="N807" s="42">
        <f t="shared" si="224"/>
        <v>409746.96749320952</v>
      </c>
      <c r="O807" s="42">
        <f t="shared" si="225"/>
        <v>773265091713.73608</v>
      </c>
      <c r="P807" s="4">
        <f t="shared" si="226"/>
        <v>-240144.40749320952</v>
      </c>
      <c r="Q807" s="4">
        <f t="shared" si="227"/>
        <v>57669336450.264664</v>
      </c>
      <c r="R807" s="43">
        <f t="shared" si="228"/>
        <v>2.5190368574040663E-3</v>
      </c>
      <c r="S807" s="4">
        <f t="shared" si="229"/>
        <v>-0.19760057661785616</v>
      </c>
      <c r="T807" s="30">
        <f t="shared" si="230"/>
        <v>289780.72407123912</v>
      </c>
      <c r="U807" s="31">
        <f t="shared" si="231"/>
        <v>529713.21091517992</v>
      </c>
      <c r="V807" s="31">
        <f t="shared" si="232"/>
        <v>2799368.164933112</v>
      </c>
      <c r="W807" s="42">
        <f t="shared" si="233"/>
        <v>2802997.2169785141</v>
      </c>
    </row>
    <row r="808" spans="2:23" x14ac:dyDescent="0.3">
      <c r="B808" s="2">
        <v>800</v>
      </c>
      <c r="C808" s="2">
        <v>2728</v>
      </c>
      <c r="D808" s="4">
        <v>1823040.56</v>
      </c>
      <c r="E808" s="4">
        <f t="shared" si="216"/>
        <v>4973254647.6800003</v>
      </c>
      <c r="F808" s="2">
        <f t="shared" si="217"/>
        <v>7441984</v>
      </c>
      <c r="G808" s="2">
        <f t="shared" si="218"/>
        <v>3323476883405.1138</v>
      </c>
      <c r="H808" s="42">
        <f t="shared" si="219"/>
        <v>-2296.4809999999998</v>
      </c>
      <c r="I808" s="2">
        <f t="shared" si="220"/>
        <v>5273824.9833609993</v>
      </c>
      <c r="J808" s="4">
        <f t="shared" si="221"/>
        <v>533938.66319000092</v>
      </c>
      <c r="K808" s="2">
        <f t="shared" si="222"/>
        <v>285090496049.12524</v>
      </c>
      <c r="L808" s="2">
        <f t="shared" si="223"/>
        <v>-1226179995.1812363</v>
      </c>
      <c r="N808" s="42">
        <f t="shared" si="224"/>
        <v>707551.73499994166</v>
      </c>
      <c r="O808" s="42">
        <f t="shared" si="225"/>
        <v>338200590701.30402</v>
      </c>
      <c r="P808" s="4">
        <f t="shared" si="226"/>
        <v>1115488.8250000584</v>
      </c>
      <c r="Q808" s="4">
        <f t="shared" si="227"/>
        <v>1244315318700.011</v>
      </c>
      <c r="R808" s="43">
        <f t="shared" si="228"/>
        <v>1.6643765093967216E-3</v>
      </c>
      <c r="S808" s="4">
        <f t="shared" si="229"/>
        <v>0.917476561087187</v>
      </c>
      <c r="T808" s="30">
        <f t="shared" si="230"/>
        <v>610037.59665910865</v>
      </c>
      <c r="U808" s="31">
        <f t="shared" si="231"/>
        <v>805065.87334077468</v>
      </c>
      <c r="V808" s="31">
        <f t="shared" si="232"/>
        <v>3098194.4016564498</v>
      </c>
      <c r="W808" s="42">
        <f t="shared" si="233"/>
        <v>3099781.6286926544</v>
      </c>
    </row>
    <row r="809" spans="2:23" x14ac:dyDescent="0.3">
      <c r="B809" s="2">
        <v>801</v>
      </c>
      <c r="C809" s="2">
        <v>8343</v>
      </c>
      <c r="D809" s="4">
        <v>3647559.6</v>
      </c>
      <c r="E809" s="4">
        <f t="shared" si="216"/>
        <v>30431589742.799999</v>
      </c>
      <c r="F809" s="2">
        <f t="shared" si="217"/>
        <v>69605649</v>
      </c>
      <c r="G809" s="2">
        <f t="shared" si="218"/>
        <v>13304691035552.16</v>
      </c>
      <c r="H809" s="42">
        <f t="shared" si="219"/>
        <v>3318.5190000000002</v>
      </c>
      <c r="I809" s="2">
        <f t="shared" si="220"/>
        <v>11012568.353361001</v>
      </c>
      <c r="J809" s="4">
        <f t="shared" si="221"/>
        <v>2358457.7031900007</v>
      </c>
      <c r="K809" s="2">
        <f t="shared" si="222"/>
        <v>5562322737736.2539</v>
      </c>
      <c r="L809" s="2">
        <f t="shared" si="223"/>
        <v>7826586698.732379</v>
      </c>
      <c r="N809" s="42">
        <f t="shared" si="224"/>
        <v>2129468.2057059798</v>
      </c>
      <c r="O809" s="42">
        <f t="shared" si="225"/>
        <v>706215533127.45483</v>
      </c>
      <c r="P809" s="4">
        <f t="shared" si="226"/>
        <v>1518091.3942940203</v>
      </c>
      <c r="Q809" s="4">
        <f t="shared" si="227"/>
        <v>2304601481429.5625</v>
      </c>
      <c r="R809" s="43">
        <f t="shared" si="228"/>
        <v>2.3873216773750419E-3</v>
      </c>
      <c r="S809" s="4">
        <f t="shared" si="229"/>
        <v>1.2490648205951209</v>
      </c>
      <c r="T809" s="30">
        <f t="shared" si="230"/>
        <v>2012680.4616198612</v>
      </c>
      <c r="U809" s="31">
        <f t="shared" si="231"/>
        <v>2246255.9497920983</v>
      </c>
      <c r="V809" s="31">
        <f t="shared" si="232"/>
        <v>4519246.8543774774</v>
      </c>
      <c r="W809" s="42">
        <f t="shared" si="233"/>
        <v>4522561.2323703039</v>
      </c>
    </row>
    <row r="810" spans="2:23" x14ac:dyDescent="0.3">
      <c r="B810" s="2">
        <v>802</v>
      </c>
      <c r="C810" s="2">
        <v>1058</v>
      </c>
      <c r="D810" s="4">
        <v>86470.340000000011</v>
      </c>
      <c r="E810" s="4">
        <f t="shared" si="216"/>
        <v>91485619.720000014</v>
      </c>
      <c r="F810" s="2">
        <f t="shared" si="217"/>
        <v>1119364</v>
      </c>
      <c r="G810" s="2">
        <f t="shared" si="218"/>
        <v>7477119699.7156019</v>
      </c>
      <c r="H810" s="42">
        <f t="shared" si="219"/>
        <v>-3966.4809999999998</v>
      </c>
      <c r="I810" s="2">
        <f t="shared" si="220"/>
        <v>15732971.523360997</v>
      </c>
      <c r="J810" s="4">
        <f t="shared" si="221"/>
        <v>-1202631.556809999</v>
      </c>
      <c r="K810" s="2">
        <f t="shared" si="222"/>
        <v>1446322661435.2419</v>
      </c>
      <c r="L810" s="2">
        <f t="shared" si="223"/>
        <v>4770215220.0872812</v>
      </c>
      <c r="N810" s="42">
        <f t="shared" si="224"/>
        <v>284648.70631266048</v>
      </c>
      <c r="O810" s="42">
        <f t="shared" si="225"/>
        <v>1008926211900.283</v>
      </c>
      <c r="P810" s="4">
        <f t="shared" si="226"/>
        <v>-198178.36631266045</v>
      </c>
      <c r="Q810" s="4">
        <f t="shared" si="227"/>
        <v>39274664874.355034</v>
      </c>
      <c r="R810" s="43">
        <f t="shared" si="228"/>
        <v>2.981980201486923E-3</v>
      </c>
      <c r="S810" s="4">
        <f t="shared" si="229"/>
        <v>-0.16310706707190054</v>
      </c>
      <c r="T810" s="30">
        <f t="shared" si="230"/>
        <v>154123.56363921511</v>
      </c>
      <c r="U810" s="31">
        <f t="shared" si="231"/>
        <v>415173.84898610588</v>
      </c>
      <c r="V810" s="31">
        <f t="shared" si="232"/>
        <v>2673716.4227964296</v>
      </c>
      <c r="W810" s="42">
        <f t="shared" si="233"/>
        <v>2678451.4696936822</v>
      </c>
    </row>
    <row r="811" spans="2:23" x14ac:dyDescent="0.3">
      <c r="B811" s="2">
        <v>803</v>
      </c>
      <c r="C811" s="2">
        <v>566</v>
      </c>
      <c r="D811" s="4">
        <v>46259.18</v>
      </c>
      <c r="E811" s="4">
        <f t="shared" si="216"/>
        <v>26182695.879999999</v>
      </c>
      <c r="F811" s="2">
        <f t="shared" si="217"/>
        <v>320356</v>
      </c>
      <c r="G811" s="2">
        <f t="shared" si="218"/>
        <v>2139911734.2724001</v>
      </c>
      <c r="H811" s="42">
        <f t="shared" si="219"/>
        <v>-4458.4809999999998</v>
      </c>
      <c r="I811" s="2">
        <f t="shared" si="220"/>
        <v>19878052.827360999</v>
      </c>
      <c r="J811" s="4">
        <f t="shared" si="221"/>
        <v>-1242842.7168099992</v>
      </c>
      <c r="K811" s="2">
        <f t="shared" si="222"/>
        <v>1544658018727.6599</v>
      </c>
      <c r="L811" s="2">
        <f t="shared" si="223"/>
        <v>5541190638.8857622</v>
      </c>
      <c r="N811" s="42">
        <f t="shared" si="224"/>
        <v>160056.91582515009</v>
      </c>
      <c r="O811" s="42">
        <f t="shared" si="225"/>
        <v>1274742569087.0779</v>
      </c>
      <c r="P811" s="4">
        <f t="shared" si="226"/>
        <v>-113797.7358251501</v>
      </c>
      <c r="Q811" s="4">
        <f t="shared" si="227"/>
        <v>12949924678.930651</v>
      </c>
      <c r="R811" s="43">
        <f t="shared" si="228"/>
        <v>3.5041618545766087E-3</v>
      </c>
      <c r="S811" s="4">
        <f t="shared" si="229"/>
        <v>-9.3683674170774056E-2</v>
      </c>
      <c r="T811" s="30">
        <f t="shared" si="230"/>
        <v>18564.266773240728</v>
      </c>
      <c r="U811" s="31">
        <f t="shared" si="231"/>
        <v>301549.56487705943</v>
      </c>
      <c r="V811" s="31">
        <f t="shared" si="232"/>
        <v>2548500.1739075286</v>
      </c>
      <c r="W811" s="42">
        <f t="shared" si="233"/>
        <v>2554482.7398665673</v>
      </c>
    </row>
    <row r="812" spans="2:23" x14ac:dyDescent="0.3">
      <c r="B812" s="2">
        <v>804</v>
      </c>
      <c r="C812" s="2">
        <v>8591</v>
      </c>
      <c r="D812" s="4">
        <v>3624456.9899999998</v>
      </c>
      <c r="E812" s="4">
        <f t="shared" si="216"/>
        <v>31137710001.089996</v>
      </c>
      <c r="F812" s="2">
        <f t="shared" si="217"/>
        <v>73805281</v>
      </c>
      <c r="G812" s="2">
        <f t="shared" si="218"/>
        <v>13136688472359.857</v>
      </c>
      <c r="H812" s="42">
        <f t="shared" si="219"/>
        <v>3566.5190000000002</v>
      </c>
      <c r="I812" s="2">
        <f t="shared" si="220"/>
        <v>12720057.777361002</v>
      </c>
      <c r="J812" s="4">
        <f t="shared" si="221"/>
        <v>2335355.0931900004</v>
      </c>
      <c r="K812" s="2">
        <f t="shared" si="222"/>
        <v>5453883411288.4756</v>
      </c>
      <c r="L812" s="2">
        <f t="shared" si="223"/>
        <v>8329088311.6089077</v>
      </c>
      <c r="N812" s="42">
        <f t="shared" si="224"/>
        <v>2192270.5716427737</v>
      </c>
      <c r="O812" s="42">
        <f t="shared" si="225"/>
        <v>815713655199.19006</v>
      </c>
      <c r="P812" s="4">
        <f t="shared" si="226"/>
        <v>1432186.4183572261</v>
      </c>
      <c r="Q812" s="4">
        <f t="shared" si="227"/>
        <v>2051157936926.8994</v>
      </c>
      <c r="R812" s="43">
        <f t="shared" si="228"/>
        <v>2.602424731975458E-3</v>
      </c>
      <c r="S812" s="4">
        <f t="shared" si="229"/>
        <v>1.178510442970927</v>
      </c>
      <c r="T812" s="30">
        <f t="shared" si="230"/>
        <v>2070334.8683389514</v>
      </c>
      <c r="U812" s="31">
        <f t="shared" si="231"/>
        <v>2314206.274946596</v>
      </c>
      <c r="V812" s="31">
        <f t="shared" si="232"/>
        <v>4581792.0825471431</v>
      </c>
      <c r="W812" s="42">
        <f t="shared" si="233"/>
        <v>4585620.3523561768</v>
      </c>
    </row>
    <row r="813" spans="2:23" x14ac:dyDescent="0.3">
      <c r="B813" s="2">
        <v>805</v>
      </c>
      <c r="C813" s="2">
        <v>3887</v>
      </c>
      <c r="D813" s="4">
        <v>2597565.4899999998</v>
      </c>
      <c r="E813" s="4">
        <f t="shared" si="216"/>
        <v>10096737059.629999</v>
      </c>
      <c r="F813" s="2">
        <f t="shared" si="217"/>
        <v>15108769</v>
      </c>
      <c r="G813" s="2">
        <f t="shared" si="218"/>
        <v>6747346474838.9385</v>
      </c>
      <c r="H813" s="42">
        <f t="shared" si="219"/>
        <v>-1137.4809999999998</v>
      </c>
      <c r="I813" s="2">
        <f t="shared" si="220"/>
        <v>1293863.0253609994</v>
      </c>
      <c r="J813" s="4">
        <f t="shared" si="221"/>
        <v>1308463.5931900006</v>
      </c>
      <c r="K813" s="2">
        <f t="shared" si="222"/>
        <v>1712076974703.6875</v>
      </c>
      <c r="L813" s="2">
        <f t="shared" si="223"/>
        <v>-1488352476.4453547</v>
      </c>
      <c r="N813" s="42">
        <f t="shared" si="224"/>
        <v>1001051.5016158451</v>
      </c>
      <c r="O813" s="42">
        <f t="shared" si="225"/>
        <v>82973030171.508301</v>
      </c>
      <c r="P813" s="4">
        <f t="shared" si="226"/>
        <v>1596513.9883841546</v>
      </c>
      <c r="Q813" s="4">
        <f t="shared" si="227"/>
        <v>2548856915106.2808</v>
      </c>
      <c r="R813" s="43">
        <f t="shared" si="228"/>
        <v>1.1629959665212465E-3</v>
      </c>
      <c r="S813" s="4">
        <f t="shared" si="229"/>
        <v>1.3127845435535701</v>
      </c>
      <c r="T813" s="30">
        <f t="shared" si="230"/>
        <v>919537.74600051343</v>
      </c>
      <c r="U813" s="31">
        <f t="shared" si="231"/>
        <v>1082565.2572311768</v>
      </c>
      <c r="V813" s="31">
        <f t="shared" si="232"/>
        <v>3392293.2030045562</v>
      </c>
      <c r="W813" s="42">
        <f t="shared" si="233"/>
        <v>3392682.6080900873</v>
      </c>
    </row>
    <row r="814" spans="2:23" x14ac:dyDescent="0.3">
      <c r="B814" s="2">
        <v>806</v>
      </c>
      <c r="C814" s="2">
        <v>7240</v>
      </c>
      <c r="D814" s="4">
        <v>67549.2</v>
      </c>
      <c r="E814" s="4">
        <f t="shared" si="216"/>
        <v>489056208</v>
      </c>
      <c r="F814" s="2">
        <f t="shared" si="217"/>
        <v>52417600</v>
      </c>
      <c r="G814" s="2">
        <f t="shared" si="218"/>
        <v>4562894420.6399994</v>
      </c>
      <c r="H814" s="42">
        <f t="shared" si="219"/>
        <v>2215.5190000000002</v>
      </c>
      <c r="I814" s="2">
        <f t="shared" si="220"/>
        <v>4908524.4393610014</v>
      </c>
      <c r="J814" s="4">
        <f t="shared" si="221"/>
        <v>-1221552.6968099992</v>
      </c>
      <c r="K814" s="2">
        <f t="shared" si="222"/>
        <v>1492190991083.7817</v>
      </c>
      <c r="L814" s="2">
        <f t="shared" si="223"/>
        <v>-2706373209.283793</v>
      </c>
      <c r="N814" s="42">
        <f t="shared" si="224"/>
        <v>1850149.6184951589</v>
      </c>
      <c r="O814" s="42">
        <f t="shared" si="225"/>
        <v>314774546008.10846</v>
      </c>
      <c r="P814" s="4">
        <f t="shared" si="226"/>
        <v>-1782600.4184951589</v>
      </c>
      <c r="Q814" s="4">
        <f t="shared" si="227"/>
        <v>3177664252019.1157</v>
      </c>
      <c r="R814" s="43">
        <f t="shared" si="228"/>
        <v>1.6183573295663035E-3</v>
      </c>
      <c r="S814" s="4">
        <f t="shared" si="229"/>
        <v>-1.4661342826716857</v>
      </c>
      <c r="T814" s="30">
        <f t="shared" si="230"/>
        <v>1753993.0385140199</v>
      </c>
      <c r="U814" s="31">
        <f t="shared" si="231"/>
        <v>1946306.1984762978</v>
      </c>
      <c r="V814" s="31">
        <f t="shared" si="232"/>
        <v>4240847.2737709619</v>
      </c>
      <c r="W814" s="42">
        <f t="shared" si="233"/>
        <v>4242324.5587899443</v>
      </c>
    </row>
    <row r="815" spans="2:23" x14ac:dyDescent="0.3">
      <c r="B815" s="2">
        <v>807</v>
      </c>
      <c r="C815" s="2">
        <v>6468</v>
      </c>
      <c r="D815" s="4">
        <v>528629.64</v>
      </c>
      <c r="E815" s="4">
        <f t="shared" si="216"/>
        <v>3419176511.52</v>
      </c>
      <c r="F815" s="2">
        <f t="shared" si="217"/>
        <v>41835024</v>
      </c>
      <c r="G815" s="2">
        <f t="shared" si="218"/>
        <v>279449296286.5296</v>
      </c>
      <c r="H815" s="42">
        <f t="shared" si="219"/>
        <v>1443.5190000000002</v>
      </c>
      <c r="I815" s="2">
        <f t="shared" si="220"/>
        <v>2083747.1033610008</v>
      </c>
      <c r="J815" s="4">
        <f t="shared" si="221"/>
        <v>-760472.25680999912</v>
      </c>
      <c r="K815" s="2">
        <f t="shared" si="222"/>
        <v>578318053377.69324</v>
      </c>
      <c r="L815" s="2">
        <f t="shared" si="223"/>
        <v>-1097756151.6781132</v>
      </c>
      <c r="N815" s="42">
        <f t="shared" si="224"/>
        <v>1654651.9309822361</v>
      </c>
      <c r="O815" s="42">
        <f t="shared" si="225"/>
        <v>133626827483.32358</v>
      </c>
      <c r="P815" s="4">
        <f t="shared" si="226"/>
        <v>-1126022.2909822362</v>
      </c>
      <c r="Q815" s="4">
        <f t="shared" si="227"/>
        <v>1267926199788.8838</v>
      </c>
      <c r="R815" s="43">
        <f t="shared" si="228"/>
        <v>1.2625025728696519E-3</v>
      </c>
      <c r="S815" s="4">
        <f t="shared" si="229"/>
        <v>-0.92595386432539728</v>
      </c>
      <c r="T815" s="30">
        <f t="shared" si="230"/>
        <v>1569722.5546949368</v>
      </c>
      <c r="U815" s="31">
        <f t="shared" si="231"/>
        <v>1739581.3072695353</v>
      </c>
      <c r="V815" s="31">
        <f t="shared" si="232"/>
        <v>4045774.7567396974</v>
      </c>
      <c r="W815" s="42">
        <f t="shared" si="233"/>
        <v>4046401.887824975</v>
      </c>
    </row>
    <row r="816" spans="2:23" x14ac:dyDescent="0.3">
      <c r="B816" s="2">
        <v>808</v>
      </c>
      <c r="C816" s="2">
        <v>1419</v>
      </c>
      <c r="D816" s="4">
        <v>115974.87000000001</v>
      </c>
      <c r="E816" s="4">
        <f t="shared" si="216"/>
        <v>164568340.53</v>
      </c>
      <c r="F816" s="2">
        <f t="shared" si="217"/>
        <v>2013561</v>
      </c>
      <c r="G816" s="2">
        <f t="shared" si="218"/>
        <v>13450170471.516903</v>
      </c>
      <c r="H816" s="42">
        <f t="shared" si="219"/>
        <v>-3605.4809999999998</v>
      </c>
      <c r="I816" s="2">
        <f t="shared" si="220"/>
        <v>12999493.241360998</v>
      </c>
      <c r="J816" s="4">
        <f t="shared" si="221"/>
        <v>-1173127.026809999</v>
      </c>
      <c r="K816" s="2">
        <f t="shared" si="222"/>
        <v>1376227021032.0681</v>
      </c>
      <c r="L816" s="2">
        <f t="shared" si="223"/>
        <v>4229687205.7499418</v>
      </c>
      <c r="N816" s="42">
        <f t="shared" si="224"/>
        <v>376066.66640613863</v>
      </c>
      <c r="O816" s="42">
        <f t="shared" si="225"/>
        <v>833633331958.63074</v>
      </c>
      <c r="P816" s="4">
        <f t="shared" si="226"/>
        <v>-260091.79640613863</v>
      </c>
      <c r="Q816" s="4">
        <f t="shared" si="227"/>
        <v>67647742557.77227</v>
      </c>
      <c r="R816" s="43">
        <f t="shared" si="228"/>
        <v>2.6376269540362395E-3</v>
      </c>
      <c r="S816" s="4">
        <f t="shared" si="229"/>
        <v>-0.21402682192437536</v>
      </c>
      <c r="T816" s="30">
        <f t="shared" si="230"/>
        <v>253309.03932591499</v>
      </c>
      <c r="U816" s="31">
        <f t="shared" si="231"/>
        <v>498824.29348636226</v>
      </c>
      <c r="V816" s="31">
        <f t="shared" si="232"/>
        <v>2765546.0933543034</v>
      </c>
      <c r="W816" s="42">
        <f t="shared" si="233"/>
        <v>2769458.4630217827</v>
      </c>
    </row>
    <row r="817" spans="2:23" x14ac:dyDescent="0.3">
      <c r="B817" s="2">
        <v>809</v>
      </c>
      <c r="C817" s="2">
        <v>8974</v>
      </c>
      <c r="D817" s="4">
        <v>5843958.54</v>
      </c>
      <c r="E817" s="4">
        <f t="shared" si="216"/>
        <v>52443683937.959999</v>
      </c>
      <c r="F817" s="2">
        <f t="shared" si="217"/>
        <v>80532676</v>
      </c>
      <c r="G817" s="2">
        <f t="shared" si="218"/>
        <v>34151851417238.934</v>
      </c>
      <c r="H817" s="42">
        <f t="shared" si="219"/>
        <v>3949.5190000000002</v>
      </c>
      <c r="I817" s="2">
        <f t="shared" si="220"/>
        <v>15598700.331361001</v>
      </c>
      <c r="J817" s="4">
        <f t="shared" si="221"/>
        <v>4554856.6431900011</v>
      </c>
      <c r="K817" s="2">
        <f t="shared" si="222"/>
        <v>20746719040012.086</v>
      </c>
      <c r="L817" s="2">
        <f t="shared" si="223"/>
        <v>17989492854.55513</v>
      </c>
      <c r="N817" s="42">
        <f t="shared" si="224"/>
        <v>2289259.709359677</v>
      </c>
      <c r="O817" s="42">
        <f t="shared" si="225"/>
        <v>1000315650004.1566</v>
      </c>
      <c r="P817" s="4">
        <f t="shared" si="226"/>
        <v>3554698.830640323</v>
      </c>
      <c r="Q817" s="4">
        <f t="shared" si="227"/>
        <v>12635883776555.68</v>
      </c>
      <c r="R817" s="43">
        <f t="shared" si="228"/>
        <v>2.9650652249499799E-3</v>
      </c>
      <c r="S817" s="4">
        <f t="shared" si="229"/>
        <v>2.92560481323767</v>
      </c>
      <c r="T817" s="30">
        <f t="shared" si="230"/>
        <v>2159105.2883895622</v>
      </c>
      <c r="U817" s="31">
        <f t="shared" si="231"/>
        <v>2419414.1303297919</v>
      </c>
      <c r="V817" s="31">
        <f t="shared" si="232"/>
        <v>4678347.6511309352</v>
      </c>
      <c r="W817" s="42">
        <f t="shared" si="233"/>
        <v>4683042.2872891678</v>
      </c>
    </row>
    <row r="818" spans="2:23" x14ac:dyDescent="0.3">
      <c r="B818" s="2">
        <v>810</v>
      </c>
      <c r="C818" s="2">
        <v>8043</v>
      </c>
      <c r="D818" s="4">
        <v>1227200.9400000002</v>
      </c>
      <c r="E818" s="4">
        <f t="shared" si="216"/>
        <v>9870377160.420002</v>
      </c>
      <c r="F818" s="2">
        <f t="shared" si="217"/>
        <v>64689849</v>
      </c>
      <c r="G818" s="2">
        <f t="shared" si="218"/>
        <v>1506022147136.884</v>
      </c>
      <c r="H818" s="42">
        <f t="shared" si="219"/>
        <v>3018.5190000000002</v>
      </c>
      <c r="I818" s="2">
        <f t="shared" si="220"/>
        <v>9111456.9533610009</v>
      </c>
      <c r="J818" s="4">
        <f t="shared" si="221"/>
        <v>-61900.956809998956</v>
      </c>
      <c r="K818" s="2">
        <f t="shared" si="222"/>
        <v>3831728453.9933562</v>
      </c>
      <c r="L818" s="2">
        <f t="shared" si="223"/>
        <v>-186849214.24916124</v>
      </c>
      <c r="N818" s="42">
        <f t="shared" si="224"/>
        <v>2053497.6017501808</v>
      </c>
      <c r="O818" s="42">
        <f t="shared" si="225"/>
        <v>584300793730.99731</v>
      </c>
      <c r="P818" s="4">
        <f t="shared" si="226"/>
        <v>-826296.66175018065</v>
      </c>
      <c r="Q818" s="4">
        <f t="shared" si="227"/>
        <v>682766173219.49243</v>
      </c>
      <c r="R818" s="43">
        <f t="shared" si="228"/>
        <v>2.147826859118602E-3</v>
      </c>
      <c r="S818" s="4">
        <f t="shared" si="229"/>
        <v>-0.67978399121258726</v>
      </c>
      <c r="T818" s="30">
        <f t="shared" si="230"/>
        <v>1942722.6847559863</v>
      </c>
      <c r="U818" s="31">
        <f t="shared" si="231"/>
        <v>2164272.5187443756</v>
      </c>
      <c r="V818" s="31">
        <f t="shared" si="232"/>
        <v>4443562.5139606893</v>
      </c>
      <c r="W818" s="42">
        <f t="shared" si="233"/>
        <v>4446304.727144069</v>
      </c>
    </row>
    <row r="819" spans="2:23" x14ac:dyDescent="0.3">
      <c r="B819" s="2">
        <v>811</v>
      </c>
      <c r="C819" s="2">
        <v>4569</v>
      </c>
      <c r="D819" s="4">
        <v>216799.05000000002</v>
      </c>
      <c r="E819" s="4">
        <f t="shared" si="216"/>
        <v>990554859.45000005</v>
      </c>
      <c r="F819" s="2">
        <f t="shared" si="217"/>
        <v>20875761</v>
      </c>
      <c r="G819" s="2">
        <f t="shared" si="218"/>
        <v>47001828080.902504</v>
      </c>
      <c r="H819" s="42">
        <f t="shared" si="219"/>
        <v>-455.48099999999977</v>
      </c>
      <c r="I819" s="2">
        <f t="shared" si="220"/>
        <v>207462.9413609998</v>
      </c>
      <c r="J819" s="4">
        <f t="shared" si="221"/>
        <v>-1072302.8468099991</v>
      </c>
      <c r="K819" s="2">
        <f t="shared" si="222"/>
        <v>1149833395276.8284</v>
      </c>
      <c r="L819" s="2">
        <f t="shared" si="223"/>
        <v>488413572.96786493</v>
      </c>
      <c r="N819" s="42">
        <f t="shared" si="224"/>
        <v>1173758.0079420283</v>
      </c>
      <c r="O819" s="42">
        <f t="shared" si="225"/>
        <v>13304212699.186796</v>
      </c>
      <c r="P819" s="4">
        <f t="shared" si="226"/>
        <v>-956958.9579420283</v>
      </c>
      <c r="Q819" s="4">
        <f t="shared" si="227"/>
        <v>915770447185.49268</v>
      </c>
      <c r="R819" s="43">
        <f t="shared" si="228"/>
        <v>1.0261353960826279E-3</v>
      </c>
      <c r="S819" s="4">
        <f t="shared" si="229"/>
        <v>-0.78683611858474234</v>
      </c>
      <c r="T819" s="30">
        <f t="shared" si="230"/>
        <v>1097190.5668478399</v>
      </c>
      <c r="U819" s="31">
        <f t="shared" si="231"/>
        <v>1250325.4490362168</v>
      </c>
      <c r="V819" s="31">
        <f t="shared" si="232"/>
        <v>3565163.2002461646</v>
      </c>
      <c r="W819" s="42">
        <f t="shared" si="233"/>
        <v>3565225.6389453011</v>
      </c>
    </row>
    <row r="820" spans="2:23" x14ac:dyDescent="0.3">
      <c r="B820" s="2">
        <v>812</v>
      </c>
      <c r="C820" s="2">
        <v>6526</v>
      </c>
      <c r="D820" s="4">
        <v>60887.58</v>
      </c>
      <c r="E820" s="4">
        <f t="shared" si="216"/>
        <v>397352347.07999998</v>
      </c>
      <c r="F820" s="2">
        <f t="shared" si="217"/>
        <v>42588676</v>
      </c>
      <c r="G820" s="2">
        <f t="shared" si="218"/>
        <v>3707297398.2564001</v>
      </c>
      <c r="H820" s="42">
        <f t="shared" si="219"/>
        <v>1501.5190000000002</v>
      </c>
      <c r="I820" s="2">
        <f t="shared" si="220"/>
        <v>2254559.3073610007</v>
      </c>
      <c r="J820" s="4">
        <f t="shared" si="221"/>
        <v>-1228214.3168099991</v>
      </c>
      <c r="K820" s="2">
        <f t="shared" si="222"/>
        <v>1508510408017.0527</v>
      </c>
      <c r="L820" s="2">
        <f t="shared" si="223"/>
        <v>-1844187132.7622333</v>
      </c>
      <c r="N820" s="42">
        <f t="shared" si="224"/>
        <v>1669339.5810803571</v>
      </c>
      <c r="O820" s="42">
        <f t="shared" si="225"/>
        <v>144580696539.28442</v>
      </c>
      <c r="P820" s="4">
        <f t="shared" si="226"/>
        <v>-1608452.001080357</v>
      </c>
      <c r="Q820" s="4">
        <f t="shared" si="227"/>
        <v>2587117839779.4048</v>
      </c>
      <c r="R820" s="43">
        <f t="shared" si="228"/>
        <v>1.2840208477866094E-3</v>
      </c>
      <c r="S820" s="4">
        <f t="shared" si="229"/>
        <v>-1.3226810895058494</v>
      </c>
      <c r="T820" s="30">
        <f t="shared" si="230"/>
        <v>1583689.4885804923</v>
      </c>
      <c r="U820" s="31">
        <f t="shared" si="231"/>
        <v>1754989.6735802218</v>
      </c>
      <c r="V820" s="31">
        <f t="shared" si="232"/>
        <v>4060436.6992396466</v>
      </c>
      <c r="W820" s="42">
        <f t="shared" si="233"/>
        <v>4061115.2385043404</v>
      </c>
    </row>
    <row r="821" spans="2:23" x14ac:dyDescent="0.3">
      <c r="B821" s="2">
        <v>813</v>
      </c>
      <c r="C821" s="2">
        <v>8917</v>
      </c>
      <c r="D821" s="4">
        <v>728786.41</v>
      </c>
      <c r="E821" s="4">
        <f t="shared" si="216"/>
        <v>6498588417.9700003</v>
      </c>
      <c r="F821" s="2">
        <f t="shared" si="217"/>
        <v>79512889</v>
      </c>
      <c r="G821" s="2">
        <f t="shared" si="218"/>
        <v>531129631400.68817</v>
      </c>
      <c r="H821" s="42">
        <f t="shared" si="219"/>
        <v>3892.5190000000002</v>
      </c>
      <c r="I821" s="2">
        <f t="shared" si="220"/>
        <v>15151704.165361002</v>
      </c>
      <c r="J821" s="4">
        <f t="shared" si="221"/>
        <v>-560315.4868099991</v>
      </c>
      <c r="K821" s="2">
        <f t="shared" si="222"/>
        <v>313953444759.12628</v>
      </c>
      <c r="L821" s="2">
        <f t="shared" si="223"/>
        <v>-2181038678.4021711</v>
      </c>
      <c r="N821" s="42">
        <f t="shared" si="224"/>
        <v>2274825.2946080752</v>
      </c>
      <c r="O821" s="42">
        <f t="shared" si="225"/>
        <v>971650616966.58411</v>
      </c>
      <c r="P821" s="4">
        <f t="shared" si="226"/>
        <v>-1546038.884608075</v>
      </c>
      <c r="Q821" s="4">
        <f t="shared" si="227"/>
        <v>2390236232720.1807</v>
      </c>
      <c r="R821" s="43">
        <f t="shared" si="228"/>
        <v>2.9087543398869081E-3</v>
      </c>
      <c r="S821" s="4">
        <f t="shared" si="229"/>
        <v>-1.2723922038383972</v>
      </c>
      <c r="T821" s="30">
        <f t="shared" si="230"/>
        <v>2145912.7084868141</v>
      </c>
      <c r="U821" s="31">
        <f t="shared" si="231"/>
        <v>2403737.8807293363</v>
      </c>
      <c r="V821" s="31">
        <f t="shared" si="232"/>
        <v>4663980.5662374478</v>
      </c>
      <c r="W821" s="42">
        <f t="shared" si="233"/>
        <v>4668540.672835229</v>
      </c>
    </row>
    <row r="822" spans="2:23" x14ac:dyDescent="0.3">
      <c r="B822" s="2">
        <v>814</v>
      </c>
      <c r="C822" s="2">
        <v>8781</v>
      </c>
      <c r="D822" s="4">
        <v>717671.13</v>
      </c>
      <c r="E822" s="4">
        <f t="shared" si="216"/>
        <v>6301870192.5299997</v>
      </c>
      <c r="F822" s="2">
        <f t="shared" si="217"/>
        <v>77105961</v>
      </c>
      <c r="G822" s="2">
        <f t="shared" si="218"/>
        <v>515051850835.47693</v>
      </c>
      <c r="H822" s="42">
        <f t="shared" si="219"/>
        <v>3756.5190000000002</v>
      </c>
      <c r="I822" s="2">
        <f t="shared" si="220"/>
        <v>14111434.997361002</v>
      </c>
      <c r="J822" s="4">
        <f t="shared" si="221"/>
        <v>-571430.76680999913</v>
      </c>
      <c r="K822" s="2">
        <f t="shared" si="222"/>
        <v>326533121257.0636</v>
      </c>
      <c r="L822" s="2">
        <f t="shared" si="223"/>
        <v>-2146590532.7063313</v>
      </c>
      <c r="N822" s="42">
        <f t="shared" si="224"/>
        <v>2240385.2874814463</v>
      </c>
      <c r="O822" s="42">
        <f t="shared" si="225"/>
        <v>904940089367.36511</v>
      </c>
      <c r="P822" s="4">
        <f t="shared" si="226"/>
        <v>-1522714.1574814464</v>
      </c>
      <c r="Q822" s="4">
        <f t="shared" si="227"/>
        <v>2318658405394.4312</v>
      </c>
      <c r="R822" s="43">
        <f t="shared" si="228"/>
        <v>2.7777051676353831E-3</v>
      </c>
      <c r="S822" s="4">
        <f t="shared" si="229"/>
        <v>-1.2531135736185826</v>
      </c>
      <c r="T822" s="30">
        <f t="shared" si="230"/>
        <v>2114410.1409620373</v>
      </c>
      <c r="U822" s="31">
        <f t="shared" si="231"/>
        <v>2366360.4340008553</v>
      </c>
      <c r="V822" s="31">
        <f t="shared" si="232"/>
        <v>4629697.2447767481</v>
      </c>
      <c r="W822" s="42">
        <f t="shared" si="233"/>
        <v>4633944.2682966841</v>
      </c>
    </row>
    <row r="823" spans="2:23" x14ac:dyDescent="0.3">
      <c r="B823" s="2">
        <v>815</v>
      </c>
      <c r="C823" s="2">
        <v>183</v>
      </c>
      <c r="D823" s="4">
        <v>19998.240000000002</v>
      </c>
      <c r="E823" s="4">
        <f t="shared" si="216"/>
        <v>3659677.9200000004</v>
      </c>
      <c r="F823" s="2">
        <f t="shared" si="217"/>
        <v>33489</v>
      </c>
      <c r="G823" s="2">
        <f t="shared" si="218"/>
        <v>399929603.09760004</v>
      </c>
      <c r="H823" s="42">
        <f t="shared" si="219"/>
        <v>-4841.4809999999998</v>
      </c>
      <c r="I823" s="2">
        <f t="shared" si="220"/>
        <v>23439938.273360997</v>
      </c>
      <c r="J823" s="4">
        <f t="shared" si="221"/>
        <v>-1269103.6568099991</v>
      </c>
      <c r="K823" s="2">
        <f t="shared" si="222"/>
        <v>1610624091728.512</v>
      </c>
      <c r="L823" s="2">
        <f t="shared" si="223"/>
        <v>6144341241.4761314</v>
      </c>
      <c r="N823" s="42">
        <f t="shared" si="224"/>
        <v>63067.778108246683</v>
      </c>
      <c r="O823" s="42">
        <f t="shared" si="225"/>
        <v>1503159660220.783</v>
      </c>
      <c r="P823" s="4">
        <f t="shared" si="226"/>
        <v>-43069.538108246677</v>
      </c>
      <c r="Q823" s="4">
        <f t="shared" si="227"/>
        <v>1854985112.8577127</v>
      </c>
      <c r="R823" s="43">
        <f t="shared" si="228"/>
        <v>3.9528747009358635E-3</v>
      </c>
      <c r="S823" s="4">
        <f t="shared" si="229"/>
        <v>-3.5464864870533561E-2</v>
      </c>
      <c r="T823" s="30">
        <f t="shared" si="230"/>
        <v>-87211.231020215026</v>
      </c>
      <c r="U823" s="31">
        <f t="shared" si="231"/>
        <v>213346.78723670839</v>
      </c>
      <c r="V823" s="31">
        <f t="shared" si="232"/>
        <v>2450974.3060590923</v>
      </c>
      <c r="W823" s="42">
        <f t="shared" si="233"/>
        <v>2458028.8712547151</v>
      </c>
    </row>
    <row r="824" spans="2:23" x14ac:dyDescent="0.3">
      <c r="B824" s="2">
        <v>816</v>
      </c>
      <c r="C824" s="2">
        <v>9222</v>
      </c>
      <c r="D824" s="4">
        <v>753714.06</v>
      </c>
      <c r="E824" s="4">
        <f t="shared" si="216"/>
        <v>6950751061.3200006</v>
      </c>
      <c r="F824" s="2">
        <f t="shared" si="217"/>
        <v>85045284</v>
      </c>
      <c r="G824" s="2">
        <f t="shared" si="218"/>
        <v>568084884241.68372</v>
      </c>
      <c r="H824" s="42">
        <f t="shared" si="219"/>
        <v>4197.5190000000002</v>
      </c>
      <c r="I824" s="2">
        <f t="shared" si="220"/>
        <v>17619165.755361002</v>
      </c>
      <c r="J824" s="4">
        <f t="shared" si="221"/>
        <v>-535387.83680999908</v>
      </c>
      <c r="K824" s="2">
        <f t="shared" si="222"/>
        <v>286640135804.09021</v>
      </c>
      <c r="L824" s="2">
        <f t="shared" si="223"/>
        <v>-2247300617.3788705</v>
      </c>
      <c r="N824" s="42">
        <f t="shared" si="224"/>
        <v>2352062.0752964709</v>
      </c>
      <c r="O824" s="42">
        <f t="shared" si="225"/>
        <v>1129884341047.9919</v>
      </c>
      <c r="P824" s="4">
        <f t="shared" si="226"/>
        <v>-1598348.0152964708</v>
      </c>
      <c r="Q824" s="4">
        <f t="shared" si="227"/>
        <v>2554716378002.1675</v>
      </c>
      <c r="R824" s="43">
        <f t="shared" si="228"/>
        <v>3.2195958113818432E-3</v>
      </c>
      <c r="S824" s="4">
        <f t="shared" si="229"/>
        <v>-1.3156477843377266</v>
      </c>
      <c r="T824" s="30">
        <f t="shared" si="230"/>
        <v>2216436.2244888968</v>
      </c>
      <c r="U824" s="31">
        <f t="shared" si="231"/>
        <v>2487687.926104045</v>
      </c>
      <c r="V824" s="31">
        <f t="shared" si="232"/>
        <v>4740845.6559934784</v>
      </c>
      <c r="W824" s="42">
        <f t="shared" si="233"/>
        <v>4746148.3787759356</v>
      </c>
    </row>
    <row r="825" spans="2:23" x14ac:dyDescent="0.3">
      <c r="B825" s="2">
        <v>817</v>
      </c>
      <c r="C825" s="2">
        <v>9029</v>
      </c>
      <c r="D825" s="4">
        <v>3809244.81</v>
      </c>
      <c r="E825" s="4">
        <f t="shared" si="216"/>
        <v>34393671389.489998</v>
      </c>
      <c r="F825" s="2">
        <f t="shared" si="217"/>
        <v>81522841</v>
      </c>
      <c r="G825" s="2">
        <f t="shared" si="218"/>
        <v>14510346022511.938</v>
      </c>
      <c r="H825" s="42">
        <f t="shared" si="219"/>
        <v>4004.5190000000002</v>
      </c>
      <c r="I825" s="2">
        <f t="shared" si="220"/>
        <v>16036172.421361001</v>
      </c>
      <c r="J825" s="4">
        <f t="shared" si="221"/>
        <v>2520142.9131900007</v>
      </c>
      <c r="K825" s="2">
        <f t="shared" si="222"/>
        <v>6351120302901.7832</v>
      </c>
      <c r="L825" s="2">
        <f t="shared" si="223"/>
        <v>10091960178.584709</v>
      </c>
      <c r="N825" s="42">
        <f t="shared" si="224"/>
        <v>2303187.6534182401</v>
      </c>
      <c r="O825" s="42">
        <f t="shared" si="225"/>
        <v>1028369921755.7086</v>
      </c>
      <c r="P825" s="4">
        <f t="shared" si="226"/>
        <v>1506057.1565817599</v>
      </c>
      <c r="Q825" s="4">
        <f t="shared" si="227"/>
        <v>2268208158891.1357</v>
      </c>
      <c r="R825" s="43">
        <f t="shared" si="228"/>
        <v>3.0201763029682458E-3</v>
      </c>
      <c r="S825" s="4">
        <f t="shared" si="229"/>
        <v>1.2395564450291323</v>
      </c>
      <c r="T825" s="30">
        <f t="shared" si="230"/>
        <v>2171829.2241788735</v>
      </c>
      <c r="U825" s="31">
        <f t="shared" si="231"/>
        <v>2434546.0826576068</v>
      </c>
      <c r="V825" s="31">
        <f t="shared" si="232"/>
        <v>4692209.6980805872</v>
      </c>
      <c r="W825" s="42">
        <f t="shared" si="233"/>
        <v>4697035.9974101745</v>
      </c>
    </row>
    <row r="826" spans="2:23" x14ac:dyDescent="0.3">
      <c r="B826" s="2">
        <v>818</v>
      </c>
      <c r="C826" s="2">
        <v>4765</v>
      </c>
      <c r="D826" s="4">
        <v>3184306.55</v>
      </c>
      <c r="E826" s="4">
        <f t="shared" si="216"/>
        <v>15173220710.75</v>
      </c>
      <c r="F826" s="2">
        <f t="shared" si="217"/>
        <v>22705225</v>
      </c>
      <c r="G826" s="2">
        <f t="shared" si="218"/>
        <v>10139808204372.9</v>
      </c>
      <c r="H826" s="42">
        <f t="shared" si="219"/>
        <v>-259.48099999999977</v>
      </c>
      <c r="I826" s="2">
        <f t="shared" si="220"/>
        <v>67330.389360999878</v>
      </c>
      <c r="J826" s="4">
        <f t="shared" si="221"/>
        <v>1895204.6531900007</v>
      </c>
      <c r="K826" s="2">
        <f t="shared" si="222"/>
        <v>3591800677473.0308</v>
      </c>
      <c r="L826" s="2">
        <f t="shared" si="223"/>
        <v>-491769598.61439413</v>
      </c>
      <c r="N826" s="42">
        <f t="shared" si="224"/>
        <v>1223392.135859817</v>
      </c>
      <c r="O826" s="42">
        <f t="shared" si="225"/>
        <v>4317772684.1300764</v>
      </c>
      <c r="P826" s="4">
        <f t="shared" si="226"/>
        <v>1960914.4141401828</v>
      </c>
      <c r="Q826" s="4">
        <f t="shared" si="227"/>
        <v>3845185339582.7363</v>
      </c>
      <c r="R826" s="43">
        <f t="shared" si="228"/>
        <v>1.0084820275987761E-3</v>
      </c>
      <c r="S826" s="4">
        <f t="shared" si="229"/>
        <v>1.6122997136220105</v>
      </c>
      <c r="T826" s="30">
        <f t="shared" si="230"/>
        <v>1147486.175339727</v>
      </c>
      <c r="U826" s="31">
        <f t="shared" si="231"/>
        <v>1299298.0963799071</v>
      </c>
      <c r="V826" s="31">
        <f t="shared" si="232"/>
        <v>3614818.4157129964</v>
      </c>
      <c r="W826" s="42">
        <f t="shared" si="233"/>
        <v>3614838.6796786766</v>
      </c>
    </row>
    <row r="827" spans="2:23" x14ac:dyDescent="0.3">
      <c r="B827" s="2">
        <v>819</v>
      </c>
      <c r="C827" s="2">
        <v>8621</v>
      </c>
      <c r="D827" s="4">
        <v>5614081.4100000001</v>
      </c>
      <c r="E827" s="4">
        <f t="shared" si="216"/>
        <v>48398995835.610001</v>
      </c>
      <c r="F827" s="2">
        <f t="shared" si="217"/>
        <v>74321641</v>
      </c>
      <c r="G827" s="2">
        <f t="shared" si="218"/>
        <v>31517910078107.59</v>
      </c>
      <c r="H827" s="42">
        <f t="shared" si="219"/>
        <v>3596.5190000000002</v>
      </c>
      <c r="I827" s="2">
        <f t="shared" si="220"/>
        <v>12934948.917361002</v>
      </c>
      <c r="J827" s="4">
        <f t="shared" si="221"/>
        <v>4324979.5131900012</v>
      </c>
      <c r="K827" s="2">
        <f t="shared" si="222"/>
        <v>18705447789513.219</v>
      </c>
      <c r="L827" s="2">
        <f t="shared" si="223"/>
        <v>15554870993.798592</v>
      </c>
      <c r="N827" s="42">
        <f t="shared" si="224"/>
        <v>2199867.6320383535</v>
      </c>
      <c r="O827" s="42">
        <f t="shared" si="225"/>
        <v>829494224466.0448</v>
      </c>
      <c r="P827" s="4">
        <f t="shared" si="226"/>
        <v>3414213.7779616467</v>
      </c>
      <c r="Q827" s="4">
        <f t="shared" si="227"/>
        <v>11656855721623.141</v>
      </c>
      <c r="R827" s="43">
        <f t="shared" si="228"/>
        <v>2.629495904406079E-3</v>
      </c>
      <c r="S827" s="4">
        <f t="shared" si="229"/>
        <v>2.8095093951891603</v>
      </c>
      <c r="T827" s="30">
        <f t="shared" si="230"/>
        <v>2077299.3643359239</v>
      </c>
      <c r="U827" s="31">
        <f t="shared" si="231"/>
        <v>2322435.899740783</v>
      </c>
      <c r="V827" s="31">
        <f t="shared" si="232"/>
        <v>4589356.7796528228</v>
      </c>
      <c r="W827" s="42">
        <f t="shared" si="233"/>
        <v>4593249.723838212</v>
      </c>
    </row>
    <row r="828" spans="2:23" x14ac:dyDescent="0.3">
      <c r="B828" s="2">
        <v>820</v>
      </c>
      <c r="C828" s="2">
        <v>4822</v>
      </c>
      <c r="D828" s="4">
        <v>228803.90000000002</v>
      </c>
      <c r="E828" s="4">
        <f t="shared" si="216"/>
        <v>1103292405.8000002</v>
      </c>
      <c r="F828" s="2">
        <f t="shared" si="217"/>
        <v>23251684</v>
      </c>
      <c r="G828" s="2">
        <f t="shared" si="218"/>
        <v>52351224655.210014</v>
      </c>
      <c r="H828" s="42">
        <f t="shared" si="219"/>
        <v>-202.48099999999977</v>
      </c>
      <c r="I828" s="2">
        <f t="shared" si="220"/>
        <v>40998.555360999904</v>
      </c>
      <c r="J828" s="4">
        <f t="shared" si="221"/>
        <v>-1060297.996809999</v>
      </c>
      <c r="K828" s="2">
        <f t="shared" si="222"/>
        <v>1124231842039.2966</v>
      </c>
      <c r="L828" s="2">
        <f t="shared" si="223"/>
        <v>214690198.69208515</v>
      </c>
      <c r="N828" s="42">
        <f t="shared" si="224"/>
        <v>1237826.5506114187</v>
      </c>
      <c r="O828" s="42">
        <f t="shared" si="225"/>
        <v>2629161127.7842798</v>
      </c>
      <c r="P828" s="4">
        <f t="shared" si="226"/>
        <v>-1009022.6506114186</v>
      </c>
      <c r="Q828" s="4">
        <f t="shared" si="227"/>
        <v>1018126709446.8931</v>
      </c>
      <c r="R828" s="43">
        <f t="shared" si="228"/>
        <v>1.0051648428203415E-3</v>
      </c>
      <c r="S828" s="4">
        <f t="shared" si="229"/>
        <v>-0.8296355097879814</v>
      </c>
      <c r="T828" s="30">
        <f t="shared" si="230"/>
        <v>1162045.5310852195</v>
      </c>
      <c r="U828" s="31">
        <f t="shared" si="231"/>
        <v>1313607.5701376179</v>
      </c>
      <c r="V828" s="31">
        <f t="shared" si="232"/>
        <v>3629256.7929338799</v>
      </c>
      <c r="W828" s="42">
        <f t="shared" si="233"/>
        <v>3629269.1319880076</v>
      </c>
    </row>
    <row r="829" spans="2:23" x14ac:dyDescent="0.3">
      <c r="B829" s="2">
        <v>821</v>
      </c>
      <c r="C829" s="2">
        <v>4622</v>
      </c>
      <c r="D829" s="4">
        <v>43123.26</v>
      </c>
      <c r="E829" s="4">
        <f t="shared" si="216"/>
        <v>199315707.72</v>
      </c>
      <c r="F829" s="2">
        <f t="shared" si="217"/>
        <v>21362884</v>
      </c>
      <c r="G829" s="2">
        <f t="shared" si="218"/>
        <v>1859615553.0276003</v>
      </c>
      <c r="H829" s="42">
        <f t="shared" si="219"/>
        <v>-402.48099999999977</v>
      </c>
      <c r="I829" s="2">
        <f t="shared" si="220"/>
        <v>161990.95536099983</v>
      </c>
      <c r="J829" s="4">
        <f t="shared" si="221"/>
        <v>-1245978.6368099991</v>
      </c>
      <c r="K829" s="2">
        <f t="shared" si="222"/>
        <v>1552462763386.9038</v>
      </c>
      <c r="L829" s="2">
        <f t="shared" si="223"/>
        <v>501482727.72192496</v>
      </c>
      <c r="N829" s="42">
        <f t="shared" si="224"/>
        <v>1187179.4813075527</v>
      </c>
      <c r="O829" s="42">
        <f t="shared" si="225"/>
        <v>10388178781.85334</v>
      </c>
      <c r="P829" s="4">
        <f t="shared" si="226"/>
        <v>-1144056.2213075527</v>
      </c>
      <c r="Q829" s="4">
        <f t="shared" si="227"/>
        <v>1308864637512.5159</v>
      </c>
      <c r="R829" s="43">
        <f t="shared" si="228"/>
        <v>1.0204070074028117E-3</v>
      </c>
      <c r="S829" s="4">
        <f t="shared" si="229"/>
        <v>-0.94066957438889687</v>
      </c>
      <c r="T829" s="30">
        <f t="shared" si="230"/>
        <v>1110826.0577349081</v>
      </c>
      <c r="U829" s="31">
        <f t="shared" si="231"/>
        <v>1263532.9048801973</v>
      </c>
      <c r="V829" s="31">
        <f t="shared" si="232"/>
        <v>3578591.5163871688</v>
      </c>
      <c r="W829" s="42">
        <f t="shared" si="233"/>
        <v>3578640.2696944238</v>
      </c>
    </row>
    <row r="830" spans="2:23" x14ac:dyDescent="0.3">
      <c r="B830" s="2">
        <v>822</v>
      </c>
      <c r="C830" s="2">
        <v>1308</v>
      </c>
      <c r="D830" s="4">
        <v>12203.64</v>
      </c>
      <c r="E830" s="4">
        <f t="shared" si="216"/>
        <v>15962361.119999999</v>
      </c>
      <c r="F830" s="2">
        <f t="shared" si="217"/>
        <v>1710864</v>
      </c>
      <c r="G830" s="2">
        <f t="shared" si="218"/>
        <v>148928829.24959999</v>
      </c>
      <c r="H830" s="42">
        <f t="shared" si="219"/>
        <v>-3716.4809999999998</v>
      </c>
      <c r="I830" s="2">
        <f t="shared" si="220"/>
        <v>13812231.023360997</v>
      </c>
      <c r="J830" s="4">
        <f t="shared" si="221"/>
        <v>-1276898.2568099992</v>
      </c>
      <c r="K830" s="2">
        <f t="shared" si="222"/>
        <v>1630469158244.4148</v>
      </c>
      <c r="L830" s="2">
        <f t="shared" si="223"/>
        <v>4745568110.3674822</v>
      </c>
      <c r="N830" s="42">
        <f t="shared" si="224"/>
        <v>347957.54294249299</v>
      </c>
      <c r="O830" s="42">
        <f t="shared" si="225"/>
        <v>885752694816.68567</v>
      </c>
      <c r="P830" s="4">
        <f t="shared" si="226"/>
        <v>-335753.90294249298</v>
      </c>
      <c r="Q830" s="4">
        <f t="shared" si="227"/>
        <v>112730683341.11699</v>
      </c>
      <c r="R830" s="43">
        <f t="shared" si="228"/>
        <v>2.7400125835107835E-3</v>
      </c>
      <c r="S830" s="4">
        <f t="shared" si="229"/>
        <v>-0.27630256138174036</v>
      </c>
      <c r="T830" s="30">
        <f t="shared" si="230"/>
        <v>222840.03736769338</v>
      </c>
      <c r="U830" s="31">
        <f t="shared" si="231"/>
        <v>473075.0485172926</v>
      </c>
      <c r="V830" s="31">
        <f t="shared" si="232"/>
        <v>2737314.5645308606</v>
      </c>
      <c r="W830" s="42">
        <f t="shared" si="233"/>
        <v>2741471.5385777708</v>
      </c>
    </row>
    <row r="831" spans="2:23" x14ac:dyDescent="0.3">
      <c r="B831" s="2">
        <v>823</v>
      </c>
      <c r="C831" s="2">
        <v>5197</v>
      </c>
      <c r="D831" s="4">
        <v>1069022.8999999999</v>
      </c>
      <c r="E831" s="4">
        <f t="shared" si="216"/>
        <v>5555712011.2999992</v>
      </c>
      <c r="F831" s="2">
        <f t="shared" si="217"/>
        <v>27008809</v>
      </c>
      <c r="G831" s="2">
        <f t="shared" si="218"/>
        <v>1142809960724.4099</v>
      </c>
      <c r="H831" s="42">
        <f t="shared" si="219"/>
        <v>172.51900000000023</v>
      </c>
      <c r="I831" s="2">
        <f t="shared" si="220"/>
        <v>29762.805361000079</v>
      </c>
      <c r="J831" s="4">
        <f t="shared" si="221"/>
        <v>-220078.99680999923</v>
      </c>
      <c r="K831" s="2">
        <f t="shared" si="222"/>
        <v>48434764836.895653</v>
      </c>
      <c r="L831" s="2">
        <f t="shared" si="223"/>
        <v>-37967808.450664304</v>
      </c>
      <c r="N831" s="42">
        <f t="shared" si="224"/>
        <v>1332789.8055561676</v>
      </c>
      <c r="O831" s="42">
        <f t="shared" si="225"/>
        <v>1908633370.6135447</v>
      </c>
      <c r="P831" s="4">
        <f t="shared" si="226"/>
        <v>-263766.90555616771</v>
      </c>
      <c r="Q831" s="4">
        <f t="shared" si="227"/>
        <v>69572980466.6763</v>
      </c>
      <c r="R831" s="43">
        <f t="shared" si="228"/>
        <v>1.0037494055638899E-3</v>
      </c>
      <c r="S831" s="4">
        <f t="shared" si="229"/>
        <v>-0.21687346264990454</v>
      </c>
      <c r="T831" s="30">
        <f t="shared" si="230"/>
        <v>1257062.1608902344</v>
      </c>
      <c r="U831" s="31">
        <f t="shared" si="231"/>
        <v>1408517.4502221008</v>
      </c>
      <c r="V831" s="31">
        <f t="shared" si="232"/>
        <v>3724221.7386557171</v>
      </c>
      <c r="W831" s="42">
        <f t="shared" si="233"/>
        <v>3724230.696163197</v>
      </c>
    </row>
    <row r="832" spans="2:23" x14ac:dyDescent="0.3">
      <c r="B832" s="2">
        <v>824</v>
      </c>
      <c r="C832" s="2">
        <v>8637</v>
      </c>
      <c r="D832" s="4">
        <v>5624500.7700000005</v>
      </c>
      <c r="E832" s="4">
        <f t="shared" si="216"/>
        <v>48578813150.490005</v>
      </c>
      <c r="F832" s="2">
        <f t="shared" si="217"/>
        <v>74597769</v>
      </c>
      <c r="G832" s="2">
        <f t="shared" si="218"/>
        <v>31635008911730.598</v>
      </c>
      <c r="H832" s="42">
        <f t="shared" si="219"/>
        <v>3612.5190000000002</v>
      </c>
      <c r="I832" s="2">
        <f t="shared" si="220"/>
        <v>13050293.525361001</v>
      </c>
      <c r="J832" s="4">
        <f t="shared" si="221"/>
        <v>4335398.8731900016</v>
      </c>
      <c r="K832" s="2">
        <f t="shared" si="222"/>
        <v>18795683389657.137</v>
      </c>
      <c r="L832" s="2">
        <f t="shared" si="223"/>
        <v>15661710801.977472</v>
      </c>
      <c r="N832" s="42">
        <f t="shared" si="224"/>
        <v>2203919.3975826628</v>
      </c>
      <c r="O832" s="42">
        <f t="shared" si="225"/>
        <v>836891059719.94238</v>
      </c>
      <c r="P832" s="4">
        <f t="shared" si="226"/>
        <v>3420581.3724173377</v>
      </c>
      <c r="Q832" s="4">
        <f t="shared" si="227"/>
        <v>11700376925328.479</v>
      </c>
      <c r="R832" s="43">
        <f t="shared" si="228"/>
        <v>2.6440265815299022E-3</v>
      </c>
      <c r="S832" s="4">
        <f t="shared" si="229"/>
        <v>2.8147697050269329</v>
      </c>
      <c r="T832" s="30">
        <f t="shared" si="230"/>
        <v>2081012.938398334</v>
      </c>
      <c r="U832" s="31">
        <f t="shared" si="231"/>
        <v>2326825.8567669913</v>
      </c>
      <c r="V832" s="31">
        <f t="shared" si="232"/>
        <v>4593391.1737511251</v>
      </c>
      <c r="W832" s="42">
        <f t="shared" si="233"/>
        <v>4597318.8324472075</v>
      </c>
    </row>
    <row r="833" spans="2:23" x14ac:dyDescent="0.3">
      <c r="B833" s="2">
        <v>825</v>
      </c>
      <c r="C833" s="2">
        <v>1008</v>
      </c>
      <c r="D833" s="4">
        <v>207345.59999999998</v>
      </c>
      <c r="E833" s="4">
        <f t="shared" si="216"/>
        <v>209004364.79999998</v>
      </c>
      <c r="F833" s="2">
        <f t="shared" si="217"/>
        <v>1016064</v>
      </c>
      <c r="G833" s="2">
        <f t="shared" si="218"/>
        <v>42992197839.359993</v>
      </c>
      <c r="H833" s="42">
        <f t="shared" si="219"/>
        <v>-4016.4809999999998</v>
      </c>
      <c r="I833" s="2">
        <f t="shared" si="220"/>
        <v>16132119.623360999</v>
      </c>
      <c r="J833" s="4">
        <f t="shared" si="221"/>
        <v>-1081756.2968099993</v>
      </c>
      <c r="K833" s="2">
        <f t="shared" si="222"/>
        <v>1170196685688.0833</v>
      </c>
      <c r="L833" s="2">
        <f t="shared" si="223"/>
        <v>4344853612.7677221</v>
      </c>
      <c r="N833" s="42">
        <f t="shared" si="224"/>
        <v>271986.93898669397</v>
      </c>
      <c r="O833" s="42">
        <f t="shared" si="225"/>
        <v>1034522837427.9038</v>
      </c>
      <c r="P833" s="4">
        <f t="shared" si="226"/>
        <v>-64641.338986693998</v>
      </c>
      <c r="Q833" s="4">
        <f t="shared" si="227"/>
        <v>4178502705.9926853</v>
      </c>
      <c r="R833" s="43">
        <f t="shared" si="228"/>
        <v>3.0322633683055027E-3</v>
      </c>
      <c r="S833" s="4">
        <f t="shared" si="229"/>
        <v>-5.3203209270719455E-2</v>
      </c>
      <c r="T833" s="30">
        <f t="shared" si="230"/>
        <v>140365.91704498467</v>
      </c>
      <c r="U833" s="31">
        <f t="shared" si="231"/>
        <v>403607.96092840331</v>
      </c>
      <c r="V833" s="31">
        <f t="shared" si="232"/>
        <v>2660994.5307280668</v>
      </c>
      <c r="W833" s="42">
        <f t="shared" si="233"/>
        <v>2665849.7066736124</v>
      </c>
    </row>
    <row r="834" spans="2:23" x14ac:dyDescent="0.3">
      <c r="B834" s="2">
        <v>826</v>
      </c>
      <c r="C834" s="2">
        <v>3723</v>
      </c>
      <c r="D834" s="4">
        <v>2487969.21</v>
      </c>
      <c r="E834" s="4">
        <f t="shared" si="216"/>
        <v>9262709368.8299999</v>
      </c>
      <c r="F834" s="2">
        <f t="shared" si="217"/>
        <v>13860729</v>
      </c>
      <c r="G834" s="2">
        <f t="shared" si="218"/>
        <v>6189990789908.0234</v>
      </c>
      <c r="H834" s="42">
        <f t="shared" si="219"/>
        <v>-1301.4809999999998</v>
      </c>
      <c r="I834" s="2">
        <f t="shared" si="220"/>
        <v>1693852.7933609993</v>
      </c>
      <c r="J834" s="4">
        <f t="shared" si="221"/>
        <v>1198867.3131900008</v>
      </c>
      <c r="K834" s="2">
        <f t="shared" si="222"/>
        <v>1437282834635.4116</v>
      </c>
      <c r="L834" s="2">
        <f t="shared" si="223"/>
        <v>-1560303029.6378353</v>
      </c>
      <c r="N834" s="42">
        <f t="shared" si="224"/>
        <v>959520.904786675</v>
      </c>
      <c r="O834" s="42">
        <f t="shared" si="225"/>
        <v>108623630303.07845</v>
      </c>
      <c r="P834" s="4">
        <f t="shared" si="226"/>
        <v>1528448.305213325</v>
      </c>
      <c r="Q834" s="4">
        <f t="shared" si="227"/>
        <v>2336154221709.4854</v>
      </c>
      <c r="R834" s="43">
        <f t="shared" si="228"/>
        <v>1.2133851634886601E-3</v>
      </c>
      <c r="S834" s="4">
        <f t="shared" si="229"/>
        <v>1.2568470678179346</v>
      </c>
      <c r="T834" s="30">
        <f t="shared" si="230"/>
        <v>876259.99752020626</v>
      </c>
      <c r="U834" s="31">
        <f t="shared" si="231"/>
        <v>1042781.8120531437</v>
      </c>
      <c r="V834" s="31">
        <f t="shared" si="232"/>
        <v>3350702.409427437</v>
      </c>
      <c r="W834" s="42">
        <f t="shared" si="233"/>
        <v>3351212.1966927871</v>
      </c>
    </row>
    <row r="835" spans="2:23" x14ac:dyDescent="0.3">
      <c r="B835" s="2">
        <v>827</v>
      </c>
      <c r="C835" s="2">
        <v>5222</v>
      </c>
      <c r="D835" s="4">
        <v>1333072.1599999999</v>
      </c>
      <c r="E835" s="4">
        <f t="shared" si="216"/>
        <v>6961302819.5199995</v>
      </c>
      <c r="F835" s="2">
        <f t="shared" si="217"/>
        <v>27269284</v>
      </c>
      <c r="G835" s="2">
        <f t="shared" si="218"/>
        <v>1777081383767.0654</v>
      </c>
      <c r="H835" s="42">
        <f t="shared" si="219"/>
        <v>197.51900000000023</v>
      </c>
      <c r="I835" s="2">
        <f t="shared" si="220"/>
        <v>39013.75536100009</v>
      </c>
      <c r="J835" s="4">
        <f t="shared" si="221"/>
        <v>43970.263190000784</v>
      </c>
      <c r="K835" s="2">
        <f t="shared" si="222"/>
        <v>1933384044.9979379</v>
      </c>
      <c r="L835" s="2">
        <f t="shared" si="223"/>
        <v>8684962.4150257744</v>
      </c>
      <c r="N835" s="42">
        <f t="shared" si="224"/>
        <v>1339120.6892191507</v>
      </c>
      <c r="O835" s="42">
        <f t="shared" si="225"/>
        <v>2501879594.0697975</v>
      </c>
      <c r="P835" s="4">
        <f t="shared" si="226"/>
        <v>-6048.529219150776</v>
      </c>
      <c r="Q835" s="4">
        <f t="shared" si="227"/>
        <v>36584705.7149207</v>
      </c>
      <c r="R835" s="43">
        <f t="shared" si="228"/>
        <v>1.0049148052290275E-3</v>
      </c>
      <c r="S835" s="4">
        <f t="shared" si="229"/>
        <v>-4.9732025254063325E-3</v>
      </c>
      <c r="T835" s="30">
        <f t="shared" si="230"/>
        <v>1263349.0956504054</v>
      </c>
      <c r="U835" s="31">
        <f t="shared" si="231"/>
        <v>1414892.282787896</v>
      </c>
      <c r="V835" s="31">
        <f t="shared" si="232"/>
        <v>3730551.2302181879</v>
      </c>
      <c r="W835" s="42">
        <f t="shared" si="233"/>
        <v>3730562.9719206677</v>
      </c>
    </row>
    <row r="836" spans="2:23" x14ac:dyDescent="0.3">
      <c r="B836" s="2">
        <v>828</v>
      </c>
      <c r="C836" s="2">
        <v>5979</v>
      </c>
      <c r="D836" s="4">
        <v>921124.74</v>
      </c>
      <c r="E836" s="4">
        <f t="shared" si="216"/>
        <v>5507404820.46</v>
      </c>
      <c r="F836" s="2">
        <f t="shared" si="217"/>
        <v>35748441</v>
      </c>
      <c r="G836" s="2">
        <f t="shared" si="218"/>
        <v>848470786640.06763</v>
      </c>
      <c r="H836" s="42">
        <f t="shared" si="219"/>
        <v>954.51900000000023</v>
      </c>
      <c r="I836" s="2">
        <f t="shared" si="220"/>
        <v>911106.52136100049</v>
      </c>
      <c r="J836" s="4">
        <f t="shared" si="221"/>
        <v>-367977.15680999914</v>
      </c>
      <c r="K836" s="2">
        <f t="shared" si="222"/>
        <v>135407187933.9707</v>
      </c>
      <c r="L836" s="2">
        <f t="shared" si="223"/>
        <v>-351241187.74112368</v>
      </c>
      <c r="N836" s="42">
        <f t="shared" si="224"/>
        <v>1530819.8465342836</v>
      </c>
      <c r="O836" s="42">
        <f t="shared" si="225"/>
        <v>58427567218.911713</v>
      </c>
      <c r="P836" s="4">
        <f t="shared" si="226"/>
        <v>-609695.10653428361</v>
      </c>
      <c r="Q836" s="4">
        <f t="shared" si="227"/>
        <v>371728122931.85144</v>
      </c>
      <c r="R836" s="43">
        <f t="shared" si="228"/>
        <v>1.1147777509227549E-3</v>
      </c>
      <c r="S836" s="4">
        <f t="shared" si="229"/>
        <v>-0.50132914544046348</v>
      </c>
      <c r="T836" s="30">
        <f t="shared" si="230"/>
        <v>1451013.7728302903</v>
      </c>
      <c r="U836" s="31">
        <f t="shared" si="231"/>
        <v>1610625.9202382769</v>
      </c>
      <c r="V836" s="31">
        <f t="shared" si="232"/>
        <v>3922119.1497196555</v>
      </c>
      <c r="W836" s="42">
        <f t="shared" si="233"/>
        <v>3922393.3592034513</v>
      </c>
    </row>
    <row r="837" spans="2:23" x14ac:dyDescent="0.3">
      <c r="B837" s="2">
        <v>829</v>
      </c>
      <c r="C837" s="2">
        <v>3501</v>
      </c>
      <c r="D837" s="4">
        <v>32664.33</v>
      </c>
      <c r="E837" s="4">
        <f t="shared" si="216"/>
        <v>114357819.33000001</v>
      </c>
      <c r="F837" s="2">
        <f t="shared" si="217"/>
        <v>12257001</v>
      </c>
      <c r="G837" s="2">
        <f t="shared" si="218"/>
        <v>1066958454.3489001</v>
      </c>
      <c r="H837" s="42">
        <f t="shared" si="219"/>
        <v>-1523.4809999999998</v>
      </c>
      <c r="I837" s="2">
        <f t="shared" si="220"/>
        <v>2320994.3573609991</v>
      </c>
      <c r="J837" s="4">
        <f t="shared" si="221"/>
        <v>-1256437.5668099991</v>
      </c>
      <c r="K837" s="2">
        <f t="shared" si="222"/>
        <v>1578635359291.4309</v>
      </c>
      <c r="L837" s="2">
        <f t="shared" si="223"/>
        <v>1914158760.7212639</v>
      </c>
      <c r="N837" s="42">
        <f t="shared" si="224"/>
        <v>903302.65785938385</v>
      </c>
      <c r="O837" s="42">
        <f t="shared" si="225"/>
        <v>148841052774.87396</v>
      </c>
      <c r="P837" s="4">
        <f t="shared" si="226"/>
        <v>-870638.32785938389</v>
      </c>
      <c r="Q837" s="4">
        <f t="shared" si="227"/>
        <v>758011097937.78406</v>
      </c>
      <c r="R837" s="43">
        <f t="shared" si="228"/>
        <v>1.2923900839216444E-3</v>
      </c>
      <c r="S837" s="4">
        <f t="shared" si="229"/>
        <v>-0.71595650751174089</v>
      </c>
      <c r="T837" s="30">
        <f t="shared" si="230"/>
        <v>817373.88547065423</v>
      </c>
      <c r="U837" s="31">
        <f t="shared" si="231"/>
        <v>989231.43024811347</v>
      </c>
      <c r="V837" s="31">
        <f t="shared" si="232"/>
        <v>3294389.7773284046</v>
      </c>
      <c r="W837" s="42">
        <f t="shared" si="233"/>
        <v>3295088.3110952517</v>
      </c>
    </row>
    <row r="838" spans="2:23" x14ac:dyDescent="0.3">
      <c r="B838" s="2">
        <v>830</v>
      </c>
      <c r="C838" s="2">
        <v>7321</v>
      </c>
      <c r="D838" s="4">
        <v>1505929.7</v>
      </c>
      <c r="E838" s="4">
        <f t="shared" si="216"/>
        <v>11024911333.699999</v>
      </c>
      <c r="F838" s="2">
        <f t="shared" si="217"/>
        <v>53597041</v>
      </c>
      <c r="G838" s="2">
        <f t="shared" si="218"/>
        <v>2267824261342.0898</v>
      </c>
      <c r="H838" s="42">
        <f t="shared" si="219"/>
        <v>2296.5190000000002</v>
      </c>
      <c r="I838" s="2">
        <f t="shared" si="220"/>
        <v>5273999.5173610011</v>
      </c>
      <c r="J838" s="4">
        <f t="shared" si="221"/>
        <v>216827.80319000082</v>
      </c>
      <c r="K838" s="2">
        <f t="shared" si="222"/>
        <v>47014296236.201729</v>
      </c>
      <c r="L838" s="2">
        <f t="shared" si="223"/>
        <v>497949169.75409752</v>
      </c>
      <c r="N838" s="42">
        <f t="shared" si="224"/>
        <v>1870661.6815632246</v>
      </c>
      <c r="O838" s="42">
        <f t="shared" si="225"/>
        <v>338211783242.21802</v>
      </c>
      <c r="P838" s="4">
        <f t="shared" si="226"/>
        <v>-364731.98156322469</v>
      </c>
      <c r="Q838" s="4">
        <f t="shared" si="227"/>
        <v>133029418375.03647</v>
      </c>
      <c r="R838" s="43">
        <f t="shared" si="228"/>
        <v>1.6643984965294114E-3</v>
      </c>
      <c r="S838" s="4">
        <f t="shared" si="229"/>
        <v>-0.29998780834767119</v>
      </c>
      <c r="T838" s="30">
        <f t="shared" si="230"/>
        <v>1773146.8991225723</v>
      </c>
      <c r="U838" s="31">
        <f t="shared" si="231"/>
        <v>1968176.464003877</v>
      </c>
      <c r="V838" s="31">
        <f t="shared" si="232"/>
        <v>4261304.3219468612</v>
      </c>
      <c r="W838" s="42">
        <f t="shared" si="233"/>
        <v>4262891.601511376</v>
      </c>
    </row>
    <row r="839" spans="2:23" x14ac:dyDescent="0.3">
      <c r="B839" s="2">
        <v>831</v>
      </c>
      <c r="C839" s="2">
        <v>4009</v>
      </c>
      <c r="D839" s="4">
        <v>37403.97</v>
      </c>
      <c r="E839" s="4">
        <f t="shared" si="216"/>
        <v>149952515.73000002</v>
      </c>
      <c r="F839" s="2">
        <f t="shared" si="217"/>
        <v>16072081</v>
      </c>
      <c r="G839" s="2">
        <f t="shared" si="218"/>
        <v>1399056971.7609</v>
      </c>
      <c r="H839" s="42">
        <f t="shared" si="219"/>
        <v>-1015.4809999999998</v>
      </c>
      <c r="I839" s="2">
        <f t="shared" si="220"/>
        <v>1031201.6613609996</v>
      </c>
      <c r="J839" s="4">
        <f t="shared" si="221"/>
        <v>-1251697.9268099992</v>
      </c>
      <c r="K839" s="2">
        <f t="shared" si="222"/>
        <v>1566747699980.45</v>
      </c>
      <c r="L839" s="2">
        <f t="shared" si="223"/>
        <v>1271075462.4149444</v>
      </c>
      <c r="N839" s="42">
        <f t="shared" si="224"/>
        <v>1031946.2138912035</v>
      </c>
      <c r="O839" s="42">
        <f t="shared" si="225"/>
        <v>66129045257.432152</v>
      </c>
      <c r="P839" s="4">
        <f t="shared" si="226"/>
        <v>-994542.24389120354</v>
      </c>
      <c r="Q839" s="4">
        <f t="shared" si="227"/>
        <v>989114274884.15015</v>
      </c>
      <c r="R839" s="43">
        <f t="shared" si="228"/>
        <v>1.1299068820866528E-3</v>
      </c>
      <c r="S839" s="4">
        <f t="shared" si="229"/>
        <v>-0.81778053289665609</v>
      </c>
      <c r="T839" s="30">
        <f t="shared" si="230"/>
        <v>951600.42382007989</v>
      </c>
      <c r="U839" s="31">
        <f t="shared" si="231"/>
        <v>1112292.0039623273</v>
      </c>
      <c r="V839" s="31">
        <f t="shared" si="232"/>
        <v>3423227.4438666203</v>
      </c>
      <c r="W839" s="42">
        <f t="shared" si="233"/>
        <v>3423537.7975615519</v>
      </c>
    </row>
    <row r="840" spans="2:23" x14ac:dyDescent="0.3">
      <c r="B840" s="2">
        <v>832</v>
      </c>
      <c r="C840" s="2">
        <v>2163</v>
      </c>
      <c r="D840" s="4">
        <v>330030.54000000004</v>
      </c>
      <c r="E840" s="4">
        <f t="shared" si="216"/>
        <v>713856058.0200001</v>
      </c>
      <c r="F840" s="2">
        <f t="shared" si="217"/>
        <v>4678569</v>
      </c>
      <c r="G840" s="2">
        <f t="shared" si="218"/>
        <v>108920157332.69162</v>
      </c>
      <c r="H840" s="42">
        <f t="shared" si="219"/>
        <v>-2861.4809999999998</v>
      </c>
      <c r="I840" s="2">
        <f t="shared" si="220"/>
        <v>8188073.5133609986</v>
      </c>
      <c r="J840" s="4">
        <f t="shared" si="221"/>
        <v>-959071.3568099991</v>
      </c>
      <c r="K840" s="2">
        <f t="shared" si="222"/>
        <v>919817867453.37256</v>
      </c>
      <c r="L840" s="2">
        <f t="shared" si="223"/>
        <v>2744364465.1560326</v>
      </c>
      <c r="N840" s="42">
        <f t="shared" si="224"/>
        <v>564473.76421652013</v>
      </c>
      <c r="O840" s="42">
        <f t="shared" si="225"/>
        <v>525085930545.9126</v>
      </c>
      <c r="P840" s="4">
        <f t="shared" si="226"/>
        <v>-234443.22421652009</v>
      </c>
      <c r="Q840" s="4">
        <f t="shared" si="227"/>
        <v>54963625381.037514</v>
      </c>
      <c r="R840" s="43">
        <f t="shared" si="228"/>
        <v>2.0315025084551917E-3</v>
      </c>
      <c r="S840" s="4">
        <f t="shared" si="229"/>
        <v>-0.19286228488912199</v>
      </c>
      <c r="T840" s="30">
        <f t="shared" si="230"/>
        <v>456740.33591479075</v>
      </c>
      <c r="U840" s="31">
        <f t="shared" si="231"/>
        <v>672207.1925182495</v>
      </c>
      <c r="V840" s="31">
        <f t="shared" si="232"/>
        <v>2954677.7043105969</v>
      </c>
      <c r="W840" s="42">
        <f t="shared" si="233"/>
        <v>2957142.0129869878</v>
      </c>
    </row>
    <row r="841" spans="2:23" x14ac:dyDescent="0.3">
      <c r="B841" s="2">
        <v>833</v>
      </c>
      <c r="C841" s="2">
        <v>7411</v>
      </c>
      <c r="D841" s="4">
        <v>1891880.08</v>
      </c>
      <c r="E841" s="4">
        <f t="shared" si="216"/>
        <v>14020723272.880001</v>
      </c>
      <c r="F841" s="2">
        <f t="shared" si="217"/>
        <v>54922921</v>
      </c>
      <c r="G841" s="2">
        <f t="shared" si="218"/>
        <v>3579210237100.8066</v>
      </c>
      <c r="H841" s="42">
        <f t="shared" si="219"/>
        <v>2386.5190000000002</v>
      </c>
      <c r="I841" s="2">
        <f t="shared" si="220"/>
        <v>5695472.937361001</v>
      </c>
      <c r="J841" s="4">
        <f t="shared" si="221"/>
        <v>602778.18319000094</v>
      </c>
      <c r="K841" s="2">
        <f t="shared" si="222"/>
        <v>363341538129.83832</v>
      </c>
      <c r="L841" s="2">
        <f t="shared" si="223"/>
        <v>1438541586.9684179</v>
      </c>
      <c r="N841" s="42">
        <f t="shared" si="224"/>
        <v>1893452.8627499642</v>
      </c>
      <c r="O841" s="42">
        <f t="shared" si="225"/>
        <v>365240090032.56885</v>
      </c>
      <c r="P841" s="4">
        <f t="shared" si="226"/>
        <v>-1572.7827499641571</v>
      </c>
      <c r="Q841" s="4">
        <f t="shared" si="227"/>
        <v>2473645.5785848163</v>
      </c>
      <c r="R841" s="43">
        <f t="shared" si="228"/>
        <v>1.7174941226578014E-3</v>
      </c>
      <c r="S841" s="4">
        <f t="shared" si="229"/>
        <v>-1.2936299010664427E-3</v>
      </c>
      <c r="T841" s="30">
        <f t="shared" si="230"/>
        <v>1794394.8916506297</v>
      </c>
      <c r="U841" s="31">
        <f t="shared" si="231"/>
        <v>1992510.8338492988</v>
      </c>
      <c r="V841" s="31">
        <f t="shared" si="232"/>
        <v>4284032.0572500294</v>
      </c>
      <c r="W841" s="42">
        <f t="shared" si="233"/>
        <v>4285746.184802887</v>
      </c>
    </row>
    <row r="842" spans="2:23" x14ac:dyDescent="0.3">
      <c r="B842" s="2">
        <v>834</v>
      </c>
      <c r="C842" s="2">
        <v>7417</v>
      </c>
      <c r="D842" s="4">
        <v>810529.76</v>
      </c>
      <c r="E842" s="4">
        <f t="shared" ref="E842:E905" si="234">C842*D842</f>
        <v>6011699229.9200001</v>
      </c>
      <c r="F842" s="2">
        <f t="shared" ref="F842:F905" si="235">POWER(C842,2)</f>
        <v>55011889</v>
      </c>
      <c r="G842" s="2">
        <f t="shared" ref="G842:G905" si="236">POWER(D842,2)</f>
        <v>656958491845.65759</v>
      </c>
      <c r="H842" s="42">
        <f t="shared" ref="H842:H905" si="237">C842-$AG$9</f>
        <v>2392.5190000000002</v>
      </c>
      <c r="I842" s="2">
        <f t="shared" ref="I842:I905" si="238">POWER(H842,2)</f>
        <v>5724147.1653610012</v>
      </c>
      <c r="J842" s="4">
        <f t="shared" ref="J842:J905" si="239">D842-$AG$10</f>
        <v>-478572.13680999912</v>
      </c>
      <c r="K842" s="2">
        <f t="shared" ref="K842:K905" si="240">POWER(J842,2)</f>
        <v>229031290130.88852</v>
      </c>
      <c r="L842" s="2">
        <f t="shared" ref="L842:L905" si="241">H842*J842</f>
        <v>-1144992930.1885223</v>
      </c>
      <c r="N842" s="42">
        <f t="shared" ref="N842:N905" si="242">$AG$18+$AG$17*C842</f>
        <v>1894972.2748290803</v>
      </c>
      <c r="O842" s="42">
        <f t="shared" ref="O842:O905" si="243">(N842-$AG$10)^2</f>
        <v>367078914960.98438</v>
      </c>
      <c r="P842" s="4">
        <f t="shared" ref="P842:P905" si="244">D842-N842</f>
        <v>-1084442.5148290803</v>
      </c>
      <c r="Q842" s="4">
        <f t="shared" ref="Q842:Q905" si="245">P842^2</f>
        <v>1176015567968.8201</v>
      </c>
      <c r="R842" s="43">
        <f t="shared" ref="R842:R905" si="246">(1/$AG$8)+((I842)/($I$1009))</f>
        <v>1.7211063933661374E-3</v>
      </c>
      <c r="S842" s="4">
        <f t="shared" ref="S842:S905" si="247">P842 / ($AG$19*SQRT(1-R842))</f>
        <v>-0.89196667584052958</v>
      </c>
      <c r="T842" s="30">
        <f t="shared" ref="T842:T905" si="248">N842-$AK$16*SQRT($AG$25*((1/$AG$8)+((C842-$AG$9)^2)/$I$1009))</f>
        <v>1795810.1880141785</v>
      </c>
      <c r="U842" s="31">
        <f t="shared" ref="U842:U905" si="249">N842+$AK$16*SQRT($AG$25*((1/$AG$8)+((C842-$AG$9)^2)/$I$1009))</f>
        <v>1994134.3616439821</v>
      </c>
      <c r="V842" s="31">
        <f t="shared" ref="V842:V905" si="250">N842+$AK$16*SQRT($AG$25*(1+(1/$AG$8)-((C842-$AG$9)^2)/$I$1009))</f>
        <v>4285547.1528350823</v>
      </c>
      <c r="W842" s="42">
        <f t="shared" ref="W842:W905" si="251">N842+$AK$16*SQRT($AG$25*(1+(1/$AG$8)+((C842-$AG$9)^2)/$I$1009))</f>
        <v>4287269.9102754258</v>
      </c>
    </row>
    <row r="843" spans="2:23" x14ac:dyDescent="0.3">
      <c r="B843" s="2">
        <v>835</v>
      </c>
      <c r="C843" s="2">
        <v>6871</v>
      </c>
      <c r="D843" s="4">
        <v>64106.43</v>
      </c>
      <c r="E843" s="4">
        <f t="shared" si="234"/>
        <v>440475280.53000003</v>
      </c>
      <c r="F843" s="2">
        <f t="shared" si="235"/>
        <v>47210641</v>
      </c>
      <c r="G843" s="2">
        <f t="shared" si="236"/>
        <v>4109634367.3449001</v>
      </c>
      <c r="H843" s="42">
        <f t="shared" si="237"/>
        <v>1846.5190000000002</v>
      </c>
      <c r="I843" s="2">
        <f t="shared" si="238"/>
        <v>3409632.417361001</v>
      </c>
      <c r="J843" s="4">
        <f t="shared" si="239"/>
        <v>-1224995.4668099992</v>
      </c>
      <c r="K843" s="2">
        <f t="shared" si="240"/>
        <v>1500613893705.0479</v>
      </c>
      <c r="L843" s="2">
        <f t="shared" si="241"/>
        <v>-2261977404.3785334</v>
      </c>
      <c r="N843" s="42">
        <f t="shared" si="242"/>
        <v>1756705.775629526</v>
      </c>
      <c r="O843" s="42">
        <f t="shared" si="243"/>
        <v>218653387487.06677</v>
      </c>
      <c r="P843" s="4">
        <f t="shared" si="244"/>
        <v>-1692599.3456295261</v>
      </c>
      <c r="Q843" s="4">
        <f t="shared" si="245"/>
        <v>2864892544825.5</v>
      </c>
      <c r="R843" s="43">
        <f t="shared" si="246"/>
        <v>1.4295325861057584E-3</v>
      </c>
      <c r="S843" s="4">
        <f t="shared" si="247"/>
        <v>-1.3919795280830602</v>
      </c>
      <c r="T843" s="30">
        <f t="shared" si="248"/>
        <v>1666332.7487301661</v>
      </c>
      <c r="U843" s="31">
        <f t="shared" si="249"/>
        <v>1847078.8025288859</v>
      </c>
      <c r="V843" s="31">
        <f t="shared" si="250"/>
        <v>4147629.0455869585</v>
      </c>
      <c r="W843" s="42">
        <f t="shared" si="251"/>
        <v>4148655.219303377</v>
      </c>
    </row>
    <row r="844" spans="2:23" x14ac:dyDescent="0.3">
      <c r="B844" s="2">
        <v>836</v>
      </c>
      <c r="C844" s="2">
        <v>2498</v>
      </c>
      <c r="D844" s="4">
        <v>1092125.5999999999</v>
      </c>
      <c r="E844" s="4">
        <f t="shared" si="234"/>
        <v>2728129748.7999997</v>
      </c>
      <c r="F844" s="2">
        <f t="shared" si="235"/>
        <v>6240004</v>
      </c>
      <c r="G844" s="2">
        <f t="shared" si="236"/>
        <v>1192738326175.3596</v>
      </c>
      <c r="H844" s="42">
        <f t="shared" si="237"/>
        <v>-2526.4809999999998</v>
      </c>
      <c r="I844" s="2">
        <f t="shared" si="238"/>
        <v>6383106.243360999</v>
      </c>
      <c r="J844" s="4">
        <f t="shared" si="239"/>
        <v>-196976.29680999927</v>
      </c>
      <c r="K844" s="2">
        <f t="shared" si="240"/>
        <v>38799661504.980927</v>
      </c>
      <c r="L844" s="2">
        <f t="shared" si="241"/>
        <v>497656871.34082371</v>
      </c>
      <c r="N844" s="42">
        <f t="shared" si="242"/>
        <v>649307.60530049575</v>
      </c>
      <c r="O844" s="42">
        <f t="shared" si="243"/>
        <v>409336735448.1474</v>
      </c>
      <c r="P844" s="4">
        <f t="shared" si="244"/>
        <v>442817.99469950411</v>
      </c>
      <c r="Q844" s="4">
        <f t="shared" si="245"/>
        <v>196087776429.69006</v>
      </c>
      <c r="R844" s="43">
        <f t="shared" si="246"/>
        <v>1.8041195637800546E-3</v>
      </c>
      <c r="S844" s="4">
        <f t="shared" si="247"/>
        <v>0.36423813420026152</v>
      </c>
      <c r="T844" s="30">
        <f t="shared" si="248"/>
        <v>547782.26432319696</v>
      </c>
      <c r="U844" s="31">
        <f t="shared" si="249"/>
        <v>750832.94627779454</v>
      </c>
      <c r="V844" s="31">
        <f t="shared" si="250"/>
        <v>3039783.2843138459</v>
      </c>
      <c r="W844" s="42">
        <f t="shared" si="251"/>
        <v>3041704.3641933952</v>
      </c>
    </row>
    <row r="845" spans="2:23" x14ac:dyDescent="0.3">
      <c r="B845" s="2">
        <v>837</v>
      </c>
      <c r="C845" s="2">
        <v>8053</v>
      </c>
      <c r="D845" s="4">
        <v>3397480.17</v>
      </c>
      <c r="E845" s="4">
        <f t="shared" si="234"/>
        <v>27359907809.009998</v>
      </c>
      <c r="F845" s="2">
        <f t="shared" si="235"/>
        <v>64850809</v>
      </c>
      <c r="G845" s="2">
        <f t="shared" si="236"/>
        <v>11542871505543.229</v>
      </c>
      <c r="H845" s="42">
        <f t="shared" si="237"/>
        <v>3028.5190000000002</v>
      </c>
      <c r="I845" s="2">
        <f t="shared" si="238"/>
        <v>9171927.3333610017</v>
      </c>
      <c r="J845" s="4">
        <f t="shared" si="239"/>
        <v>2108378.273190001</v>
      </c>
      <c r="K845" s="2">
        <f t="shared" si="240"/>
        <v>4445258942859.6504</v>
      </c>
      <c r="L845" s="2">
        <f t="shared" si="241"/>
        <v>6385263659.5431089</v>
      </c>
      <c r="N845" s="42">
        <f t="shared" si="242"/>
        <v>2056029.9552153742</v>
      </c>
      <c r="O845" s="42">
        <f t="shared" si="243"/>
        <v>588178646769.43848</v>
      </c>
      <c r="P845" s="4">
        <f t="shared" si="244"/>
        <v>1341450.2147846257</v>
      </c>
      <c r="Q845" s="4">
        <f t="shared" si="245"/>
        <v>1799488678745.7183</v>
      </c>
      <c r="R845" s="43">
        <f t="shared" si="246"/>
        <v>2.1554446887039687E-3</v>
      </c>
      <c r="S845" s="4">
        <f t="shared" si="247"/>
        <v>1.1035986275431691</v>
      </c>
      <c r="T845" s="30">
        <f t="shared" si="248"/>
        <v>1945058.7659951544</v>
      </c>
      <c r="U845" s="31">
        <f t="shared" si="249"/>
        <v>2167001.1444355943</v>
      </c>
      <c r="V845" s="31">
        <f t="shared" si="250"/>
        <v>4446085.7625089921</v>
      </c>
      <c r="W845" s="42">
        <f t="shared" si="251"/>
        <v>4448846.1750570992</v>
      </c>
    </row>
    <row r="846" spans="2:23" x14ac:dyDescent="0.3">
      <c r="B846" s="2">
        <v>838</v>
      </c>
      <c r="C846" s="2">
        <v>9321</v>
      </c>
      <c r="D846" s="4">
        <v>1422198.1800000002</v>
      </c>
      <c r="E846" s="4">
        <f t="shared" si="234"/>
        <v>13256309235.780001</v>
      </c>
      <c r="F846" s="2">
        <f t="shared" si="235"/>
        <v>86881041</v>
      </c>
      <c r="G846" s="2">
        <f t="shared" si="236"/>
        <v>2022647663195.313</v>
      </c>
      <c r="H846" s="42">
        <f t="shared" si="237"/>
        <v>4296.5190000000002</v>
      </c>
      <c r="I846" s="2">
        <f t="shared" si="238"/>
        <v>18460075.517361</v>
      </c>
      <c r="J846" s="4">
        <f t="shared" si="239"/>
        <v>133096.28319000104</v>
      </c>
      <c r="K846" s="2">
        <f t="shared" si="240"/>
        <v>17714620598.99295</v>
      </c>
      <c r="L846" s="2">
        <f t="shared" si="241"/>
        <v>571850709.55522013</v>
      </c>
      <c r="N846" s="42">
        <f t="shared" si="242"/>
        <v>2377132.3746018847</v>
      </c>
      <c r="O846" s="42">
        <f t="shared" si="243"/>
        <v>1183810320604.0388</v>
      </c>
      <c r="P846" s="4">
        <f t="shared" si="244"/>
        <v>-954934.19460188458</v>
      </c>
      <c r="Q846" s="4">
        <f t="shared" si="245"/>
        <v>911899316019.94995</v>
      </c>
      <c r="R846" s="43">
        <f t="shared" si="246"/>
        <v>3.3255304402627474E-3</v>
      </c>
      <c r="S846" s="4">
        <f t="shared" si="247"/>
        <v>-0.78607650612759061</v>
      </c>
      <c r="T846" s="30">
        <f t="shared" si="248"/>
        <v>2239293.3273755368</v>
      </c>
      <c r="U846" s="31">
        <f t="shared" si="249"/>
        <v>2514971.4218282327</v>
      </c>
      <c r="V846" s="31">
        <f t="shared" si="250"/>
        <v>4765789.269987789</v>
      </c>
      <c r="W846" s="42">
        <f t="shared" si="251"/>
        <v>4771345.0761054419</v>
      </c>
    </row>
    <row r="847" spans="2:23" x14ac:dyDescent="0.3">
      <c r="B847" s="2">
        <v>839</v>
      </c>
      <c r="C847" s="2">
        <v>9121</v>
      </c>
      <c r="D847" s="4">
        <v>1876189.7</v>
      </c>
      <c r="E847" s="4">
        <f t="shared" si="234"/>
        <v>17112726253.699999</v>
      </c>
      <c r="F847" s="2">
        <f t="shared" si="235"/>
        <v>83192641</v>
      </c>
      <c r="G847" s="2">
        <f t="shared" si="236"/>
        <v>3520087790386.0898</v>
      </c>
      <c r="H847" s="42">
        <f t="shared" si="237"/>
        <v>4096.5190000000002</v>
      </c>
      <c r="I847" s="2">
        <f t="shared" si="238"/>
        <v>16781467.917361002</v>
      </c>
      <c r="J847" s="4">
        <f t="shared" si="239"/>
        <v>587087.80319000082</v>
      </c>
      <c r="K847" s="2">
        <f t="shared" si="240"/>
        <v>344672088654.46112</v>
      </c>
      <c r="L847" s="2">
        <f t="shared" si="241"/>
        <v>2405016340.4360991</v>
      </c>
      <c r="N847" s="42">
        <f t="shared" si="242"/>
        <v>2326485.3052980187</v>
      </c>
      <c r="O847" s="42">
        <f t="shared" si="243"/>
        <v>1076164336206.2213</v>
      </c>
      <c r="P847" s="4">
        <f t="shared" si="244"/>
        <v>-450295.60529801878</v>
      </c>
      <c r="Q847" s="4">
        <f t="shared" si="245"/>
        <v>202766132150.70911</v>
      </c>
      <c r="R847" s="43">
        <f t="shared" si="246"/>
        <v>3.1140658085289739E-3</v>
      </c>
      <c r="S847" s="4">
        <f t="shared" si="247"/>
        <v>-0.37063208492009048</v>
      </c>
      <c r="T847" s="30">
        <f t="shared" si="248"/>
        <v>2193100.7049653367</v>
      </c>
      <c r="U847" s="31">
        <f t="shared" si="249"/>
        <v>2459869.9056307008</v>
      </c>
      <c r="V847" s="31">
        <f t="shared" si="250"/>
        <v>4715395.0807414083</v>
      </c>
      <c r="W847" s="42">
        <f t="shared" si="251"/>
        <v>4720445.6869055759</v>
      </c>
    </row>
    <row r="848" spans="2:23" x14ac:dyDescent="0.3">
      <c r="B848" s="2">
        <v>840</v>
      </c>
      <c r="C848" s="2">
        <v>2300</v>
      </c>
      <c r="D848" s="4">
        <v>187979</v>
      </c>
      <c r="E848" s="4">
        <f t="shared" si="234"/>
        <v>432351700</v>
      </c>
      <c r="F848" s="2">
        <f t="shared" si="235"/>
        <v>5290000</v>
      </c>
      <c r="G848" s="2">
        <f t="shared" si="236"/>
        <v>35336104441</v>
      </c>
      <c r="H848" s="42">
        <f t="shared" si="237"/>
        <v>-2724.4809999999998</v>
      </c>
      <c r="I848" s="2">
        <f t="shared" si="238"/>
        <v>7422796.7193609988</v>
      </c>
      <c r="J848" s="4">
        <f t="shared" si="239"/>
        <v>-1101122.8968099991</v>
      </c>
      <c r="K848" s="2">
        <f t="shared" si="240"/>
        <v>1212471633879.2439</v>
      </c>
      <c r="L848" s="2">
        <f t="shared" si="241"/>
        <v>2999988411.0238028</v>
      </c>
      <c r="N848" s="42">
        <f t="shared" si="242"/>
        <v>599167.0066896684</v>
      </c>
      <c r="O848" s="42">
        <f t="shared" si="243"/>
        <v>476010152605.35284</v>
      </c>
      <c r="P848" s="4">
        <f t="shared" si="244"/>
        <v>-411188.0066896684</v>
      </c>
      <c r="Q848" s="4">
        <f t="shared" si="245"/>
        <v>169075576845.42279</v>
      </c>
      <c r="R848" s="43">
        <f t="shared" si="246"/>
        <v>1.9350958346038326E-3</v>
      </c>
      <c r="S848" s="4">
        <f t="shared" si="247"/>
        <v>-0.33824320833915189</v>
      </c>
      <c r="T848" s="30">
        <f t="shared" si="248"/>
        <v>494020.9384036613</v>
      </c>
      <c r="U848" s="31">
        <f t="shared" si="249"/>
        <v>704313.07497567544</v>
      </c>
      <c r="V848" s="31">
        <f t="shared" si="250"/>
        <v>2989486.1634423584</v>
      </c>
      <c r="W848" s="42">
        <f t="shared" si="251"/>
        <v>2991720.1519252555</v>
      </c>
    </row>
    <row r="849" spans="2:23" x14ac:dyDescent="0.3">
      <c r="B849" s="2">
        <v>841</v>
      </c>
      <c r="C849" s="2">
        <v>738</v>
      </c>
      <c r="D849" s="4">
        <v>188396.64</v>
      </c>
      <c r="E849" s="4">
        <f t="shared" si="234"/>
        <v>139036720.32000002</v>
      </c>
      <c r="F849" s="2">
        <f t="shared" si="235"/>
        <v>544644</v>
      </c>
      <c r="G849" s="2">
        <f t="shared" si="236"/>
        <v>35493293963.289604</v>
      </c>
      <c r="H849" s="42">
        <f t="shared" si="237"/>
        <v>-4286.4809999999998</v>
      </c>
      <c r="I849" s="2">
        <f t="shared" si="238"/>
        <v>18373919.363360997</v>
      </c>
      <c r="J849" s="4">
        <f t="shared" si="239"/>
        <v>-1100705.2568099992</v>
      </c>
      <c r="K849" s="2">
        <f t="shared" si="240"/>
        <v>1211552062369.1663</v>
      </c>
      <c r="L849" s="2">
        <f t="shared" si="241"/>
        <v>4718152169.9161825</v>
      </c>
      <c r="N849" s="42">
        <f t="shared" si="242"/>
        <v>203613.39542647486</v>
      </c>
      <c r="O849" s="42">
        <f t="shared" si="243"/>
        <v>1178285286635.8496</v>
      </c>
      <c r="P849" s="4">
        <f t="shared" si="244"/>
        <v>-15216.755426474847</v>
      </c>
      <c r="Q849" s="4">
        <f t="shared" si="245"/>
        <v>231549645.70915169</v>
      </c>
      <c r="R849" s="43">
        <f t="shared" si="246"/>
        <v>3.3146768140923373E-3</v>
      </c>
      <c r="S849" s="4">
        <f t="shared" si="247"/>
        <v>-1.2525961347693433E-2</v>
      </c>
      <c r="T849" s="30">
        <f t="shared" si="248"/>
        <v>65999.46659718774</v>
      </c>
      <c r="U849" s="31">
        <f t="shared" si="249"/>
        <v>341227.32425576198</v>
      </c>
      <c r="V849" s="31">
        <f t="shared" si="250"/>
        <v>2592283.2707769936</v>
      </c>
      <c r="W849" s="42">
        <f t="shared" si="251"/>
        <v>2597813.1470154114</v>
      </c>
    </row>
    <row r="850" spans="2:23" x14ac:dyDescent="0.3">
      <c r="B850" s="2">
        <v>842</v>
      </c>
      <c r="C850" s="2">
        <v>8347</v>
      </c>
      <c r="D850" s="4">
        <v>682200.31</v>
      </c>
      <c r="E850" s="4">
        <f t="shared" si="234"/>
        <v>5694325987.5700006</v>
      </c>
      <c r="F850" s="2">
        <f t="shared" si="235"/>
        <v>69672409</v>
      </c>
      <c r="G850" s="2">
        <f t="shared" si="236"/>
        <v>465397262964.09619</v>
      </c>
      <c r="H850" s="42">
        <f t="shared" si="237"/>
        <v>3322.5190000000002</v>
      </c>
      <c r="I850" s="2">
        <f t="shared" si="238"/>
        <v>11039132.505361002</v>
      </c>
      <c r="J850" s="4">
        <f t="shared" si="239"/>
        <v>-606901.58680999908</v>
      </c>
      <c r="K850" s="2">
        <f t="shared" si="240"/>
        <v>368329536072.49487</v>
      </c>
      <c r="L850" s="2">
        <f t="shared" si="241"/>
        <v>-2016442053.3063715</v>
      </c>
      <c r="N850" s="42">
        <f t="shared" si="242"/>
        <v>2130481.1470920574</v>
      </c>
      <c r="O850" s="42">
        <f t="shared" si="243"/>
        <v>707919042805.19849</v>
      </c>
      <c r="P850" s="4">
        <f t="shared" si="244"/>
        <v>-1448280.8370920573</v>
      </c>
      <c r="Q850" s="4">
        <f t="shared" si="245"/>
        <v>2097517383088.0703</v>
      </c>
      <c r="R850" s="43">
        <f t="shared" si="246"/>
        <v>2.3906681286957679E-3</v>
      </c>
      <c r="S850" s="4">
        <f t="shared" si="247"/>
        <v>-1.1916276482850527</v>
      </c>
      <c r="T850" s="30">
        <f t="shared" si="248"/>
        <v>2013611.5774942064</v>
      </c>
      <c r="U850" s="31">
        <f t="shared" si="249"/>
        <v>2247350.7166899084</v>
      </c>
      <c r="V850" s="31">
        <f t="shared" si="250"/>
        <v>4520255.7955718897</v>
      </c>
      <c r="W850" s="42">
        <f t="shared" si="251"/>
        <v>4523578.1684011985</v>
      </c>
    </row>
    <row r="851" spans="2:23" x14ac:dyDescent="0.3">
      <c r="B851" s="2">
        <v>843</v>
      </c>
      <c r="C851" s="2">
        <v>6070</v>
      </c>
      <c r="D851" s="4">
        <v>1549549.6</v>
      </c>
      <c r="E851" s="4">
        <f t="shared" si="234"/>
        <v>9405766072</v>
      </c>
      <c r="F851" s="2">
        <f t="shared" si="235"/>
        <v>36844900</v>
      </c>
      <c r="G851" s="2">
        <f t="shared" si="236"/>
        <v>2401103962860.1602</v>
      </c>
      <c r="H851" s="42">
        <f t="shared" si="237"/>
        <v>1045.5190000000002</v>
      </c>
      <c r="I851" s="2">
        <f t="shared" si="238"/>
        <v>1093109.9793610005</v>
      </c>
      <c r="J851" s="4">
        <f t="shared" si="239"/>
        <v>260447.70319000096</v>
      </c>
      <c r="K851" s="2">
        <f t="shared" si="240"/>
        <v>67833006096.946838</v>
      </c>
      <c r="L851" s="2">
        <f t="shared" si="241"/>
        <v>272303022.19150668</v>
      </c>
      <c r="N851" s="42">
        <f t="shared" si="242"/>
        <v>1553864.2630675426</v>
      </c>
      <c r="O851" s="42">
        <f t="shared" si="243"/>
        <v>70099110586.293579</v>
      </c>
      <c r="P851" s="4">
        <f t="shared" si="244"/>
        <v>-4314.6630675424822</v>
      </c>
      <c r="Q851" s="4">
        <f t="shared" si="245"/>
        <v>18616317.386415102</v>
      </c>
      <c r="R851" s="43">
        <f t="shared" si="246"/>
        <v>1.1377058576585062E-3</v>
      </c>
      <c r="S851" s="4">
        <f t="shared" si="247"/>
        <v>-3.5478243977065094E-3</v>
      </c>
      <c r="T851" s="30">
        <f t="shared" si="248"/>
        <v>1473241.6637716915</v>
      </c>
      <c r="U851" s="31">
        <f t="shared" si="249"/>
        <v>1634486.8623633937</v>
      </c>
      <c r="V851" s="31">
        <f t="shared" si="250"/>
        <v>3945136.1763592274</v>
      </c>
      <c r="W851" s="42">
        <f t="shared" si="251"/>
        <v>3945465.1621763203</v>
      </c>
    </row>
    <row r="852" spans="2:23" x14ac:dyDescent="0.3">
      <c r="B852" s="2">
        <v>844</v>
      </c>
      <c r="C852" s="2">
        <v>6879</v>
      </c>
      <c r="D852" s="4">
        <v>64181.07</v>
      </c>
      <c r="E852" s="4">
        <f t="shared" si="234"/>
        <v>441501580.52999997</v>
      </c>
      <c r="F852" s="2">
        <f t="shared" si="235"/>
        <v>47320641</v>
      </c>
      <c r="G852" s="2">
        <f t="shared" si="236"/>
        <v>4119209746.3449001</v>
      </c>
      <c r="H852" s="42">
        <f t="shared" si="237"/>
        <v>1854.5190000000002</v>
      </c>
      <c r="I852" s="2">
        <f t="shared" si="238"/>
        <v>3439240.721361001</v>
      </c>
      <c r="J852" s="4">
        <f t="shared" si="239"/>
        <v>-1224920.8268099991</v>
      </c>
      <c r="K852" s="2">
        <f t="shared" si="240"/>
        <v>1500431031952.8918</v>
      </c>
      <c r="L852" s="2">
        <f t="shared" si="241"/>
        <v>-2271638946.8148527</v>
      </c>
      <c r="N852" s="42">
        <f t="shared" si="242"/>
        <v>1758731.6584016806</v>
      </c>
      <c r="O852" s="42">
        <f t="shared" si="243"/>
        <v>220552112972.65961</v>
      </c>
      <c r="P852" s="4">
        <f t="shared" si="244"/>
        <v>-1694550.5884016806</v>
      </c>
      <c r="Q852" s="4">
        <f t="shared" si="245"/>
        <v>2871501696652.4819</v>
      </c>
      <c r="R852" s="43">
        <f t="shared" si="246"/>
        <v>1.4332625281729941E-3</v>
      </c>
      <c r="S852" s="4">
        <f t="shared" si="247"/>
        <v>-1.393586816521396</v>
      </c>
      <c r="T852" s="30">
        <f t="shared" si="248"/>
        <v>1668240.8074796963</v>
      </c>
      <c r="U852" s="31">
        <f t="shared" si="249"/>
        <v>1849222.5093236649</v>
      </c>
      <c r="V852" s="31">
        <f t="shared" si="250"/>
        <v>4149650.4718945837</v>
      </c>
      <c r="W852" s="42">
        <f t="shared" si="251"/>
        <v>4150685.5566198882</v>
      </c>
    </row>
    <row r="853" spans="2:23" x14ac:dyDescent="0.3">
      <c r="B853" s="2">
        <v>845</v>
      </c>
      <c r="C853" s="2">
        <v>779</v>
      </c>
      <c r="D853" s="4">
        <v>520582.32999999996</v>
      </c>
      <c r="E853" s="4">
        <f t="shared" si="234"/>
        <v>405533635.06999999</v>
      </c>
      <c r="F853" s="2">
        <f t="shared" si="235"/>
        <v>606841</v>
      </c>
      <c r="G853" s="2">
        <f t="shared" si="236"/>
        <v>271005962308.22885</v>
      </c>
      <c r="H853" s="42">
        <f t="shared" si="237"/>
        <v>-4245.4809999999998</v>
      </c>
      <c r="I853" s="2">
        <f t="shared" si="238"/>
        <v>18024108.921360999</v>
      </c>
      <c r="J853" s="4">
        <f t="shared" si="239"/>
        <v>-768519.56680999917</v>
      </c>
      <c r="K853" s="2">
        <f t="shared" si="240"/>
        <v>590622324569.82874</v>
      </c>
      <c r="L853" s="2">
        <f t="shared" si="241"/>
        <v>3262735219.020082</v>
      </c>
      <c r="N853" s="42">
        <f t="shared" si="242"/>
        <v>213996.04463376739</v>
      </c>
      <c r="O853" s="42">
        <f t="shared" si="243"/>
        <v>1155852593383.5815</v>
      </c>
      <c r="P853" s="4">
        <f t="shared" si="244"/>
        <v>306586.28536623257</v>
      </c>
      <c r="Q853" s="4">
        <f t="shared" si="245"/>
        <v>93995150374.664993</v>
      </c>
      <c r="R853" s="43">
        <f t="shared" si="246"/>
        <v>3.270609018680141E-3</v>
      </c>
      <c r="S853" s="4">
        <f t="shared" si="247"/>
        <v>0.25236674688500904</v>
      </c>
      <c r="T853" s="30">
        <f t="shared" si="248"/>
        <v>77299.94790217944</v>
      </c>
      <c r="U853" s="31">
        <f t="shared" si="249"/>
        <v>350692.14136535535</v>
      </c>
      <c r="V853" s="31">
        <f t="shared" si="250"/>
        <v>2602718.6203953903</v>
      </c>
      <c r="W853" s="42">
        <f t="shared" si="251"/>
        <v>2608143.216376212</v>
      </c>
    </row>
    <row r="854" spans="2:23" x14ac:dyDescent="0.3">
      <c r="B854" s="2">
        <v>846</v>
      </c>
      <c r="C854" s="2">
        <v>9807</v>
      </c>
      <c r="D854" s="4">
        <v>91499.31</v>
      </c>
      <c r="E854" s="4">
        <f t="shared" si="234"/>
        <v>897333733.16999996</v>
      </c>
      <c r="F854" s="2">
        <f t="shared" si="235"/>
        <v>96177249</v>
      </c>
      <c r="G854" s="2">
        <f t="shared" si="236"/>
        <v>8372123730.4761</v>
      </c>
      <c r="H854" s="42">
        <f t="shared" si="237"/>
        <v>4782.5190000000002</v>
      </c>
      <c r="I854" s="2">
        <f t="shared" si="238"/>
        <v>22872487.985361002</v>
      </c>
      <c r="J854" s="4">
        <f t="shared" si="239"/>
        <v>-1197602.5868099991</v>
      </c>
      <c r="K854" s="2">
        <f t="shared" si="240"/>
        <v>1434251955934.0015</v>
      </c>
      <c r="L854" s="2">
        <f t="shared" si="241"/>
        <v>-5727557125.8679705</v>
      </c>
      <c r="N854" s="42">
        <f t="shared" si="242"/>
        <v>2500204.753010279</v>
      </c>
      <c r="O854" s="42">
        <f t="shared" si="243"/>
        <v>1466770128296.4758</v>
      </c>
      <c r="P854" s="4">
        <f t="shared" si="244"/>
        <v>-2408705.443010279</v>
      </c>
      <c r="Q854" s="4">
        <f t="shared" si="245"/>
        <v>5801861911187.3447</v>
      </c>
      <c r="R854" s="43">
        <f t="shared" si="246"/>
        <v>3.881389461515321E-3</v>
      </c>
      <c r="S854" s="4">
        <f t="shared" si="247"/>
        <v>-1.9833355906926728</v>
      </c>
      <c r="T854" s="30">
        <f t="shared" si="248"/>
        <v>2351290.7939825845</v>
      </c>
      <c r="U854" s="31">
        <f t="shared" si="249"/>
        <v>2649118.7120379736</v>
      </c>
      <c r="V854" s="31">
        <f t="shared" si="250"/>
        <v>4888196.7964688819</v>
      </c>
      <c r="W854" s="42">
        <f t="shared" si="251"/>
        <v>4895080.5794977397</v>
      </c>
    </row>
    <row r="855" spans="2:23" x14ac:dyDescent="0.3">
      <c r="B855" s="2">
        <v>847</v>
      </c>
      <c r="C855" s="2">
        <v>3031</v>
      </c>
      <c r="D855" s="4">
        <v>1325153.2</v>
      </c>
      <c r="E855" s="4">
        <f t="shared" si="234"/>
        <v>4016539349.1999998</v>
      </c>
      <c r="F855" s="2">
        <f t="shared" si="235"/>
        <v>9186961</v>
      </c>
      <c r="G855" s="2">
        <f t="shared" si="236"/>
        <v>1756031003470.24</v>
      </c>
      <c r="H855" s="42">
        <f t="shared" si="237"/>
        <v>-1993.4809999999998</v>
      </c>
      <c r="I855" s="2">
        <f t="shared" si="238"/>
        <v>3973966.4973609992</v>
      </c>
      <c r="J855" s="4">
        <f t="shared" si="239"/>
        <v>36051.303190000821</v>
      </c>
      <c r="K855" s="2">
        <f t="shared" si="240"/>
        <v>1299696461.6973634</v>
      </c>
      <c r="L855" s="2">
        <f t="shared" si="241"/>
        <v>-71867587.934506014</v>
      </c>
      <c r="N855" s="42">
        <f t="shared" si="242"/>
        <v>784282.04499529861</v>
      </c>
      <c r="O855" s="42">
        <f t="shared" si="243"/>
        <v>254843082786.21619</v>
      </c>
      <c r="P855" s="4">
        <f t="shared" si="244"/>
        <v>540871.15500470134</v>
      </c>
      <c r="Q855" s="4">
        <f t="shared" si="245"/>
        <v>292541606316.11969</v>
      </c>
      <c r="R855" s="43">
        <f t="shared" si="246"/>
        <v>1.5006252574376513E-3</v>
      </c>
      <c r="S855" s="4">
        <f t="shared" si="247"/>
        <v>0.44482374341320507</v>
      </c>
      <c r="T855" s="30">
        <f t="shared" si="248"/>
        <v>691689.09417967964</v>
      </c>
      <c r="U855" s="31">
        <f t="shared" si="249"/>
        <v>876874.99581091758</v>
      </c>
      <c r="V855" s="31">
        <f t="shared" si="250"/>
        <v>3175120.3733383408</v>
      </c>
      <c r="W855" s="42">
        <f t="shared" si="251"/>
        <v>3176316.3908276148</v>
      </c>
    </row>
    <row r="856" spans="2:23" x14ac:dyDescent="0.3">
      <c r="B856" s="2">
        <v>848</v>
      </c>
      <c r="C856" s="2">
        <v>1548</v>
      </c>
      <c r="D856" s="4">
        <v>238484.88</v>
      </c>
      <c r="E856" s="4">
        <f t="shared" si="234"/>
        <v>369174594.24000001</v>
      </c>
      <c r="F856" s="2">
        <f t="shared" si="235"/>
        <v>2396304</v>
      </c>
      <c r="G856" s="2">
        <f t="shared" si="236"/>
        <v>56875037988.614403</v>
      </c>
      <c r="H856" s="42">
        <f t="shared" si="237"/>
        <v>-3476.4809999999998</v>
      </c>
      <c r="I856" s="2">
        <f t="shared" si="238"/>
        <v>12085920.143360998</v>
      </c>
      <c r="J856" s="4">
        <f t="shared" si="239"/>
        <v>-1050617.016809999</v>
      </c>
      <c r="K856" s="2">
        <f t="shared" si="240"/>
        <v>1103796116010.7417</v>
      </c>
      <c r="L856" s="2">
        <f t="shared" si="241"/>
        <v>3652450097.2166419</v>
      </c>
      <c r="N856" s="42">
        <f t="shared" si="242"/>
        <v>408734.0261071322</v>
      </c>
      <c r="O856" s="42">
        <f t="shared" si="243"/>
        <v>775047587765.89978</v>
      </c>
      <c r="P856" s="4">
        <f t="shared" si="244"/>
        <v>-170249.1461071322</v>
      </c>
      <c r="Q856" s="4">
        <f t="shared" si="245"/>
        <v>28984771750.207645</v>
      </c>
      <c r="R856" s="43">
        <f t="shared" si="246"/>
        <v>2.5225384731247672E-3</v>
      </c>
      <c r="S856" s="4">
        <f t="shared" si="247"/>
        <v>-0.14008816128196708</v>
      </c>
      <c r="T856" s="30">
        <f t="shared" si="248"/>
        <v>288684.43142308737</v>
      </c>
      <c r="U856" s="31">
        <f t="shared" si="249"/>
        <v>528783.62079117703</v>
      </c>
      <c r="V856" s="31">
        <f t="shared" si="250"/>
        <v>2798351.0376031362</v>
      </c>
      <c r="W856" s="42">
        <f t="shared" si="251"/>
        <v>2801988.4551815875</v>
      </c>
    </row>
    <row r="857" spans="2:23" x14ac:dyDescent="0.3">
      <c r="B857" s="2">
        <v>849</v>
      </c>
      <c r="C857" s="2">
        <v>3489</v>
      </c>
      <c r="D857" s="4">
        <v>381277.92</v>
      </c>
      <c r="E857" s="4">
        <f t="shared" si="234"/>
        <v>1330278662.8799999</v>
      </c>
      <c r="F857" s="2">
        <f t="shared" si="235"/>
        <v>12173121</v>
      </c>
      <c r="G857" s="2">
        <f t="shared" si="236"/>
        <v>145372852279.5264</v>
      </c>
      <c r="H857" s="42">
        <f t="shared" si="237"/>
        <v>-1535.4809999999998</v>
      </c>
      <c r="I857" s="2">
        <f t="shared" si="238"/>
        <v>2357701.9013609993</v>
      </c>
      <c r="J857" s="4">
        <f t="shared" si="239"/>
        <v>-907823.97680999921</v>
      </c>
      <c r="K857" s="2">
        <f t="shared" si="240"/>
        <v>824144372871.12195</v>
      </c>
      <c r="L857" s="2">
        <f t="shared" si="241"/>
        <v>1393946467.7361941</v>
      </c>
      <c r="N857" s="42">
        <f t="shared" si="242"/>
        <v>900263.83370115189</v>
      </c>
      <c r="O857" s="42">
        <f t="shared" si="243"/>
        <v>151195039322.23987</v>
      </c>
      <c r="P857" s="4">
        <f t="shared" si="244"/>
        <v>-518985.91370115191</v>
      </c>
      <c r="Q857" s="4">
        <f t="shared" si="245"/>
        <v>269346378620.21948</v>
      </c>
      <c r="R857" s="43">
        <f t="shared" si="246"/>
        <v>1.2970143613726766E-3</v>
      </c>
      <c r="S857" s="4">
        <f t="shared" si="247"/>
        <v>-0.42678135176299825</v>
      </c>
      <c r="T857" s="30">
        <f t="shared" si="248"/>
        <v>814181.46849292936</v>
      </c>
      <c r="U857" s="31">
        <f t="shared" si="249"/>
        <v>986346.19890937442</v>
      </c>
      <c r="V857" s="31">
        <f t="shared" si="250"/>
        <v>3291345.4285479384</v>
      </c>
      <c r="W857" s="42">
        <f t="shared" si="251"/>
        <v>3292055.0099330014</v>
      </c>
    </row>
    <row r="858" spans="2:23" x14ac:dyDescent="0.3">
      <c r="B858" s="2">
        <v>850</v>
      </c>
      <c r="C858" s="2">
        <v>9014</v>
      </c>
      <c r="D858" s="4">
        <v>2301093.92</v>
      </c>
      <c r="E858" s="4">
        <f t="shared" si="234"/>
        <v>20742060594.880001</v>
      </c>
      <c r="F858" s="2">
        <f t="shared" si="235"/>
        <v>81252196</v>
      </c>
      <c r="G858" s="2">
        <f t="shared" si="236"/>
        <v>5295033228660.9658</v>
      </c>
      <c r="H858" s="42">
        <f t="shared" si="237"/>
        <v>3989.5190000000002</v>
      </c>
      <c r="I858" s="2">
        <f t="shared" si="238"/>
        <v>15916261.851361003</v>
      </c>
      <c r="J858" s="4">
        <f t="shared" si="239"/>
        <v>1011992.0231900008</v>
      </c>
      <c r="K858" s="2">
        <f t="shared" si="240"/>
        <v>1024127855000.1912</v>
      </c>
      <c r="L858" s="2">
        <f t="shared" si="241"/>
        <v>4037361404.3649492</v>
      </c>
      <c r="N858" s="42">
        <f t="shared" si="242"/>
        <v>2299389.1232204502</v>
      </c>
      <c r="O858" s="42">
        <f t="shared" si="243"/>
        <v>1020680279848.1221</v>
      </c>
      <c r="P858" s="4">
        <f t="shared" si="244"/>
        <v>1704.7967795496807</v>
      </c>
      <c r="Q858" s="4">
        <f t="shared" si="245"/>
        <v>2906332.0595629625</v>
      </c>
      <c r="R858" s="43">
        <f t="shared" si="246"/>
        <v>3.0050704232343303E-3</v>
      </c>
      <c r="S858" s="4">
        <f t="shared" si="247"/>
        <v>1.403117947643156E-3</v>
      </c>
      <c r="T858" s="30">
        <f t="shared" si="248"/>
        <v>2168359.6105468804</v>
      </c>
      <c r="U858" s="31">
        <f t="shared" si="249"/>
        <v>2430418.6358940201</v>
      </c>
      <c r="V858" s="31">
        <f t="shared" si="250"/>
        <v>4688429.2303813621</v>
      </c>
      <c r="W858" s="42">
        <f t="shared" si="251"/>
        <v>4693219.4409940736</v>
      </c>
    </row>
    <row r="859" spans="2:23" x14ac:dyDescent="0.3">
      <c r="B859" s="2">
        <v>851</v>
      </c>
      <c r="C859" s="2">
        <v>5317</v>
      </c>
      <c r="D859" s="4">
        <v>1357323.76</v>
      </c>
      <c r="E859" s="4">
        <f t="shared" si="234"/>
        <v>7216890431.9200001</v>
      </c>
      <c r="F859" s="2">
        <f t="shared" si="235"/>
        <v>28270489</v>
      </c>
      <c r="G859" s="2">
        <f t="shared" si="236"/>
        <v>1842327789460.5376</v>
      </c>
      <c r="H859" s="42">
        <f t="shared" si="237"/>
        <v>292.51900000000023</v>
      </c>
      <c r="I859" s="2">
        <f t="shared" si="238"/>
        <v>85567.365361000135</v>
      </c>
      <c r="J859" s="4">
        <f t="shared" si="239"/>
        <v>68221.863190000877</v>
      </c>
      <c r="K859" s="2">
        <f t="shared" si="240"/>
        <v>4654222617.1151962</v>
      </c>
      <c r="L859" s="2">
        <f t="shared" si="241"/>
        <v>19956191.198475882</v>
      </c>
      <c r="N859" s="42">
        <f t="shared" si="242"/>
        <v>1363178.0471384872</v>
      </c>
      <c r="O859" s="42">
        <f t="shared" si="243"/>
        <v>5487276047.4887657</v>
      </c>
      <c r="P859" s="4">
        <f t="shared" si="244"/>
        <v>-5854.2871384872124</v>
      </c>
      <c r="Q859" s="4">
        <f t="shared" si="245"/>
        <v>34272677.899856791</v>
      </c>
      <c r="R859" s="43">
        <f t="shared" si="246"/>
        <v>1.0107794528062979E-3</v>
      </c>
      <c r="S859" s="4">
        <f t="shared" si="247"/>
        <v>-4.8135075464222632E-3</v>
      </c>
      <c r="T859" s="30">
        <f t="shared" si="248"/>
        <v>1287185.6750331032</v>
      </c>
      <c r="U859" s="31">
        <f t="shared" si="249"/>
        <v>1439170.4192438712</v>
      </c>
      <c r="V859" s="31">
        <f t="shared" si="250"/>
        <v>3754601.5826496463</v>
      </c>
      <c r="W859" s="42">
        <f t="shared" si="251"/>
        <v>3754627.3352729641</v>
      </c>
    </row>
    <row r="860" spans="2:23" x14ac:dyDescent="0.3">
      <c r="B860" s="2">
        <v>852</v>
      </c>
      <c r="C860" s="2">
        <v>1620</v>
      </c>
      <c r="D860" s="4">
        <v>15114.6</v>
      </c>
      <c r="E860" s="4">
        <f t="shared" si="234"/>
        <v>24485652</v>
      </c>
      <c r="F860" s="2">
        <f t="shared" si="235"/>
        <v>2624400</v>
      </c>
      <c r="G860" s="2">
        <f t="shared" si="236"/>
        <v>228451133.16</v>
      </c>
      <c r="H860" s="42">
        <f t="shared" si="237"/>
        <v>-3404.4809999999998</v>
      </c>
      <c r="I860" s="2">
        <f t="shared" si="238"/>
        <v>11590490.879360998</v>
      </c>
      <c r="J860" s="4">
        <f t="shared" si="239"/>
        <v>-1273987.296809999</v>
      </c>
      <c r="K860" s="2">
        <f t="shared" si="240"/>
        <v>1623043632433.2485</v>
      </c>
      <c r="L860" s="2">
        <f t="shared" si="241"/>
        <v>4337265546.2310019</v>
      </c>
      <c r="N860" s="42">
        <f t="shared" si="242"/>
        <v>426966.97105652397</v>
      </c>
      <c r="O860" s="42">
        <f t="shared" si="243"/>
        <v>743276630203.9502</v>
      </c>
      <c r="P860" s="4">
        <f t="shared" si="244"/>
        <v>-411852.37105652399</v>
      </c>
      <c r="Q860" s="4">
        <f t="shared" si="245"/>
        <v>169622375544.88071</v>
      </c>
      <c r="R860" s="43">
        <f t="shared" si="246"/>
        <v>2.4601261697002534E-3</v>
      </c>
      <c r="S860" s="4">
        <f t="shared" si="247"/>
        <v>-0.33887885944033963</v>
      </c>
      <c r="T860" s="30">
        <f t="shared" si="248"/>
        <v>308411.80335759785</v>
      </c>
      <c r="U860" s="31">
        <f t="shared" si="249"/>
        <v>545522.13875545014</v>
      </c>
      <c r="V860" s="31">
        <f t="shared" si="250"/>
        <v>2816658.5911252666</v>
      </c>
      <c r="W860" s="42">
        <f t="shared" si="251"/>
        <v>2820146.9026305825</v>
      </c>
    </row>
    <row r="861" spans="2:23" x14ac:dyDescent="0.3">
      <c r="B861" s="2">
        <v>853</v>
      </c>
      <c r="C861" s="2">
        <v>4179</v>
      </c>
      <c r="D861" s="4">
        <v>2721406.5900000003</v>
      </c>
      <c r="E861" s="4">
        <f t="shared" si="234"/>
        <v>11372758139.610001</v>
      </c>
      <c r="F861" s="2">
        <f t="shared" si="235"/>
        <v>17464041</v>
      </c>
      <c r="G861" s="2">
        <f t="shared" si="236"/>
        <v>7406053828095.4297</v>
      </c>
      <c r="H861" s="42">
        <f t="shared" si="237"/>
        <v>-845.48099999999977</v>
      </c>
      <c r="I861" s="2">
        <f t="shared" si="238"/>
        <v>714838.12136099965</v>
      </c>
      <c r="J861" s="4">
        <f t="shared" si="239"/>
        <v>1432304.6931900012</v>
      </c>
      <c r="K861" s="2">
        <f t="shared" si="240"/>
        <v>2051496734134.1035</v>
      </c>
      <c r="L861" s="2">
        <f t="shared" si="241"/>
        <v>-1210986404.3029749</v>
      </c>
      <c r="N861" s="42">
        <f t="shared" si="242"/>
        <v>1074996.2227994895</v>
      </c>
      <c r="O861" s="42">
        <f t="shared" si="243"/>
        <v>45841239643.494614</v>
      </c>
      <c r="P861" s="4">
        <f t="shared" si="244"/>
        <v>1646410.3672005108</v>
      </c>
      <c r="Q861" s="4">
        <f t="shared" si="245"/>
        <v>2710667097225.3208</v>
      </c>
      <c r="R861" s="43">
        <f t="shared" si="246"/>
        <v>1.0900526007882167E-3</v>
      </c>
      <c r="S861" s="4">
        <f t="shared" si="247"/>
        <v>1.3537640017111914</v>
      </c>
      <c r="T861" s="30">
        <f t="shared" si="248"/>
        <v>996080.13878647902</v>
      </c>
      <c r="U861" s="31">
        <f t="shared" si="249"/>
        <v>1153912.3068124999</v>
      </c>
      <c r="V861" s="31">
        <f t="shared" si="250"/>
        <v>3466325.0622732546</v>
      </c>
      <c r="W861" s="42">
        <f t="shared" si="251"/>
        <v>3466540.2022020519</v>
      </c>
    </row>
    <row r="862" spans="2:23" x14ac:dyDescent="0.3">
      <c r="B862" s="2">
        <v>854</v>
      </c>
      <c r="C862" s="2">
        <v>1280</v>
      </c>
      <c r="D862" s="4">
        <v>326758.40000000002</v>
      </c>
      <c r="E862" s="4">
        <f t="shared" si="234"/>
        <v>418250752</v>
      </c>
      <c r="F862" s="2">
        <f t="shared" si="235"/>
        <v>1638400</v>
      </c>
      <c r="G862" s="2">
        <f t="shared" si="236"/>
        <v>106771051970.56001</v>
      </c>
      <c r="H862" s="42">
        <f t="shared" si="237"/>
        <v>-3744.4809999999998</v>
      </c>
      <c r="I862" s="2">
        <f t="shared" si="238"/>
        <v>14021137.959360998</v>
      </c>
      <c r="J862" s="4">
        <f t="shared" si="239"/>
        <v>-962343.49680999911</v>
      </c>
      <c r="K862" s="2">
        <f t="shared" si="240"/>
        <v>926105005852.49683</v>
      </c>
      <c r="L862" s="2">
        <f t="shared" si="241"/>
        <v>3603476939.2786021</v>
      </c>
      <c r="N862" s="42">
        <f t="shared" si="242"/>
        <v>340866.95323995175</v>
      </c>
      <c r="O862" s="42">
        <f t="shared" si="243"/>
        <v>899149508207.29089</v>
      </c>
      <c r="P862" s="4">
        <f t="shared" si="244"/>
        <v>-14108.553239951725</v>
      </c>
      <c r="Q862" s="4">
        <f t="shared" si="245"/>
        <v>199051274.52455232</v>
      </c>
      <c r="R862" s="43">
        <f t="shared" si="246"/>
        <v>2.7663298885723542E-3</v>
      </c>
      <c r="S862" s="4">
        <f t="shared" si="247"/>
        <v>-1.1610530215213988E-2</v>
      </c>
      <c r="T862" s="30">
        <f t="shared" si="248"/>
        <v>215150.01853253524</v>
      </c>
      <c r="U862" s="31">
        <f t="shared" si="249"/>
        <v>466583.88794736826</v>
      </c>
      <c r="V862" s="31">
        <f t="shared" si="250"/>
        <v>2730192.5106185745</v>
      </c>
      <c r="W862" s="42">
        <f t="shared" si="251"/>
        <v>2734412.3580261073</v>
      </c>
    </row>
    <row r="863" spans="2:23" x14ac:dyDescent="0.3">
      <c r="B863" s="2">
        <v>855</v>
      </c>
      <c r="C863" s="2">
        <v>8240</v>
      </c>
      <c r="D863" s="4">
        <v>3476373.6</v>
      </c>
      <c r="E863" s="4">
        <f t="shared" si="234"/>
        <v>28645318464</v>
      </c>
      <c r="F863" s="2">
        <f t="shared" si="235"/>
        <v>67897600</v>
      </c>
      <c r="G863" s="2">
        <f t="shared" si="236"/>
        <v>12085173406776.961</v>
      </c>
      <c r="H863" s="42">
        <f t="shared" si="237"/>
        <v>3215.5190000000002</v>
      </c>
      <c r="I863" s="2">
        <f t="shared" si="238"/>
        <v>10339562.439361002</v>
      </c>
      <c r="J863" s="4">
        <f t="shared" si="239"/>
        <v>2187271.7031900007</v>
      </c>
      <c r="K863" s="2">
        <f t="shared" si="240"/>
        <v>4784157503575.6865</v>
      </c>
      <c r="L863" s="2">
        <f t="shared" si="241"/>
        <v>7033213719.7698088</v>
      </c>
      <c r="N863" s="42">
        <f t="shared" si="242"/>
        <v>2103384.9650144889</v>
      </c>
      <c r="O863" s="42">
        <f t="shared" si="243"/>
        <v>663056915164.5177</v>
      </c>
      <c r="P863" s="4">
        <f t="shared" si="244"/>
        <v>1372988.6349855112</v>
      </c>
      <c r="Q863" s="4">
        <f t="shared" si="245"/>
        <v>1885097791799.3772</v>
      </c>
      <c r="R863" s="43">
        <f t="shared" si="246"/>
        <v>2.3025389397306625E-3</v>
      </c>
      <c r="S863" s="4">
        <f t="shared" si="247"/>
        <v>1.1296282562443294</v>
      </c>
      <c r="T863" s="30">
        <f t="shared" si="248"/>
        <v>1988689.75246802</v>
      </c>
      <c r="U863" s="31">
        <f t="shared" si="249"/>
        <v>2218080.1775609581</v>
      </c>
      <c r="V863" s="31">
        <f t="shared" si="250"/>
        <v>4493264.9567784723</v>
      </c>
      <c r="W863" s="42">
        <f t="shared" si="251"/>
        <v>4496376.7846582113</v>
      </c>
    </row>
    <row r="864" spans="2:23" x14ac:dyDescent="0.3">
      <c r="B864" s="2">
        <v>856</v>
      </c>
      <c r="C864" s="2">
        <v>2408</v>
      </c>
      <c r="D864" s="4">
        <v>614714.24</v>
      </c>
      <c r="E864" s="4">
        <f t="shared" si="234"/>
        <v>1480231889.9200001</v>
      </c>
      <c r="F864" s="2">
        <f t="shared" si="235"/>
        <v>5798464</v>
      </c>
      <c r="G864" s="2">
        <f t="shared" si="236"/>
        <v>377873596858.77759</v>
      </c>
      <c r="H864" s="42">
        <f t="shared" si="237"/>
        <v>-2616.4809999999998</v>
      </c>
      <c r="I864" s="2">
        <f t="shared" si="238"/>
        <v>6845972.8233609991</v>
      </c>
      <c r="J864" s="4">
        <f t="shared" si="239"/>
        <v>-674387.65680999914</v>
      </c>
      <c r="K864" s="2">
        <f t="shared" si="240"/>
        <v>454798711657.68115</v>
      </c>
      <c r="L864" s="2">
        <f t="shared" si="241"/>
        <v>1764522490.6778831</v>
      </c>
      <c r="N864" s="42">
        <f t="shared" si="242"/>
        <v>626516.42411375605</v>
      </c>
      <c r="O864" s="42">
        <f t="shared" si="243"/>
        <v>439019508628.10388</v>
      </c>
      <c r="P864" s="4">
        <f t="shared" si="244"/>
        <v>-11802.184113756055</v>
      </c>
      <c r="Q864" s="4">
        <f t="shared" si="245"/>
        <v>139291549.85499579</v>
      </c>
      <c r="R864" s="43">
        <f t="shared" si="246"/>
        <v>1.8624297435275855E-3</v>
      </c>
      <c r="S864" s="4">
        <f t="shared" si="247"/>
        <v>-9.7081219296088865E-3</v>
      </c>
      <c r="T864" s="30">
        <f t="shared" si="248"/>
        <v>523363.45140711137</v>
      </c>
      <c r="U864" s="31">
        <f t="shared" si="249"/>
        <v>729669.39682040073</v>
      </c>
      <c r="V864" s="31">
        <f t="shared" si="250"/>
        <v>3016922.4212273587</v>
      </c>
      <c r="W864" s="42">
        <f t="shared" si="251"/>
        <v>3018982.8069243715</v>
      </c>
    </row>
    <row r="865" spans="2:23" x14ac:dyDescent="0.3">
      <c r="B865" s="2">
        <v>857</v>
      </c>
      <c r="C865" s="2">
        <v>8163</v>
      </c>
      <c r="D865" s="4">
        <v>2083850.64</v>
      </c>
      <c r="E865" s="4">
        <f t="shared" si="234"/>
        <v>17010472774.32</v>
      </c>
      <c r="F865" s="2">
        <f t="shared" si="235"/>
        <v>66634569</v>
      </c>
      <c r="G865" s="2">
        <f t="shared" si="236"/>
        <v>4342433489828.4092</v>
      </c>
      <c r="H865" s="42">
        <f t="shared" si="237"/>
        <v>3138.5190000000002</v>
      </c>
      <c r="I865" s="2">
        <f t="shared" si="238"/>
        <v>9850301.5133610014</v>
      </c>
      <c r="J865" s="4">
        <f t="shared" si="239"/>
        <v>794748.74319000077</v>
      </c>
      <c r="K865" s="2">
        <f t="shared" si="240"/>
        <v>631625564802.08582</v>
      </c>
      <c r="L865" s="2">
        <f t="shared" si="241"/>
        <v>2494334030.7279382</v>
      </c>
      <c r="N865" s="42">
        <f t="shared" si="242"/>
        <v>2083885.8433325004</v>
      </c>
      <c r="O865" s="42">
        <f t="shared" si="243"/>
        <v>631681521649.8822</v>
      </c>
      <c r="P865" s="4">
        <f t="shared" si="244"/>
        <v>-35.203332500532269</v>
      </c>
      <c r="Q865" s="4">
        <f t="shared" si="245"/>
        <v>1239.2746191430315</v>
      </c>
      <c r="R865" s="43">
        <f t="shared" si="246"/>
        <v>2.2409037001795513E-3</v>
      </c>
      <c r="S865" s="4">
        <f t="shared" si="247"/>
        <v>-2.8962694815891097E-5</v>
      </c>
      <c r="T865" s="30">
        <f t="shared" si="248"/>
        <v>1970736.1462522796</v>
      </c>
      <c r="U865" s="31">
        <f t="shared" si="249"/>
        <v>2197035.5404127212</v>
      </c>
      <c r="V865" s="31">
        <f t="shared" si="250"/>
        <v>4473839.5066627227</v>
      </c>
      <c r="W865" s="42">
        <f t="shared" si="251"/>
        <v>4476804.0849467097</v>
      </c>
    </row>
    <row r="866" spans="2:23" x14ac:dyDescent="0.3">
      <c r="B866" s="2">
        <v>858</v>
      </c>
      <c r="C866" s="2">
        <v>1917</v>
      </c>
      <c r="D866" s="4">
        <v>156676.41</v>
      </c>
      <c r="E866" s="4">
        <f t="shared" si="234"/>
        <v>300348677.97000003</v>
      </c>
      <c r="F866" s="2">
        <f t="shared" si="235"/>
        <v>3674889</v>
      </c>
      <c r="G866" s="2">
        <f t="shared" si="236"/>
        <v>24547497450.488102</v>
      </c>
      <c r="H866" s="42">
        <f t="shared" si="237"/>
        <v>-3107.4809999999998</v>
      </c>
      <c r="I866" s="2">
        <f t="shared" si="238"/>
        <v>9656438.1653609984</v>
      </c>
      <c r="J866" s="4">
        <f t="shared" si="239"/>
        <v>-1132425.4868099992</v>
      </c>
      <c r="K866" s="2">
        <f t="shared" si="240"/>
        <v>1282387483176.8638</v>
      </c>
      <c r="L866" s="2">
        <f t="shared" si="241"/>
        <v>3518990684.1778231</v>
      </c>
      <c r="N866" s="42">
        <f t="shared" si="242"/>
        <v>502177.86897276499</v>
      </c>
      <c r="O866" s="42">
        <f t="shared" si="243"/>
        <v>619249425587.57593</v>
      </c>
      <c r="P866" s="4">
        <f t="shared" si="244"/>
        <v>-345501.45897276502</v>
      </c>
      <c r="Q866" s="4">
        <f t="shared" si="245"/>
        <v>119371258152.30923</v>
      </c>
      <c r="R866" s="43">
        <f t="shared" si="246"/>
        <v>2.2164815293925868E-3</v>
      </c>
      <c r="S866" s="4">
        <f t="shared" si="247"/>
        <v>-0.28424953376889378</v>
      </c>
      <c r="T866" s="30">
        <f t="shared" si="248"/>
        <v>389646.43397135672</v>
      </c>
      <c r="U866" s="31">
        <f t="shared" si="249"/>
        <v>614709.30397417326</v>
      </c>
      <c r="V866" s="31">
        <f t="shared" si="250"/>
        <v>2892160.7230851995</v>
      </c>
      <c r="W866" s="42">
        <f t="shared" si="251"/>
        <v>2895066.955613466</v>
      </c>
    </row>
    <row r="867" spans="2:23" x14ac:dyDescent="0.3">
      <c r="B867" s="2">
        <v>859</v>
      </c>
      <c r="C867" s="2">
        <v>7113</v>
      </c>
      <c r="D867" s="4">
        <v>337511.85000000003</v>
      </c>
      <c r="E867" s="4">
        <f t="shared" si="234"/>
        <v>2400721789.0500002</v>
      </c>
      <c r="F867" s="2">
        <f t="shared" si="235"/>
        <v>50594769</v>
      </c>
      <c r="G867" s="2">
        <f t="shared" si="236"/>
        <v>113914248890.42253</v>
      </c>
      <c r="H867" s="42">
        <f t="shared" si="237"/>
        <v>2088.5190000000002</v>
      </c>
      <c r="I867" s="2">
        <f t="shared" si="238"/>
        <v>4361911.613361001</v>
      </c>
      <c r="J867" s="4">
        <f t="shared" si="239"/>
        <v>-951590.04680999904</v>
      </c>
      <c r="K867" s="2">
        <f t="shared" si="240"/>
        <v>905523617187.8562</v>
      </c>
      <c r="L867" s="2">
        <f t="shared" si="241"/>
        <v>-1987413892.9735725</v>
      </c>
      <c r="N867" s="42">
        <f t="shared" si="242"/>
        <v>1817988.729487204</v>
      </c>
      <c r="O867" s="42">
        <f t="shared" si="243"/>
        <v>279721281779.32568</v>
      </c>
      <c r="P867" s="4">
        <f t="shared" si="244"/>
        <v>-1480476.8794872039</v>
      </c>
      <c r="Q867" s="4">
        <f t="shared" si="245"/>
        <v>2191811790696.1689</v>
      </c>
      <c r="R867" s="43">
        <f t="shared" si="246"/>
        <v>1.5494971147364364E-3</v>
      </c>
      <c r="S867" s="4">
        <f t="shared" si="247"/>
        <v>-1.2176049296855673</v>
      </c>
      <c r="T867" s="30">
        <f t="shared" si="248"/>
        <v>1723900.0908700391</v>
      </c>
      <c r="U867" s="31">
        <f t="shared" si="249"/>
        <v>1912077.3681043689</v>
      </c>
      <c r="V867" s="31">
        <f t="shared" si="250"/>
        <v>4208768.6639224216</v>
      </c>
      <c r="W867" s="42">
        <f t="shared" si="251"/>
        <v>4210081.4386056289</v>
      </c>
    </row>
    <row r="868" spans="2:23" x14ac:dyDescent="0.3">
      <c r="B868" s="2">
        <v>860</v>
      </c>
      <c r="C868" s="2">
        <v>9223</v>
      </c>
      <c r="D868" s="4">
        <v>437631.35000000003</v>
      </c>
      <c r="E868" s="4">
        <f t="shared" si="234"/>
        <v>4036273941.0500002</v>
      </c>
      <c r="F868" s="2">
        <f t="shared" si="235"/>
        <v>85063729</v>
      </c>
      <c r="G868" s="2">
        <f t="shared" si="236"/>
        <v>191521198502.82254</v>
      </c>
      <c r="H868" s="42">
        <f t="shared" si="237"/>
        <v>4198.5190000000002</v>
      </c>
      <c r="I868" s="2">
        <f t="shared" si="238"/>
        <v>17627561.793361001</v>
      </c>
      <c r="J868" s="4">
        <f t="shared" si="239"/>
        <v>-851470.54680999904</v>
      </c>
      <c r="K868" s="2">
        <f t="shared" si="240"/>
        <v>725002092084.91882</v>
      </c>
      <c r="L868" s="2">
        <f t="shared" si="241"/>
        <v>-3574915268.7221704</v>
      </c>
      <c r="N868" s="42">
        <f t="shared" si="242"/>
        <v>2352315.3106429903</v>
      </c>
      <c r="O868" s="42">
        <f t="shared" si="243"/>
        <v>1130422763354.4033</v>
      </c>
      <c r="P868" s="4">
        <f t="shared" si="244"/>
        <v>-1914683.9606429902</v>
      </c>
      <c r="Q868" s="4">
        <f t="shared" si="245"/>
        <v>3666014669143.5278</v>
      </c>
      <c r="R868" s="43">
        <f t="shared" si="246"/>
        <v>3.2206535124691569E-3</v>
      </c>
      <c r="S868" s="4">
        <f t="shared" si="247"/>
        <v>-1.5760341445818102</v>
      </c>
      <c r="T868" s="30">
        <f t="shared" si="248"/>
        <v>2216667.1837736787</v>
      </c>
      <c r="U868" s="31">
        <f t="shared" si="249"/>
        <v>2487963.4375123018</v>
      </c>
      <c r="V868" s="31">
        <f t="shared" si="250"/>
        <v>4741097.6264875587</v>
      </c>
      <c r="W868" s="42">
        <f t="shared" si="251"/>
        <v>4746402.8761726739</v>
      </c>
    </row>
    <row r="869" spans="2:23" x14ac:dyDescent="0.3">
      <c r="B869" s="2">
        <v>861</v>
      </c>
      <c r="C869" s="2">
        <v>753</v>
      </c>
      <c r="D869" s="4">
        <v>503207.31</v>
      </c>
      <c r="E869" s="4">
        <f t="shared" si="234"/>
        <v>378915104.43000001</v>
      </c>
      <c r="F869" s="2">
        <f t="shared" si="235"/>
        <v>567009</v>
      </c>
      <c r="G869" s="2">
        <f t="shared" si="236"/>
        <v>253217596837.4361</v>
      </c>
      <c r="H869" s="42">
        <f t="shared" si="237"/>
        <v>-4271.4809999999998</v>
      </c>
      <c r="I869" s="2">
        <f t="shared" si="238"/>
        <v>18245549.933360998</v>
      </c>
      <c r="J869" s="4">
        <f t="shared" si="239"/>
        <v>-785894.58680999908</v>
      </c>
      <c r="K869" s="2">
        <f t="shared" si="240"/>
        <v>617630301577.25916</v>
      </c>
      <c r="L869" s="2">
        <f t="shared" si="241"/>
        <v>3356933795.5617614</v>
      </c>
      <c r="N869" s="42">
        <f t="shared" si="242"/>
        <v>207411.92562426481</v>
      </c>
      <c r="O869" s="42">
        <f t="shared" si="243"/>
        <v>1170053193763.7947</v>
      </c>
      <c r="P869" s="4">
        <f t="shared" si="244"/>
        <v>295795.38437573519</v>
      </c>
      <c r="Q869" s="4">
        <f t="shared" si="245"/>
        <v>87494909417.988922</v>
      </c>
      <c r="R869" s="43">
        <f t="shared" si="246"/>
        <v>3.2985053191933364E-3</v>
      </c>
      <c r="S869" s="4">
        <f t="shared" si="247"/>
        <v>0.24348761544299619</v>
      </c>
      <c r="T869" s="30">
        <f t="shared" si="248"/>
        <v>70134.099534055305</v>
      </c>
      <c r="U869" s="31">
        <f t="shared" si="249"/>
        <v>344689.75171447429</v>
      </c>
      <c r="V869" s="31">
        <f t="shared" si="250"/>
        <v>2596101.1405031788</v>
      </c>
      <c r="W869" s="42">
        <f t="shared" si="251"/>
        <v>2601592.3821974001</v>
      </c>
    </row>
    <row r="870" spans="2:23" x14ac:dyDescent="0.3">
      <c r="B870" s="2">
        <v>862</v>
      </c>
      <c r="C870" s="2">
        <v>6239</v>
      </c>
      <c r="D870" s="4">
        <v>296040.55000000005</v>
      </c>
      <c r="E870" s="4">
        <f t="shared" si="234"/>
        <v>1846996991.4500003</v>
      </c>
      <c r="F870" s="2">
        <f t="shared" si="235"/>
        <v>38925121</v>
      </c>
      <c r="G870" s="2">
        <f t="shared" si="236"/>
        <v>87640007244.302521</v>
      </c>
      <c r="H870" s="42">
        <f t="shared" si="237"/>
        <v>1214.5190000000002</v>
      </c>
      <c r="I870" s="2">
        <f t="shared" si="238"/>
        <v>1475056.4013610005</v>
      </c>
      <c r="J870" s="4">
        <f t="shared" si="239"/>
        <v>-993061.34680999909</v>
      </c>
      <c r="K870" s="2">
        <f t="shared" si="240"/>
        <v>986170838528.08923</v>
      </c>
      <c r="L870" s="2">
        <f t="shared" si="241"/>
        <v>-1206091873.8663335</v>
      </c>
      <c r="N870" s="42">
        <f t="shared" si="242"/>
        <v>1596661.0366293094</v>
      </c>
      <c r="O870" s="42">
        <f t="shared" si="243"/>
        <v>94592624486.394043</v>
      </c>
      <c r="P870" s="4">
        <f t="shared" si="244"/>
        <v>-1300620.4866293094</v>
      </c>
      <c r="Q870" s="4">
        <f t="shared" si="245"/>
        <v>1691613650239.8616</v>
      </c>
      <c r="R870" s="43">
        <f t="shared" si="246"/>
        <v>1.1858220221928873E-3</v>
      </c>
      <c r="S870" s="4">
        <f t="shared" si="247"/>
        <v>-1.0694888953810191</v>
      </c>
      <c r="T870" s="30">
        <f t="shared" si="248"/>
        <v>1514351.2350990514</v>
      </c>
      <c r="U870" s="31">
        <f t="shared" si="249"/>
        <v>1678970.8381595674</v>
      </c>
      <c r="V870" s="31">
        <f t="shared" si="250"/>
        <v>3987875.4693782721</v>
      </c>
      <c r="W870" s="42">
        <f t="shared" si="251"/>
        <v>3988319.4069925691</v>
      </c>
    </row>
    <row r="871" spans="2:23" x14ac:dyDescent="0.3">
      <c r="B871" s="2">
        <v>863</v>
      </c>
      <c r="C871" s="2">
        <v>7248</v>
      </c>
      <c r="D871" s="4">
        <v>592379.04</v>
      </c>
      <c r="E871" s="4">
        <f t="shared" si="234"/>
        <v>4293563281.9200001</v>
      </c>
      <c r="F871" s="2">
        <f t="shared" si="235"/>
        <v>52533504</v>
      </c>
      <c r="G871" s="2">
        <f t="shared" si="236"/>
        <v>350912927031.32166</v>
      </c>
      <c r="H871" s="42">
        <f t="shared" si="237"/>
        <v>2223.5190000000002</v>
      </c>
      <c r="I871" s="2">
        <f t="shared" si="238"/>
        <v>4944036.7433610009</v>
      </c>
      <c r="J871" s="4">
        <f t="shared" si="239"/>
        <v>-696722.8568099991</v>
      </c>
      <c r="K871" s="2">
        <f t="shared" si="240"/>
        <v>485422739201.48651</v>
      </c>
      <c r="L871" s="2">
        <f t="shared" si="241"/>
        <v>-1549176509.8513126</v>
      </c>
      <c r="N871" s="42">
        <f t="shared" si="242"/>
        <v>1852175.5012673135</v>
      </c>
      <c r="O871" s="42">
        <f t="shared" si="243"/>
        <v>317051884036.55212</v>
      </c>
      <c r="P871" s="4">
        <f t="shared" si="244"/>
        <v>-1259796.4612673135</v>
      </c>
      <c r="Q871" s="4">
        <f t="shared" si="245"/>
        <v>1587087123821.6455</v>
      </c>
      <c r="R871" s="43">
        <f t="shared" si="246"/>
        <v>1.6228310352062502E-3</v>
      </c>
      <c r="S871" s="4">
        <f t="shared" si="247"/>
        <v>-1.0361463512158124</v>
      </c>
      <c r="T871" s="30">
        <f t="shared" si="248"/>
        <v>1755886.1078008167</v>
      </c>
      <c r="U871" s="31">
        <f t="shared" si="249"/>
        <v>1948464.8947338103</v>
      </c>
      <c r="V871" s="31">
        <f t="shared" si="250"/>
        <v>4242867.810938457</v>
      </c>
      <c r="W871" s="42">
        <f t="shared" si="251"/>
        <v>4244355.7838536482</v>
      </c>
    </row>
    <row r="872" spans="2:23" x14ac:dyDescent="0.3">
      <c r="B872" s="2">
        <v>864</v>
      </c>
      <c r="C872" s="2">
        <v>7379</v>
      </c>
      <c r="D872" s="4">
        <v>68846.070000000007</v>
      </c>
      <c r="E872" s="4">
        <f t="shared" si="234"/>
        <v>508015150.53000003</v>
      </c>
      <c r="F872" s="2">
        <f t="shared" si="235"/>
        <v>54449641</v>
      </c>
      <c r="G872" s="2">
        <f t="shared" si="236"/>
        <v>4739781354.4449005</v>
      </c>
      <c r="H872" s="42">
        <f t="shared" si="237"/>
        <v>2354.5190000000002</v>
      </c>
      <c r="I872" s="2">
        <f t="shared" si="238"/>
        <v>5543759.721361001</v>
      </c>
      <c r="J872" s="4">
        <f t="shared" si="239"/>
        <v>-1220255.8268099991</v>
      </c>
      <c r="K872" s="2">
        <f t="shared" si="240"/>
        <v>1489024282863.7544</v>
      </c>
      <c r="L872" s="2">
        <f t="shared" si="241"/>
        <v>-2873115529.0848527</v>
      </c>
      <c r="N872" s="42">
        <f t="shared" si="242"/>
        <v>1885349.3316613457</v>
      </c>
      <c r="O872" s="42">
        <f t="shared" si="243"/>
        <v>355511003566.81073</v>
      </c>
      <c r="P872" s="4">
        <f t="shared" si="244"/>
        <v>-1816503.2616613456</v>
      </c>
      <c r="Q872" s="4">
        <f t="shared" si="245"/>
        <v>3299684099626.3071</v>
      </c>
      <c r="R872" s="43">
        <f t="shared" si="246"/>
        <v>1.6983818659573155E-3</v>
      </c>
      <c r="S872" s="4">
        <f t="shared" si="247"/>
        <v>-1.4940782130459009</v>
      </c>
      <c r="T872" s="30">
        <f t="shared" si="248"/>
        <v>1786844.0605085166</v>
      </c>
      <c r="U872" s="31">
        <f t="shared" si="249"/>
        <v>1983854.6028141747</v>
      </c>
      <c r="V872" s="31">
        <f t="shared" si="250"/>
        <v>4275951.3642819999</v>
      </c>
      <c r="W872" s="42">
        <f t="shared" si="251"/>
        <v>4277619.8317397935</v>
      </c>
    </row>
    <row r="873" spans="2:23" x14ac:dyDescent="0.3">
      <c r="B873" s="2">
        <v>865</v>
      </c>
      <c r="C873" s="2">
        <v>7261</v>
      </c>
      <c r="D873" s="4">
        <v>4852308.47</v>
      </c>
      <c r="E873" s="4">
        <f t="shared" si="234"/>
        <v>35232611800.669998</v>
      </c>
      <c r="F873" s="2">
        <f t="shared" si="235"/>
        <v>52722121</v>
      </c>
      <c r="G873" s="2">
        <f t="shared" si="236"/>
        <v>23544897488033.738</v>
      </c>
      <c r="H873" s="42">
        <f t="shared" si="237"/>
        <v>2236.5190000000002</v>
      </c>
      <c r="I873" s="2">
        <f t="shared" si="238"/>
        <v>5002017.2373610009</v>
      </c>
      <c r="J873" s="4">
        <f t="shared" si="239"/>
        <v>3563206.5731900008</v>
      </c>
      <c r="K873" s="2">
        <f t="shared" si="240"/>
        <v>12696441083224.43</v>
      </c>
      <c r="L873" s="2">
        <f t="shared" si="241"/>
        <v>7969179201.8643284</v>
      </c>
      <c r="N873" s="42">
        <f t="shared" si="242"/>
        <v>1855467.5607720648</v>
      </c>
      <c r="O873" s="42">
        <f t="shared" si="243"/>
        <v>320770065315.19153</v>
      </c>
      <c r="P873" s="4">
        <f t="shared" si="244"/>
        <v>2996840.9092279347</v>
      </c>
      <c r="Q873" s="4">
        <f t="shared" si="245"/>
        <v>8981055435222.1133</v>
      </c>
      <c r="R873" s="43">
        <f t="shared" si="246"/>
        <v>1.6301351983778289E-3</v>
      </c>
      <c r="S873" s="4">
        <f t="shared" si="247"/>
        <v>2.4648244597873377</v>
      </c>
      <c r="T873" s="30">
        <f t="shared" si="248"/>
        <v>1758961.7172191332</v>
      </c>
      <c r="U873" s="31">
        <f t="shared" si="249"/>
        <v>1951973.4043249965</v>
      </c>
      <c r="V873" s="31">
        <f t="shared" si="250"/>
        <v>4246151.1427157382</v>
      </c>
      <c r="W873" s="42">
        <f t="shared" si="251"/>
        <v>4247656.5656252671</v>
      </c>
    </row>
    <row r="874" spans="2:23" x14ac:dyDescent="0.3">
      <c r="B874" s="2">
        <v>866</v>
      </c>
      <c r="C874" s="2">
        <v>9557</v>
      </c>
      <c r="D874" s="4">
        <v>89166.81</v>
      </c>
      <c r="E874" s="4">
        <f t="shared" si="234"/>
        <v>852167203.16999996</v>
      </c>
      <c r="F874" s="2">
        <f t="shared" si="235"/>
        <v>91336249</v>
      </c>
      <c r="G874" s="2">
        <f t="shared" si="236"/>
        <v>7950720005.5760994</v>
      </c>
      <c r="H874" s="42">
        <f t="shared" si="237"/>
        <v>4532.5190000000002</v>
      </c>
      <c r="I874" s="2">
        <f t="shared" si="238"/>
        <v>20543728.485361002</v>
      </c>
      <c r="J874" s="4">
        <f t="shared" si="239"/>
        <v>-1199935.0868099991</v>
      </c>
      <c r="K874" s="2">
        <f t="shared" si="240"/>
        <v>1439844212557.72</v>
      </c>
      <c r="L874" s="2">
        <f t="shared" si="241"/>
        <v>-5438728579.7329702</v>
      </c>
      <c r="N874" s="42">
        <f t="shared" si="242"/>
        <v>2436895.9163804464</v>
      </c>
      <c r="O874" s="42">
        <f t="shared" si="243"/>
        <v>1317431111361.6843</v>
      </c>
      <c r="P874" s="4">
        <f t="shared" si="244"/>
        <v>-2347729.1063804463</v>
      </c>
      <c r="Q874" s="4">
        <f t="shared" si="245"/>
        <v>5511831956945.9287</v>
      </c>
      <c r="R874" s="43">
        <f t="shared" si="246"/>
        <v>3.5880211543159331E-3</v>
      </c>
      <c r="S874" s="4">
        <f t="shared" si="247"/>
        <v>-1.9328428833184714</v>
      </c>
      <c r="T874" s="30">
        <f t="shared" si="248"/>
        <v>2293720.222607811</v>
      </c>
      <c r="U874" s="31">
        <f t="shared" si="249"/>
        <v>2580071.6101530818</v>
      </c>
      <c r="V874" s="31">
        <f t="shared" si="250"/>
        <v>4825238.8749037022</v>
      </c>
      <c r="W874" s="42">
        <f t="shared" si="251"/>
        <v>4831421.785187874</v>
      </c>
    </row>
    <row r="875" spans="2:23" x14ac:dyDescent="0.3">
      <c r="B875" s="2">
        <v>867</v>
      </c>
      <c r="C875" s="2">
        <v>3958</v>
      </c>
      <c r="D875" s="4">
        <v>2645012.66</v>
      </c>
      <c r="E875" s="4">
        <f t="shared" si="234"/>
        <v>10468960108.280001</v>
      </c>
      <c r="F875" s="2">
        <f t="shared" si="235"/>
        <v>15665764</v>
      </c>
      <c r="G875" s="2">
        <f t="shared" si="236"/>
        <v>6996091971560.2764</v>
      </c>
      <c r="H875" s="42">
        <f t="shared" si="237"/>
        <v>-1066.4809999999998</v>
      </c>
      <c r="I875" s="2">
        <f t="shared" si="238"/>
        <v>1137381.7233609995</v>
      </c>
      <c r="J875" s="4">
        <f t="shared" si="239"/>
        <v>1355910.763190001</v>
      </c>
      <c r="K875" s="2">
        <f t="shared" si="240"/>
        <v>1838493997734.491</v>
      </c>
      <c r="L875" s="2">
        <f t="shared" si="241"/>
        <v>-1446053066.6376352</v>
      </c>
      <c r="N875" s="42">
        <f t="shared" si="242"/>
        <v>1019031.2112187176</v>
      </c>
      <c r="O875" s="42">
        <f t="shared" si="243"/>
        <v>72938175215.744827</v>
      </c>
      <c r="P875" s="4">
        <f t="shared" si="244"/>
        <v>1625981.4487812826</v>
      </c>
      <c r="Q875" s="4">
        <f t="shared" si="245"/>
        <v>2643815671780.8789</v>
      </c>
      <c r="R875" s="43">
        <f t="shared" si="246"/>
        <v>1.1432830443942102E-3</v>
      </c>
      <c r="S875" s="4">
        <f t="shared" si="247"/>
        <v>1.3370019092659762</v>
      </c>
      <c r="T875" s="30">
        <f t="shared" si="248"/>
        <v>938211.24211190536</v>
      </c>
      <c r="U875" s="31">
        <f t="shared" si="249"/>
        <v>1099851.18032553</v>
      </c>
      <c r="V875" s="31">
        <f t="shared" si="250"/>
        <v>3410296.4619611921</v>
      </c>
      <c r="W875" s="42">
        <f t="shared" si="251"/>
        <v>3410638.7719416548</v>
      </c>
    </row>
    <row r="876" spans="2:23" x14ac:dyDescent="0.3">
      <c r="B876" s="2">
        <v>868</v>
      </c>
      <c r="C876" s="2">
        <v>2187</v>
      </c>
      <c r="D876" s="4">
        <v>449865.89999999997</v>
      </c>
      <c r="E876" s="4">
        <f t="shared" si="234"/>
        <v>983856723.29999995</v>
      </c>
      <c r="F876" s="2">
        <f t="shared" si="235"/>
        <v>4782969</v>
      </c>
      <c r="G876" s="2">
        <f t="shared" si="236"/>
        <v>202379327982.80997</v>
      </c>
      <c r="H876" s="42">
        <f t="shared" si="237"/>
        <v>-2837.4809999999998</v>
      </c>
      <c r="I876" s="2">
        <f t="shared" si="238"/>
        <v>8051298.4253609991</v>
      </c>
      <c r="J876" s="4">
        <f t="shared" si="239"/>
        <v>-839235.99680999923</v>
      </c>
      <c r="K876" s="2">
        <f t="shared" si="240"/>
        <v>704317058341.67297</v>
      </c>
      <c r="L876" s="2">
        <f t="shared" si="241"/>
        <v>2381316195.4644332</v>
      </c>
      <c r="N876" s="42">
        <f t="shared" si="242"/>
        <v>570551.41253298405</v>
      </c>
      <c r="O876" s="42">
        <f t="shared" si="243"/>
        <v>516314798454.73291</v>
      </c>
      <c r="P876" s="4">
        <f t="shared" si="244"/>
        <v>-120685.51253298408</v>
      </c>
      <c r="Q876" s="4">
        <f t="shared" si="245"/>
        <v>14564992935.349058</v>
      </c>
      <c r="R876" s="43">
        <f t="shared" si="246"/>
        <v>2.01427210057769E-3</v>
      </c>
      <c r="S876" s="4">
        <f t="shared" si="247"/>
        <v>-9.9279827120421146E-2</v>
      </c>
      <c r="T876" s="30">
        <f t="shared" si="248"/>
        <v>463275.83347536298</v>
      </c>
      <c r="U876" s="31">
        <f t="shared" si="249"/>
        <v>677826.99159060512</v>
      </c>
      <c r="V876" s="31">
        <f t="shared" si="250"/>
        <v>2960775.9452814758</v>
      </c>
      <c r="W876" s="42">
        <f t="shared" si="251"/>
        <v>2963199.0896812184</v>
      </c>
    </row>
    <row r="877" spans="2:23" x14ac:dyDescent="0.3">
      <c r="B877" s="2">
        <v>869</v>
      </c>
      <c r="C877" s="2">
        <v>3001</v>
      </c>
      <c r="D877" s="4">
        <v>617305.69999999995</v>
      </c>
      <c r="E877" s="4">
        <f t="shared" si="234"/>
        <v>1852534405.6999998</v>
      </c>
      <c r="F877" s="2">
        <f t="shared" si="235"/>
        <v>9006001</v>
      </c>
      <c r="G877" s="2">
        <f t="shared" si="236"/>
        <v>381066327252.48993</v>
      </c>
      <c r="H877" s="42">
        <f t="shared" si="237"/>
        <v>-2023.4809999999998</v>
      </c>
      <c r="I877" s="2">
        <f t="shared" si="238"/>
        <v>4094475.3573609991</v>
      </c>
      <c r="J877" s="4">
        <f t="shared" si="239"/>
        <v>-671796.19680999918</v>
      </c>
      <c r="K877" s="2">
        <f t="shared" si="240"/>
        <v>451310130048.37915</v>
      </c>
      <c r="L877" s="2">
        <f t="shared" si="241"/>
        <v>1359366840.1172938</v>
      </c>
      <c r="N877" s="42">
        <f t="shared" si="242"/>
        <v>776684.98459971882</v>
      </c>
      <c r="O877" s="42">
        <f t="shared" si="243"/>
        <v>262571091919.1181</v>
      </c>
      <c r="P877" s="4">
        <f t="shared" si="244"/>
        <v>-159379.28459971887</v>
      </c>
      <c r="Q877" s="4">
        <f t="shared" si="245"/>
        <v>25401756359.518185</v>
      </c>
      <c r="R877" s="43">
        <f t="shared" si="246"/>
        <v>1.5158065074811736E-3</v>
      </c>
      <c r="S877" s="4">
        <f t="shared" si="247"/>
        <v>-0.13107785153574611</v>
      </c>
      <c r="T877" s="30">
        <f t="shared" si="248"/>
        <v>683624.84871280077</v>
      </c>
      <c r="U877" s="31">
        <f t="shared" si="249"/>
        <v>869745.12048663688</v>
      </c>
      <c r="V877" s="31">
        <f t="shared" si="250"/>
        <v>3167505.1739748218</v>
      </c>
      <c r="W877" s="42">
        <f t="shared" si="251"/>
        <v>3168737.4601930082</v>
      </c>
    </row>
    <row r="878" spans="2:23" x14ac:dyDescent="0.3">
      <c r="B878" s="2">
        <v>870</v>
      </c>
      <c r="C878" s="2">
        <v>7184</v>
      </c>
      <c r="D878" s="4">
        <v>785067.52000000002</v>
      </c>
      <c r="E878" s="4">
        <f t="shared" si="234"/>
        <v>5639925063.6800003</v>
      </c>
      <c r="F878" s="2">
        <f t="shared" si="235"/>
        <v>51609856</v>
      </c>
      <c r="G878" s="2">
        <f t="shared" si="236"/>
        <v>616331010958.95044</v>
      </c>
      <c r="H878" s="42">
        <f t="shared" si="237"/>
        <v>2159.5190000000002</v>
      </c>
      <c r="I878" s="2">
        <f t="shared" si="238"/>
        <v>4663522.3113610009</v>
      </c>
      <c r="J878" s="4">
        <f t="shared" si="239"/>
        <v>-504034.37680999911</v>
      </c>
      <c r="K878" s="2">
        <f t="shared" si="240"/>
        <v>254050653006.24417</v>
      </c>
      <c r="L878" s="2">
        <f t="shared" si="241"/>
        <v>-1088471813.3743527</v>
      </c>
      <c r="N878" s="42">
        <f t="shared" si="242"/>
        <v>1835968.4390900764</v>
      </c>
      <c r="O878" s="42">
        <f t="shared" si="243"/>
        <v>299063015065.36749</v>
      </c>
      <c r="P878" s="4">
        <f t="shared" si="244"/>
        <v>-1050900.9190900763</v>
      </c>
      <c r="Q878" s="4">
        <f t="shared" si="245"/>
        <v>1104392741744.3672</v>
      </c>
      <c r="R878" s="43">
        <f t="shared" si="246"/>
        <v>1.5874928888408408E-3</v>
      </c>
      <c r="S878" s="4">
        <f t="shared" si="247"/>
        <v>-0.86432048024688002</v>
      </c>
      <c r="T878" s="30">
        <f t="shared" si="248"/>
        <v>1740733.1963603876</v>
      </c>
      <c r="U878" s="31">
        <f t="shared" si="249"/>
        <v>1931203.6818197651</v>
      </c>
      <c r="V878" s="31">
        <f t="shared" si="250"/>
        <v>4226702.9737795964</v>
      </c>
      <c r="W878" s="42">
        <f t="shared" si="251"/>
        <v>4228106.5221777717</v>
      </c>
    </row>
    <row r="879" spans="2:23" x14ac:dyDescent="0.3">
      <c r="B879" s="2">
        <v>871</v>
      </c>
      <c r="C879" s="2">
        <v>2555</v>
      </c>
      <c r="D879" s="4">
        <v>393623.3</v>
      </c>
      <c r="E879" s="4">
        <f t="shared" si="234"/>
        <v>1005707531.5</v>
      </c>
      <c r="F879" s="2">
        <f t="shared" si="235"/>
        <v>6528025</v>
      </c>
      <c r="G879" s="2">
        <f t="shared" si="236"/>
        <v>154939302302.88998</v>
      </c>
      <c r="H879" s="42">
        <f t="shared" si="237"/>
        <v>-2469.4809999999998</v>
      </c>
      <c r="I879" s="2">
        <f t="shared" si="238"/>
        <v>6098336.4093609992</v>
      </c>
      <c r="J879" s="4">
        <f t="shared" si="239"/>
        <v>-895478.59680999909</v>
      </c>
      <c r="K879" s="2">
        <f t="shared" si="240"/>
        <v>801881917344.80493</v>
      </c>
      <c r="L879" s="2">
        <f t="shared" si="241"/>
        <v>2211367380.7289534</v>
      </c>
      <c r="N879" s="42">
        <f t="shared" si="242"/>
        <v>663742.0200520975</v>
      </c>
      <c r="O879" s="42">
        <f t="shared" si="243"/>
        <v>391074975458.6579</v>
      </c>
      <c r="P879" s="4">
        <f t="shared" si="244"/>
        <v>-270118.72005209752</v>
      </c>
      <c r="Q879" s="4">
        <f t="shared" si="245"/>
        <v>72964122922.583435</v>
      </c>
      <c r="R879" s="43">
        <f t="shared" si="246"/>
        <v>1.7682453379778496E-3</v>
      </c>
      <c r="S879" s="4">
        <f t="shared" si="247"/>
        <v>-0.22218105824882906</v>
      </c>
      <c r="T879" s="30">
        <f t="shared" si="248"/>
        <v>563231.14369661245</v>
      </c>
      <c r="U879" s="31">
        <f t="shared" si="249"/>
        <v>764252.89640758256</v>
      </c>
      <c r="V879" s="31">
        <f t="shared" si="250"/>
        <v>3054260.5685158297</v>
      </c>
      <c r="W879" s="42">
        <f t="shared" si="251"/>
        <v>3056095.9431509441</v>
      </c>
    </row>
    <row r="880" spans="2:23" x14ac:dyDescent="0.3">
      <c r="B880" s="2">
        <v>872</v>
      </c>
      <c r="C880" s="2">
        <v>8961</v>
      </c>
      <c r="D880" s="4">
        <v>1367269.3800000001</v>
      </c>
      <c r="E880" s="4">
        <f t="shared" si="234"/>
        <v>12252100914.18</v>
      </c>
      <c r="F880" s="2">
        <f t="shared" si="235"/>
        <v>80299521</v>
      </c>
      <c r="G880" s="2">
        <f t="shared" si="236"/>
        <v>1869425557485.5847</v>
      </c>
      <c r="H880" s="42">
        <f t="shared" si="237"/>
        <v>3936.5190000000002</v>
      </c>
      <c r="I880" s="2">
        <f t="shared" si="238"/>
        <v>15496181.837361002</v>
      </c>
      <c r="J880" s="4">
        <f t="shared" si="239"/>
        <v>78167.483190000989</v>
      </c>
      <c r="K880" s="2">
        <f t="shared" si="240"/>
        <v>6110155428.2590876</v>
      </c>
      <c r="L880" s="2">
        <f t="shared" si="241"/>
        <v>307707782.75961953</v>
      </c>
      <c r="N880" s="42">
        <f t="shared" si="242"/>
        <v>2285967.6498549259</v>
      </c>
      <c r="O880" s="42">
        <f t="shared" si="243"/>
        <v>993741329593.82898</v>
      </c>
      <c r="P880" s="4">
        <f t="shared" si="244"/>
        <v>-918698.26985492581</v>
      </c>
      <c r="Q880" s="4">
        <f t="shared" si="245"/>
        <v>844006511034.43408</v>
      </c>
      <c r="R880" s="43">
        <f t="shared" si="246"/>
        <v>2.9521503331196254E-3</v>
      </c>
      <c r="S880" s="4">
        <f t="shared" si="247"/>
        <v>-0.75610643849766368</v>
      </c>
      <c r="T880" s="30">
        <f t="shared" si="248"/>
        <v>2156096.9940870153</v>
      </c>
      <c r="U880" s="31">
        <f t="shared" si="249"/>
        <v>2415838.3056228366</v>
      </c>
      <c r="V880" s="31">
        <f t="shared" si="250"/>
        <v>4675071.0338852834</v>
      </c>
      <c r="W880" s="42">
        <f t="shared" si="251"/>
        <v>4679734.8157109283</v>
      </c>
    </row>
    <row r="881" spans="2:23" x14ac:dyDescent="0.3">
      <c r="B881" s="2">
        <v>873</v>
      </c>
      <c r="C881" s="2">
        <v>3283</v>
      </c>
      <c r="D881" s="4">
        <v>505778.98</v>
      </c>
      <c r="E881" s="4">
        <f t="shared" si="234"/>
        <v>1660472391.3399999</v>
      </c>
      <c r="F881" s="2">
        <f t="shared" si="235"/>
        <v>10778089</v>
      </c>
      <c r="G881" s="2">
        <f t="shared" si="236"/>
        <v>255812376609.84039</v>
      </c>
      <c r="H881" s="42">
        <f t="shared" si="237"/>
        <v>-1741.4809999999998</v>
      </c>
      <c r="I881" s="2">
        <f t="shared" si="238"/>
        <v>3032756.0733609991</v>
      </c>
      <c r="J881" s="4">
        <f t="shared" si="239"/>
        <v>-783322.91680999915</v>
      </c>
      <c r="K881" s="2">
        <f t="shared" si="240"/>
        <v>613594791999.72485</v>
      </c>
      <c r="L881" s="2">
        <f t="shared" si="241"/>
        <v>1364141976.4891939</v>
      </c>
      <c r="N881" s="42">
        <f t="shared" si="242"/>
        <v>848097.35231816978</v>
      </c>
      <c r="O881" s="42">
        <f t="shared" si="243"/>
        <v>194485008262.44589</v>
      </c>
      <c r="P881" s="4">
        <f t="shared" si="244"/>
        <v>-342318.3723181698</v>
      </c>
      <c r="Q881" s="4">
        <f t="shared" si="245"/>
        <v>117181868026.56113</v>
      </c>
      <c r="R881" s="43">
        <f t="shared" si="246"/>
        <v>1.3820551308070146E-3</v>
      </c>
      <c r="S881" s="4">
        <f t="shared" si="247"/>
        <v>-0.28151307058393965</v>
      </c>
      <c r="T881" s="30">
        <f t="shared" si="248"/>
        <v>759237.72600304219</v>
      </c>
      <c r="U881" s="31">
        <f t="shared" si="249"/>
        <v>936956.97863329737</v>
      </c>
      <c r="V881" s="31">
        <f t="shared" si="250"/>
        <v>3239077.3467192175</v>
      </c>
      <c r="W881" s="42">
        <f t="shared" si="251"/>
        <v>3239990.0945391832</v>
      </c>
    </row>
    <row r="882" spans="2:23" x14ac:dyDescent="0.3">
      <c r="B882" s="2">
        <v>874</v>
      </c>
      <c r="C882" s="2">
        <v>4433</v>
      </c>
      <c r="D882" s="4">
        <v>2962440.91</v>
      </c>
      <c r="E882" s="4">
        <f t="shared" si="234"/>
        <v>13132500554.030001</v>
      </c>
      <c r="F882" s="2">
        <f t="shared" si="235"/>
        <v>19651489</v>
      </c>
      <c r="G882" s="2">
        <f t="shared" si="236"/>
        <v>8776056145241.6289</v>
      </c>
      <c r="H882" s="42">
        <f t="shared" si="237"/>
        <v>-591.48099999999977</v>
      </c>
      <c r="I882" s="2">
        <f t="shared" si="238"/>
        <v>349849.77336099971</v>
      </c>
      <c r="J882" s="4">
        <f t="shared" si="239"/>
        <v>1673339.013190001</v>
      </c>
      <c r="K882" s="2">
        <f t="shared" si="240"/>
        <v>2800063453063.6865</v>
      </c>
      <c r="L882" s="2">
        <f t="shared" si="241"/>
        <v>-989748232.86063457</v>
      </c>
      <c r="N882" s="42">
        <f t="shared" si="242"/>
        <v>1139318.0008153995</v>
      </c>
      <c r="O882" s="42">
        <f t="shared" si="243"/>
        <v>22435215499.321053</v>
      </c>
      <c r="P882" s="4">
        <f t="shared" si="244"/>
        <v>1823122.9091846007</v>
      </c>
      <c r="Q882" s="4">
        <f t="shared" si="245"/>
        <v>3323777141993.7217</v>
      </c>
      <c r="R882" s="43">
        <f t="shared" si="246"/>
        <v>1.0440727502281819E-3</v>
      </c>
      <c r="S882" s="4">
        <f t="shared" si="247"/>
        <v>1.499031719811035</v>
      </c>
      <c r="T882" s="30">
        <f t="shared" si="248"/>
        <v>1062084.2406362677</v>
      </c>
      <c r="U882" s="31">
        <f t="shared" si="249"/>
        <v>1216551.7609945312</v>
      </c>
      <c r="V882" s="31">
        <f t="shared" si="250"/>
        <v>3530701.7661494971</v>
      </c>
      <c r="W882" s="42">
        <f t="shared" si="251"/>
        <v>3530807.0580373011</v>
      </c>
    </row>
    <row r="883" spans="2:23" x14ac:dyDescent="0.3">
      <c r="B883" s="2">
        <v>875</v>
      </c>
      <c r="C883" s="2">
        <v>8351</v>
      </c>
      <c r="D883" s="4">
        <v>1274195.58</v>
      </c>
      <c r="E883" s="4">
        <f t="shared" si="234"/>
        <v>10640807288.58</v>
      </c>
      <c r="F883" s="2">
        <f t="shared" si="235"/>
        <v>69739201</v>
      </c>
      <c r="G883" s="2">
        <f t="shared" si="236"/>
        <v>1623574376091.5366</v>
      </c>
      <c r="H883" s="42">
        <f t="shared" si="237"/>
        <v>3326.5190000000002</v>
      </c>
      <c r="I883" s="2">
        <f t="shared" si="238"/>
        <v>11065728.657361001</v>
      </c>
      <c r="J883" s="4">
        <f t="shared" si="239"/>
        <v>-14906.316809999058</v>
      </c>
      <c r="K883" s="2">
        <f t="shared" si="240"/>
        <v>222198280.8400605</v>
      </c>
      <c r="L883" s="2">
        <f t="shared" si="241"/>
        <v>-49586146.088481262</v>
      </c>
      <c r="N883" s="42">
        <f t="shared" si="242"/>
        <v>2131494.0884781345</v>
      </c>
      <c r="O883" s="42">
        <f t="shared" si="243"/>
        <v>709624604583.44446</v>
      </c>
      <c r="P883" s="4">
        <f t="shared" si="244"/>
        <v>-857298.5084781344</v>
      </c>
      <c r="Q883" s="4">
        <f t="shared" si="245"/>
        <v>734960732638.83386</v>
      </c>
      <c r="R883" s="43">
        <f t="shared" si="246"/>
        <v>2.3940186112553696E-3</v>
      </c>
      <c r="S883" s="4">
        <f t="shared" si="247"/>
        <v>-0.70537584622522298</v>
      </c>
      <c r="T883" s="30">
        <f t="shared" si="248"/>
        <v>2014542.6521520072</v>
      </c>
      <c r="U883" s="31">
        <f t="shared" si="249"/>
        <v>2248445.5248042615</v>
      </c>
      <c r="V883" s="31">
        <f t="shared" si="250"/>
        <v>4521264.7319408394</v>
      </c>
      <c r="W883" s="42">
        <f t="shared" si="251"/>
        <v>4524595.1092374828</v>
      </c>
    </row>
    <row r="884" spans="2:23" x14ac:dyDescent="0.3">
      <c r="B884" s="2">
        <v>876</v>
      </c>
      <c r="C884" s="2">
        <v>3013</v>
      </c>
      <c r="D884" s="4">
        <v>1271154.57</v>
      </c>
      <c r="E884" s="4">
        <f t="shared" si="234"/>
        <v>3829988719.4100003</v>
      </c>
      <c r="F884" s="2">
        <f t="shared" si="235"/>
        <v>9078169</v>
      </c>
      <c r="G884" s="2">
        <f t="shared" si="236"/>
        <v>1615833940831.885</v>
      </c>
      <c r="H884" s="42">
        <f t="shared" si="237"/>
        <v>-2011.4809999999998</v>
      </c>
      <c r="I884" s="2">
        <f t="shared" si="238"/>
        <v>4046055.8133609989</v>
      </c>
      <c r="J884" s="4">
        <f t="shared" si="239"/>
        <v>-17947.326809999067</v>
      </c>
      <c r="K884" s="2">
        <f t="shared" si="240"/>
        <v>322106539.62491131</v>
      </c>
      <c r="L884" s="2">
        <f t="shared" si="241"/>
        <v>36100706.879103728</v>
      </c>
      <c r="N884" s="42">
        <f t="shared" si="242"/>
        <v>779723.80875795078</v>
      </c>
      <c r="O884" s="42">
        <f t="shared" si="243"/>
        <v>259466036587.56033</v>
      </c>
      <c r="P884" s="4">
        <f t="shared" si="244"/>
        <v>491430.76124204928</v>
      </c>
      <c r="Q884" s="4">
        <f t="shared" si="245"/>
        <v>241504193094.94003</v>
      </c>
      <c r="R884" s="43">
        <f t="shared" si="246"/>
        <v>1.5097067966013482E-3</v>
      </c>
      <c r="S884" s="4">
        <f t="shared" si="247"/>
        <v>0.40416476813835789</v>
      </c>
      <c r="T884" s="30">
        <f t="shared" si="248"/>
        <v>686851.1018496207</v>
      </c>
      <c r="U884" s="31">
        <f t="shared" si="249"/>
        <v>872596.51566628087</v>
      </c>
      <c r="V884" s="31">
        <f t="shared" si="250"/>
        <v>3170551.2862490425</v>
      </c>
      <c r="W884" s="42">
        <f t="shared" si="251"/>
        <v>3171768.9999675928</v>
      </c>
    </row>
    <row r="885" spans="2:23" x14ac:dyDescent="0.3">
      <c r="B885" s="2">
        <v>877</v>
      </c>
      <c r="C885" s="2">
        <v>3422</v>
      </c>
      <c r="D885" s="4">
        <v>2228440.62</v>
      </c>
      <c r="E885" s="4">
        <f t="shared" si="234"/>
        <v>7625723801.6400003</v>
      </c>
      <c r="F885" s="2">
        <f t="shared" si="235"/>
        <v>11710084</v>
      </c>
      <c r="G885" s="2">
        <f t="shared" si="236"/>
        <v>4965947596865.9854</v>
      </c>
      <c r="H885" s="42">
        <f t="shared" si="237"/>
        <v>-1602.4809999999998</v>
      </c>
      <c r="I885" s="2">
        <f t="shared" si="238"/>
        <v>2567945.3553609992</v>
      </c>
      <c r="J885" s="4">
        <f t="shared" si="239"/>
        <v>939338.72319000098</v>
      </c>
      <c r="K885" s="2">
        <f t="shared" si="240"/>
        <v>882357236884.22131</v>
      </c>
      <c r="L885" s="2">
        <f t="shared" si="241"/>
        <v>-1505272456.4762356</v>
      </c>
      <c r="N885" s="42">
        <f t="shared" si="242"/>
        <v>883297.06548435672</v>
      </c>
      <c r="O885" s="42">
        <f t="shared" si="243"/>
        <v>164677561127.23309</v>
      </c>
      <c r="P885" s="4">
        <f t="shared" si="244"/>
        <v>1345143.5545156435</v>
      </c>
      <c r="Q885" s="4">
        <f t="shared" si="245"/>
        <v>1809411182254.98</v>
      </c>
      <c r="R885" s="43">
        <f t="shared" si="246"/>
        <v>1.32350003591302E-3</v>
      </c>
      <c r="S885" s="4">
        <f t="shared" si="247"/>
        <v>1.1061760673214331</v>
      </c>
      <c r="T885" s="30">
        <f t="shared" si="248"/>
        <v>796340.2198162151</v>
      </c>
      <c r="U885" s="31">
        <f t="shared" si="249"/>
        <v>970253.91115249833</v>
      </c>
      <c r="V885" s="31">
        <f t="shared" si="250"/>
        <v>3274347.0176615044</v>
      </c>
      <c r="W885" s="42">
        <f t="shared" si="251"/>
        <v>3275119.8745798059</v>
      </c>
    </row>
    <row r="886" spans="2:23" x14ac:dyDescent="0.3">
      <c r="B886" s="2">
        <v>878</v>
      </c>
      <c r="C886" s="2">
        <v>6615</v>
      </c>
      <c r="D886" s="4">
        <v>2892078</v>
      </c>
      <c r="E886" s="4">
        <f t="shared" si="234"/>
        <v>19131095970</v>
      </c>
      <c r="F886" s="2">
        <f t="shared" si="235"/>
        <v>43758225</v>
      </c>
      <c r="G886" s="2">
        <f t="shared" si="236"/>
        <v>8364115158084</v>
      </c>
      <c r="H886" s="42">
        <f t="shared" si="237"/>
        <v>1590.5190000000002</v>
      </c>
      <c r="I886" s="2">
        <f t="shared" si="238"/>
        <v>2529750.6893610009</v>
      </c>
      <c r="J886" s="4">
        <f t="shared" si="239"/>
        <v>1602976.1031900009</v>
      </c>
      <c r="K886" s="2">
        <f t="shared" si="240"/>
        <v>2569532387398.2002</v>
      </c>
      <c r="L886" s="2">
        <f t="shared" si="241"/>
        <v>2549563948.6696572</v>
      </c>
      <c r="N886" s="42">
        <f t="shared" si="242"/>
        <v>1691877.5269205775</v>
      </c>
      <c r="O886" s="42">
        <f t="shared" si="243"/>
        <v>162228208210.97345</v>
      </c>
      <c r="P886" s="4">
        <f t="shared" si="244"/>
        <v>1200200.4730794225</v>
      </c>
      <c r="Q886" s="4">
        <f t="shared" si="245"/>
        <v>1440481175580.0696</v>
      </c>
      <c r="R886" s="43">
        <f t="shared" si="246"/>
        <v>1.318688416461348E-3</v>
      </c>
      <c r="S886" s="4">
        <f t="shared" si="247"/>
        <v>0.98698004134773809</v>
      </c>
      <c r="T886" s="30">
        <f t="shared" si="248"/>
        <v>1605078.8921366697</v>
      </c>
      <c r="U886" s="31">
        <f t="shared" si="249"/>
        <v>1778676.1617044853</v>
      </c>
      <c r="V886" s="31">
        <f t="shared" si="250"/>
        <v>4082933.2276131697</v>
      </c>
      <c r="W886" s="42">
        <f t="shared" si="251"/>
        <v>4083694.589344258</v>
      </c>
    </row>
    <row r="887" spans="2:23" x14ac:dyDescent="0.3">
      <c r="B887" s="2">
        <v>879</v>
      </c>
      <c r="C887" s="2">
        <v>6660</v>
      </c>
      <c r="D887" s="4">
        <v>4337058.6000000006</v>
      </c>
      <c r="E887" s="4">
        <f t="shared" si="234"/>
        <v>28884810276.000004</v>
      </c>
      <c r="F887" s="2">
        <f t="shared" si="235"/>
        <v>44355600</v>
      </c>
      <c r="G887" s="2">
        <f t="shared" si="236"/>
        <v>18810077299833.965</v>
      </c>
      <c r="H887" s="42">
        <f t="shared" si="237"/>
        <v>1635.5190000000002</v>
      </c>
      <c r="I887" s="2">
        <f t="shared" si="238"/>
        <v>2674922.3993610009</v>
      </c>
      <c r="J887" s="4">
        <f t="shared" si="239"/>
        <v>3047956.7031900017</v>
      </c>
      <c r="K887" s="2">
        <f t="shared" si="240"/>
        <v>9290040064520.8633</v>
      </c>
      <c r="L887" s="2">
        <f t="shared" si="241"/>
        <v>4984991099.2446089</v>
      </c>
      <c r="N887" s="42">
        <f t="shared" si="242"/>
        <v>1703273.1175139474</v>
      </c>
      <c r="O887" s="42">
        <f t="shared" si="243"/>
        <v>171537800059.39865</v>
      </c>
      <c r="P887" s="4">
        <f t="shared" si="244"/>
        <v>2633785.4824860534</v>
      </c>
      <c r="Q887" s="4">
        <f t="shared" si="245"/>
        <v>6936825967754.293</v>
      </c>
      <c r="R887" s="43">
        <f t="shared" si="246"/>
        <v>1.3369765989962729E-3</v>
      </c>
      <c r="S887" s="4">
        <f t="shared" si="247"/>
        <v>2.1659027507768198</v>
      </c>
      <c r="T887" s="30">
        <f t="shared" si="248"/>
        <v>1615874.6733170087</v>
      </c>
      <c r="U887" s="31">
        <f t="shared" si="249"/>
        <v>1790671.5617108862</v>
      </c>
      <c r="V887" s="31">
        <f t="shared" si="250"/>
        <v>4094306.9689612342</v>
      </c>
      <c r="W887" s="42">
        <f t="shared" si="251"/>
        <v>4095112.022028367</v>
      </c>
    </row>
    <row r="888" spans="2:23" x14ac:dyDescent="0.3">
      <c r="B888" s="2">
        <v>880</v>
      </c>
      <c r="C888" s="2">
        <v>9655</v>
      </c>
      <c r="D888" s="4">
        <v>6287432.5500000007</v>
      </c>
      <c r="E888" s="4">
        <f t="shared" si="234"/>
        <v>60705161270.250008</v>
      </c>
      <c r="F888" s="2">
        <f t="shared" si="235"/>
        <v>93219025</v>
      </c>
      <c r="G888" s="2">
        <f t="shared" si="236"/>
        <v>39531808070799.516</v>
      </c>
      <c r="H888" s="42">
        <f t="shared" si="237"/>
        <v>4630.5190000000002</v>
      </c>
      <c r="I888" s="2">
        <f t="shared" si="238"/>
        <v>21441706.209361002</v>
      </c>
      <c r="J888" s="4">
        <f t="shared" si="239"/>
        <v>4998330.6531900018</v>
      </c>
      <c r="K888" s="2">
        <f t="shared" si="240"/>
        <v>24983309318618.789</v>
      </c>
      <c r="L888" s="2">
        <f t="shared" si="241"/>
        <v>23144865057.878716</v>
      </c>
      <c r="N888" s="42">
        <f t="shared" si="242"/>
        <v>2461712.9803393409</v>
      </c>
      <c r="O888" s="42">
        <f t="shared" si="243"/>
        <v>1375016753215.8569</v>
      </c>
      <c r="P888" s="4">
        <f t="shared" si="244"/>
        <v>3825719.5696606599</v>
      </c>
      <c r="Q888" s="4">
        <f t="shared" si="245"/>
        <v>14636130225684.545</v>
      </c>
      <c r="R888" s="43">
        <f t="shared" si="246"/>
        <v>3.7011449890410899E-3</v>
      </c>
      <c r="S888" s="4">
        <f t="shared" si="247"/>
        <v>3.1498244893169893</v>
      </c>
      <c r="T888" s="30">
        <f t="shared" si="248"/>
        <v>2316297.7659170772</v>
      </c>
      <c r="U888" s="31">
        <f t="shared" si="249"/>
        <v>2607128.1947616045</v>
      </c>
      <c r="V888" s="31">
        <f t="shared" si="250"/>
        <v>4849920.6309069004</v>
      </c>
      <c r="W888" s="42">
        <f t="shared" si="251"/>
        <v>4856373.8000977812</v>
      </c>
    </row>
    <row r="889" spans="2:23" x14ac:dyDescent="0.3">
      <c r="B889" s="2">
        <v>881</v>
      </c>
      <c r="C889" s="2">
        <v>8729</v>
      </c>
      <c r="D889" s="4">
        <v>953905.12</v>
      </c>
      <c r="E889" s="4">
        <f t="shared" si="234"/>
        <v>8326637792.4799995</v>
      </c>
      <c r="F889" s="2">
        <f t="shared" si="235"/>
        <v>76195441</v>
      </c>
      <c r="G889" s="2">
        <f t="shared" si="236"/>
        <v>909934977962.21436</v>
      </c>
      <c r="H889" s="42">
        <f t="shared" si="237"/>
        <v>3704.5190000000002</v>
      </c>
      <c r="I889" s="2">
        <f t="shared" si="238"/>
        <v>13723461.021361001</v>
      </c>
      <c r="J889" s="4">
        <f t="shared" si="239"/>
        <v>-335196.77680999914</v>
      </c>
      <c r="K889" s="2">
        <f t="shared" si="240"/>
        <v>112356879183.81238</v>
      </c>
      <c r="L889" s="2">
        <f t="shared" si="241"/>
        <v>-1241742828.4314013</v>
      </c>
      <c r="N889" s="42">
        <f t="shared" si="242"/>
        <v>2227217.0494624414</v>
      </c>
      <c r="O889" s="42">
        <f t="shared" si="243"/>
        <v>880060039636.11499</v>
      </c>
      <c r="P889" s="4">
        <f t="shared" si="244"/>
        <v>-1273311.9294624412</v>
      </c>
      <c r="Q889" s="4">
        <f t="shared" si="245"/>
        <v>1621323269711.365</v>
      </c>
      <c r="R889" s="43">
        <f t="shared" si="246"/>
        <v>2.7288296746630363E-3</v>
      </c>
      <c r="S889" s="4">
        <f t="shared" si="247"/>
        <v>-1.0478429942137908</v>
      </c>
      <c r="T889" s="30">
        <f t="shared" si="248"/>
        <v>2102355.1281534648</v>
      </c>
      <c r="U889" s="31">
        <f t="shared" si="249"/>
        <v>2352078.970771418</v>
      </c>
      <c r="V889" s="31">
        <f t="shared" si="250"/>
        <v>4616587.4408881664</v>
      </c>
      <c r="W889" s="42">
        <f t="shared" si="251"/>
        <v>4620717.6984060891</v>
      </c>
    </row>
    <row r="890" spans="2:23" x14ac:dyDescent="0.3">
      <c r="B890" s="2">
        <v>882</v>
      </c>
      <c r="C890" s="2">
        <v>9045</v>
      </c>
      <c r="D890" s="4">
        <v>739247.85000000009</v>
      </c>
      <c r="E890" s="4">
        <f t="shared" si="234"/>
        <v>6686496803.250001</v>
      </c>
      <c r="F890" s="2">
        <f t="shared" si="235"/>
        <v>81812025</v>
      </c>
      <c r="G890" s="2">
        <f t="shared" si="236"/>
        <v>546487383729.62262</v>
      </c>
      <c r="H890" s="42">
        <f t="shared" si="237"/>
        <v>4020.5190000000002</v>
      </c>
      <c r="I890" s="2">
        <f t="shared" si="238"/>
        <v>16164573.029361002</v>
      </c>
      <c r="J890" s="4">
        <f t="shared" si="239"/>
        <v>-549854.04680999904</v>
      </c>
      <c r="K890" s="2">
        <f t="shared" si="240"/>
        <v>302339472793.33264</v>
      </c>
      <c r="L890" s="2">
        <f t="shared" si="241"/>
        <v>-2210698642.4264908</v>
      </c>
      <c r="N890" s="42">
        <f t="shared" si="242"/>
        <v>2307239.4189625494</v>
      </c>
      <c r="O890" s="42">
        <f t="shared" si="243"/>
        <v>1036604014014.9348</v>
      </c>
      <c r="P890" s="4">
        <f t="shared" si="244"/>
        <v>-1567991.5689625493</v>
      </c>
      <c r="Q890" s="4">
        <f t="shared" si="245"/>
        <v>2458597560337.6372</v>
      </c>
      <c r="R890" s="43">
        <f t="shared" si="246"/>
        <v>3.0363517255536749E-3</v>
      </c>
      <c r="S890" s="4">
        <f t="shared" si="247"/>
        <v>-1.2905418720432886</v>
      </c>
      <c r="T890" s="30">
        <f t="shared" si="248"/>
        <v>2175529.6955406033</v>
      </c>
      <c r="U890" s="31">
        <f t="shared" si="249"/>
        <v>2438949.1423844956</v>
      </c>
      <c r="V890" s="31">
        <f t="shared" si="250"/>
        <v>4696242.1220943416</v>
      </c>
      <c r="W890" s="42">
        <f t="shared" si="251"/>
        <v>4701107.0653341236</v>
      </c>
    </row>
    <row r="891" spans="2:23" x14ac:dyDescent="0.3">
      <c r="B891" s="2">
        <v>883</v>
      </c>
      <c r="C891" s="2">
        <v>2794</v>
      </c>
      <c r="D891" s="4">
        <v>26068.02</v>
      </c>
      <c r="E891" s="4">
        <f t="shared" si="234"/>
        <v>72834047.879999995</v>
      </c>
      <c r="F891" s="2">
        <f t="shared" si="235"/>
        <v>7806436</v>
      </c>
      <c r="G891" s="2">
        <f t="shared" si="236"/>
        <v>679541666.72039998</v>
      </c>
      <c r="H891" s="42">
        <f t="shared" si="237"/>
        <v>-2230.4809999999998</v>
      </c>
      <c r="I891" s="2">
        <f t="shared" si="238"/>
        <v>4975045.4913609987</v>
      </c>
      <c r="J891" s="4">
        <f t="shared" si="239"/>
        <v>-1263033.8768099991</v>
      </c>
      <c r="K891" s="2">
        <f t="shared" si="240"/>
        <v>1595254573969.696</v>
      </c>
      <c r="L891" s="2">
        <f t="shared" si="241"/>
        <v>2817173064.5810432</v>
      </c>
      <c r="N891" s="42">
        <f t="shared" si="242"/>
        <v>724265.26787021745</v>
      </c>
      <c r="O891" s="42">
        <f t="shared" si="243"/>
        <v>319040417392.05664</v>
      </c>
      <c r="P891" s="4">
        <f t="shared" si="244"/>
        <v>-698197.24787021743</v>
      </c>
      <c r="Q891" s="4">
        <f t="shared" si="245"/>
        <v>487479396933.54584</v>
      </c>
      <c r="R891" s="43">
        <f t="shared" si="246"/>
        <v>1.6267373999077715E-3</v>
      </c>
      <c r="S891" s="4">
        <f t="shared" si="247"/>
        <v>-0.57424827609246742</v>
      </c>
      <c r="T891" s="30">
        <f t="shared" si="248"/>
        <v>627860.05353380088</v>
      </c>
      <c r="U891" s="31">
        <f t="shared" si="249"/>
        <v>820670.48220663401</v>
      </c>
      <c r="V891" s="31">
        <f t="shared" si="250"/>
        <v>3114952.9098392897</v>
      </c>
      <c r="W891" s="42">
        <f t="shared" si="251"/>
        <v>3116450.2152461396</v>
      </c>
    </row>
    <row r="892" spans="2:23" x14ac:dyDescent="0.3">
      <c r="B892" s="2">
        <v>884</v>
      </c>
      <c r="C892" s="2">
        <v>4200</v>
      </c>
      <c r="D892" s="4">
        <v>640836</v>
      </c>
      <c r="E892" s="4">
        <f t="shared" si="234"/>
        <v>2691511200</v>
      </c>
      <c r="F892" s="2">
        <f t="shared" si="235"/>
        <v>17640000</v>
      </c>
      <c r="G892" s="2">
        <f t="shared" si="236"/>
        <v>410670778896</v>
      </c>
      <c r="H892" s="42">
        <f t="shared" si="237"/>
        <v>-824.48099999999977</v>
      </c>
      <c r="I892" s="2">
        <f t="shared" si="238"/>
        <v>679768.9193609996</v>
      </c>
      <c r="J892" s="4">
        <f t="shared" si="239"/>
        <v>-648265.89680999913</v>
      </c>
      <c r="K892" s="2">
        <f t="shared" si="240"/>
        <v>420248672966.87244</v>
      </c>
      <c r="L892" s="2">
        <f t="shared" si="241"/>
        <v>534482914.86780477</v>
      </c>
      <c r="N892" s="42">
        <f t="shared" si="242"/>
        <v>1080314.1650763955</v>
      </c>
      <c r="O892" s="42">
        <f t="shared" si="243"/>
        <v>43592316922.463242</v>
      </c>
      <c r="P892" s="4">
        <f t="shared" si="244"/>
        <v>-439478.1650763955</v>
      </c>
      <c r="Q892" s="4">
        <f t="shared" si="245"/>
        <v>193141057578.91553</v>
      </c>
      <c r="R892" s="43">
        <f t="shared" si="246"/>
        <v>1.0856347154610398E-3</v>
      </c>
      <c r="S892" s="4">
        <f t="shared" si="247"/>
        <v>-0.36136094356024001</v>
      </c>
      <c r="T892" s="30">
        <f t="shared" si="248"/>
        <v>1001558.1633295767</v>
      </c>
      <c r="U892" s="31">
        <f t="shared" si="249"/>
        <v>1159070.1668232142</v>
      </c>
      <c r="V892" s="31">
        <f t="shared" si="250"/>
        <v>3471648.2820503809</v>
      </c>
      <c r="W892" s="42">
        <f t="shared" si="251"/>
        <v>3471852.8674418493</v>
      </c>
    </row>
    <row r="893" spans="2:23" x14ac:dyDescent="0.3">
      <c r="B893" s="2">
        <v>885</v>
      </c>
      <c r="C893" s="2">
        <v>4517</v>
      </c>
      <c r="D893" s="4">
        <v>1905677.13</v>
      </c>
      <c r="E893" s="4">
        <f t="shared" si="234"/>
        <v>8607943596.2099991</v>
      </c>
      <c r="F893" s="2">
        <f t="shared" si="235"/>
        <v>20403289</v>
      </c>
      <c r="G893" s="2">
        <f t="shared" si="236"/>
        <v>3631605323805.0366</v>
      </c>
      <c r="H893" s="42">
        <f t="shared" si="237"/>
        <v>-507.48099999999977</v>
      </c>
      <c r="I893" s="2">
        <f t="shared" si="238"/>
        <v>257536.96536099978</v>
      </c>
      <c r="J893" s="4">
        <f t="shared" si="239"/>
        <v>616575.23319000076</v>
      </c>
      <c r="K893" s="2">
        <f t="shared" si="240"/>
        <v>380165018183.30383</v>
      </c>
      <c r="L893" s="2">
        <f t="shared" si="241"/>
        <v>-312900215.91449463</v>
      </c>
      <c r="N893" s="42">
        <f t="shared" si="242"/>
        <v>1160589.7699230232</v>
      </c>
      <c r="O893" s="42">
        <f t="shared" si="243"/>
        <v>16515366757.014208</v>
      </c>
      <c r="P893" s="4">
        <f t="shared" si="244"/>
        <v>745087.36007697671</v>
      </c>
      <c r="Q893" s="4">
        <f t="shared" si="245"/>
        <v>555155174146.47839</v>
      </c>
      <c r="R893" s="43">
        <f t="shared" si="246"/>
        <v>1.0324435320904644E-3</v>
      </c>
      <c r="S893" s="4">
        <f t="shared" si="247"/>
        <v>0.61263180887877589</v>
      </c>
      <c r="T893" s="30">
        <f t="shared" si="248"/>
        <v>1083787.3414171613</v>
      </c>
      <c r="U893" s="31">
        <f t="shared" si="249"/>
        <v>1237392.1984288851</v>
      </c>
      <c r="V893" s="31">
        <f t="shared" si="250"/>
        <v>3551987.4268990634</v>
      </c>
      <c r="W893" s="42">
        <f t="shared" si="251"/>
        <v>3552064.9360339092</v>
      </c>
    </row>
    <row r="894" spans="2:23" x14ac:dyDescent="0.3">
      <c r="B894" s="2">
        <v>886</v>
      </c>
      <c r="C894" s="2">
        <v>7033</v>
      </c>
      <c r="D894" s="4">
        <v>1446688.0999999999</v>
      </c>
      <c r="E894" s="4">
        <f t="shared" si="234"/>
        <v>10174557407.299999</v>
      </c>
      <c r="F894" s="2">
        <f t="shared" si="235"/>
        <v>49463089</v>
      </c>
      <c r="G894" s="2">
        <f t="shared" si="236"/>
        <v>2092906458681.6096</v>
      </c>
      <c r="H894" s="42">
        <f t="shared" si="237"/>
        <v>2008.5190000000002</v>
      </c>
      <c r="I894" s="2">
        <f t="shared" si="238"/>
        <v>4034148.573361001</v>
      </c>
      <c r="J894" s="4">
        <f t="shared" si="239"/>
        <v>157586.20319000073</v>
      </c>
      <c r="K894" s="2">
        <f t="shared" si="240"/>
        <v>24833411435.840195</v>
      </c>
      <c r="L894" s="2">
        <f t="shared" si="241"/>
        <v>316514883.24497712</v>
      </c>
      <c r="N894" s="42">
        <f t="shared" si="242"/>
        <v>1797729.9017656576</v>
      </c>
      <c r="O894" s="42">
        <f t="shared" si="243"/>
        <v>258702447425.17331</v>
      </c>
      <c r="P894" s="4">
        <f t="shared" si="244"/>
        <v>-351041.80176565773</v>
      </c>
      <c r="Q894" s="4">
        <f t="shared" si="245"/>
        <v>123230346586.87933</v>
      </c>
      <c r="R894" s="43">
        <f t="shared" si="246"/>
        <v>1.5082067675763603E-3</v>
      </c>
      <c r="S894" s="4">
        <f t="shared" si="247"/>
        <v>-0.2887052114666665</v>
      </c>
      <c r="T894" s="30">
        <f t="shared" si="248"/>
        <v>1704903.3450032321</v>
      </c>
      <c r="U894" s="31">
        <f t="shared" si="249"/>
        <v>1890556.4585280831</v>
      </c>
      <c r="V894" s="31">
        <f t="shared" si="250"/>
        <v>4188559.1715326412</v>
      </c>
      <c r="W894" s="42">
        <f t="shared" si="251"/>
        <v>4189773.3016104558</v>
      </c>
    </row>
    <row r="895" spans="2:23" x14ac:dyDescent="0.3">
      <c r="B895" s="2">
        <v>887</v>
      </c>
      <c r="C895" s="2">
        <v>2065</v>
      </c>
      <c r="D895" s="4">
        <v>1379977.55</v>
      </c>
      <c r="E895" s="4">
        <f t="shared" si="234"/>
        <v>2849653640.75</v>
      </c>
      <c r="F895" s="2">
        <f t="shared" si="235"/>
        <v>4264225</v>
      </c>
      <c r="G895" s="2">
        <f t="shared" si="236"/>
        <v>1904338038504.0027</v>
      </c>
      <c r="H895" s="42">
        <f t="shared" si="237"/>
        <v>-2959.4809999999998</v>
      </c>
      <c r="I895" s="2">
        <f t="shared" si="238"/>
        <v>8758527.7893609982</v>
      </c>
      <c r="J895" s="4">
        <f t="shared" si="239"/>
        <v>90875.653190000914</v>
      </c>
      <c r="K895" s="2">
        <f t="shared" si="240"/>
        <v>8258384342.7093229</v>
      </c>
      <c r="L895" s="2">
        <f t="shared" si="241"/>
        <v>-268944768.97839707</v>
      </c>
      <c r="N895" s="42">
        <f t="shared" si="242"/>
        <v>539656.7002576259</v>
      </c>
      <c r="O895" s="42">
        <f t="shared" si="243"/>
        <v>561668102635.42529</v>
      </c>
      <c r="P895" s="4">
        <f t="shared" si="244"/>
        <v>840320.84974237415</v>
      </c>
      <c r="Q895" s="4">
        <f t="shared" si="245"/>
        <v>706139130511.74573</v>
      </c>
      <c r="R895" s="43">
        <f t="shared" si="246"/>
        <v>2.1033661789135504E-3</v>
      </c>
      <c r="S895" s="4">
        <f t="shared" si="247"/>
        <v>0.69130611544964271</v>
      </c>
      <c r="T895" s="30">
        <f t="shared" si="248"/>
        <v>430034.31642138935</v>
      </c>
      <c r="U895" s="31">
        <f t="shared" si="249"/>
        <v>649279.08409386245</v>
      </c>
      <c r="V895" s="31">
        <f t="shared" si="250"/>
        <v>2929774.7516887588</v>
      </c>
      <c r="W895" s="42">
        <f t="shared" si="251"/>
        <v>2932410.7461508997</v>
      </c>
    </row>
    <row r="896" spans="2:23" x14ac:dyDescent="0.3">
      <c r="B896" s="2">
        <v>888</v>
      </c>
      <c r="C896" s="2">
        <v>1960</v>
      </c>
      <c r="D896" s="4">
        <v>93002</v>
      </c>
      <c r="E896" s="4">
        <f t="shared" si="234"/>
        <v>182283920</v>
      </c>
      <c r="F896" s="2">
        <f t="shared" si="235"/>
        <v>3841600</v>
      </c>
      <c r="G896" s="2">
        <f t="shared" si="236"/>
        <v>8649372004</v>
      </c>
      <c r="H896" s="42">
        <f t="shared" si="237"/>
        <v>-3064.4809999999998</v>
      </c>
      <c r="I896" s="2">
        <f t="shared" si="238"/>
        <v>9391043.799360998</v>
      </c>
      <c r="J896" s="4">
        <f t="shared" si="239"/>
        <v>-1196099.8968099991</v>
      </c>
      <c r="K896" s="2">
        <f t="shared" si="240"/>
        <v>1430654963148.8906</v>
      </c>
      <c r="L896" s="2">
        <f t="shared" si="241"/>
        <v>3665425407.8762026</v>
      </c>
      <c r="N896" s="42">
        <f t="shared" si="242"/>
        <v>513066.98887309618</v>
      </c>
      <c r="O896" s="42">
        <f t="shared" si="243"/>
        <v>602230178336.63745</v>
      </c>
      <c r="P896" s="4">
        <f t="shared" si="244"/>
        <v>-420064.98887309618</v>
      </c>
      <c r="Q896" s="4">
        <f t="shared" si="245"/>
        <v>176454594876.95441</v>
      </c>
      <c r="R896" s="43">
        <f t="shared" si="246"/>
        <v>2.1830481517107463E-3</v>
      </c>
      <c r="S896" s="4">
        <f t="shared" si="247"/>
        <v>-0.34558834334207222</v>
      </c>
      <c r="T896" s="30">
        <f t="shared" si="248"/>
        <v>401387.4900559627</v>
      </c>
      <c r="U896" s="31">
        <f t="shared" si="249"/>
        <v>624746.48769022967</v>
      </c>
      <c r="V896" s="31">
        <f t="shared" si="250"/>
        <v>2903089.8039020337</v>
      </c>
      <c r="W896" s="42">
        <f t="shared" si="251"/>
        <v>2905916.162464432</v>
      </c>
    </row>
    <row r="897" spans="2:23" x14ac:dyDescent="0.3">
      <c r="B897" s="2">
        <v>889</v>
      </c>
      <c r="C897" s="2">
        <v>6099</v>
      </c>
      <c r="D897" s="4">
        <v>666498.72</v>
      </c>
      <c r="E897" s="4">
        <f t="shared" si="234"/>
        <v>4064975693.2799997</v>
      </c>
      <c r="F897" s="2">
        <f t="shared" si="235"/>
        <v>37197801</v>
      </c>
      <c r="G897" s="2">
        <f t="shared" si="236"/>
        <v>444220543761.63837</v>
      </c>
      <c r="H897" s="42">
        <f t="shared" si="237"/>
        <v>1074.5190000000002</v>
      </c>
      <c r="I897" s="2">
        <f t="shared" si="238"/>
        <v>1154591.0813610004</v>
      </c>
      <c r="J897" s="4">
        <f t="shared" si="239"/>
        <v>-622603.17680999916</v>
      </c>
      <c r="K897" s="2">
        <f t="shared" si="240"/>
        <v>387634715773.90308</v>
      </c>
      <c r="L897" s="2">
        <f t="shared" si="241"/>
        <v>-668998942.9427036</v>
      </c>
      <c r="N897" s="42">
        <f t="shared" si="242"/>
        <v>1561208.0881166032</v>
      </c>
      <c r="O897" s="42">
        <f t="shared" si="243"/>
        <v>74041779347.386215</v>
      </c>
      <c r="P897" s="4">
        <f t="shared" si="244"/>
        <v>-894709.36811660323</v>
      </c>
      <c r="Q897" s="4">
        <f t="shared" si="245"/>
        <v>800504853395.61145</v>
      </c>
      <c r="R897" s="43">
        <f t="shared" si="246"/>
        <v>1.1454510141757392E-3</v>
      </c>
      <c r="S897" s="4">
        <f t="shared" si="247"/>
        <v>-0.73569685096111037</v>
      </c>
      <c r="T897" s="30">
        <f t="shared" si="248"/>
        <v>1480311.527186546</v>
      </c>
      <c r="U897" s="31">
        <f t="shared" si="249"/>
        <v>1642104.6490466604</v>
      </c>
      <c r="V897" s="31">
        <f t="shared" si="250"/>
        <v>3952470.7489810642</v>
      </c>
      <c r="W897" s="42">
        <f t="shared" si="251"/>
        <v>3952818.2383440612</v>
      </c>
    </row>
    <row r="898" spans="2:23" x14ac:dyDescent="0.3">
      <c r="B898" s="2">
        <v>890</v>
      </c>
      <c r="C898" s="2">
        <v>5893</v>
      </c>
      <c r="D898" s="4">
        <v>899153.94000000006</v>
      </c>
      <c r="E898" s="4">
        <f t="shared" si="234"/>
        <v>5298714168.4200001</v>
      </c>
      <c r="F898" s="2">
        <f t="shared" si="235"/>
        <v>34727449</v>
      </c>
      <c r="G898" s="2">
        <f t="shared" si="236"/>
        <v>808477807817.52368</v>
      </c>
      <c r="H898" s="42">
        <f t="shared" si="237"/>
        <v>868.51900000000023</v>
      </c>
      <c r="I898" s="2">
        <f t="shared" si="238"/>
        <v>754325.25336100045</v>
      </c>
      <c r="J898" s="4">
        <f t="shared" si="239"/>
        <v>-389947.95680999907</v>
      </c>
      <c r="K898" s="2">
        <f t="shared" si="240"/>
        <v>152059409020.29291</v>
      </c>
      <c r="L898" s="2">
        <f t="shared" si="241"/>
        <v>-338677209.5006637</v>
      </c>
      <c r="N898" s="42">
        <f t="shared" si="242"/>
        <v>1509041.6067336213</v>
      </c>
      <c r="O898" s="42">
        <f t="shared" si="243"/>
        <v>48373476001.287079</v>
      </c>
      <c r="P898" s="4">
        <f t="shared" si="244"/>
        <v>-609887.66673362127</v>
      </c>
      <c r="Q898" s="4">
        <f t="shared" si="245"/>
        <v>371962966033.7807</v>
      </c>
      <c r="R898" s="43">
        <f t="shared" si="246"/>
        <v>1.0950270402144428E-3</v>
      </c>
      <c r="S898" s="4">
        <f t="shared" si="247"/>
        <v>-0.50148252256335379</v>
      </c>
      <c r="T898" s="30">
        <f t="shared" si="248"/>
        <v>1429945.6614762205</v>
      </c>
      <c r="U898" s="31">
        <f t="shared" si="249"/>
        <v>1588137.5519910222</v>
      </c>
      <c r="V898" s="31">
        <f t="shared" si="250"/>
        <v>3900364.5038470021</v>
      </c>
      <c r="W898" s="42">
        <f t="shared" si="251"/>
        <v>3900591.5279472377</v>
      </c>
    </row>
    <row r="899" spans="2:23" x14ac:dyDescent="0.3">
      <c r="B899" s="2">
        <v>891</v>
      </c>
      <c r="C899" s="2">
        <v>9785</v>
      </c>
      <c r="D899" s="4">
        <v>6539021.9500000002</v>
      </c>
      <c r="E899" s="4">
        <f t="shared" si="234"/>
        <v>63984329780.75</v>
      </c>
      <c r="F899" s="2">
        <f t="shared" si="235"/>
        <v>95746225</v>
      </c>
      <c r="G899" s="2">
        <f t="shared" si="236"/>
        <v>42758808062581.805</v>
      </c>
      <c r="H899" s="42">
        <f t="shared" si="237"/>
        <v>4760.5190000000002</v>
      </c>
      <c r="I899" s="2">
        <f t="shared" si="238"/>
        <v>22662541.149361003</v>
      </c>
      <c r="J899" s="4">
        <f t="shared" si="239"/>
        <v>5249920.0531900013</v>
      </c>
      <c r="K899" s="2">
        <f t="shared" si="240"/>
        <v>27561660564886.508</v>
      </c>
      <c r="L899" s="2">
        <f t="shared" si="241"/>
        <v>24992344161.692013</v>
      </c>
      <c r="N899" s="42">
        <f t="shared" si="242"/>
        <v>2494633.5753868539</v>
      </c>
      <c r="O899" s="42">
        <f t="shared" si="243"/>
        <v>1453306628052.3291</v>
      </c>
      <c r="P899" s="4">
        <f t="shared" si="244"/>
        <v>4044388.3746131463</v>
      </c>
      <c r="Q899" s="4">
        <f t="shared" si="245"/>
        <v>16357077324705.967</v>
      </c>
      <c r="R899" s="43">
        <f t="shared" si="246"/>
        <v>3.8549411537878863E-3</v>
      </c>
      <c r="S899" s="4">
        <f t="shared" si="247"/>
        <v>3.3301178199556234</v>
      </c>
      <c r="T899" s="30">
        <f t="shared" si="248"/>
        <v>2346227.8434533603</v>
      </c>
      <c r="U899" s="31">
        <f t="shared" si="249"/>
        <v>2643039.3073203475</v>
      </c>
      <c r="V899" s="31">
        <f t="shared" si="250"/>
        <v>4882657.2573347902</v>
      </c>
      <c r="W899" s="42">
        <f t="shared" si="251"/>
        <v>4889477.8539092401</v>
      </c>
    </row>
    <row r="900" spans="2:23" x14ac:dyDescent="0.3">
      <c r="B900" s="2">
        <v>892</v>
      </c>
      <c r="C900" s="2">
        <v>8248</v>
      </c>
      <c r="D900" s="4">
        <v>391367.60000000003</v>
      </c>
      <c r="E900" s="4">
        <f t="shared" si="234"/>
        <v>3227999964.8000002</v>
      </c>
      <c r="F900" s="2">
        <f t="shared" si="235"/>
        <v>68029504</v>
      </c>
      <c r="G900" s="2">
        <f t="shared" si="236"/>
        <v>153168598329.76004</v>
      </c>
      <c r="H900" s="42">
        <f t="shared" si="237"/>
        <v>3223.5190000000002</v>
      </c>
      <c r="I900" s="2">
        <f t="shared" si="238"/>
        <v>10391074.743361002</v>
      </c>
      <c r="J900" s="4">
        <f t="shared" si="239"/>
        <v>-897734.29680999904</v>
      </c>
      <c r="K900" s="2">
        <f t="shared" si="240"/>
        <v>805926867668.94348</v>
      </c>
      <c r="L900" s="2">
        <f t="shared" si="241"/>
        <v>-2893863562.7186713</v>
      </c>
      <c r="N900" s="42">
        <f t="shared" si="242"/>
        <v>2105410.8477866435</v>
      </c>
      <c r="O900" s="42">
        <f t="shared" si="243"/>
        <v>666360303444.5896</v>
      </c>
      <c r="P900" s="4">
        <f t="shared" si="244"/>
        <v>-1714043.2477866434</v>
      </c>
      <c r="Q900" s="4">
        <f t="shared" si="245"/>
        <v>2937944255282.9849</v>
      </c>
      <c r="R900" s="43">
        <f t="shared" si="246"/>
        <v>2.3090282648088514E-3</v>
      </c>
      <c r="S900" s="4">
        <f t="shared" si="247"/>
        <v>-1.4102359864712624</v>
      </c>
      <c r="T900" s="30">
        <f t="shared" si="248"/>
        <v>1990554.1242172243</v>
      </c>
      <c r="U900" s="31">
        <f t="shared" si="249"/>
        <v>2220267.5713560628</v>
      </c>
      <c r="V900" s="31">
        <f t="shared" si="250"/>
        <v>4495283.0828372519</v>
      </c>
      <c r="W900" s="42">
        <f t="shared" si="251"/>
        <v>4498410.4140318604</v>
      </c>
    </row>
    <row r="901" spans="2:23" x14ac:dyDescent="0.3">
      <c r="B901" s="2">
        <v>893</v>
      </c>
      <c r="C901" s="2">
        <v>8787</v>
      </c>
      <c r="D901" s="4">
        <v>416943.15</v>
      </c>
      <c r="E901" s="4">
        <f t="shared" si="234"/>
        <v>3663679459.0500002</v>
      </c>
      <c r="F901" s="2">
        <f t="shared" si="235"/>
        <v>77211369</v>
      </c>
      <c r="G901" s="2">
        <f t="shared" si="236"/>
        <v>173841590331.92252</v>
      </c>
      <c r="H901" s="42">
        <f t="shared" si="237"/>
        <v>3762.5190000000002</v>
      </c>
      <c r="I901" s="2">
        <f t="shared" si="238"/>
        <v>14156549.225361003</v>
      </c>
      <c r="J901" s="4">
        <f t="shared" si="239"/>
        <v>-872158.74680999911</v>
      </c>
      <c r="K901" s="2">
        <f t="shared" si="240"/>
        <v>760660879637.18811</v>
      </c>
      <c r="L901" s="2">
        <f t="shared" si="241"/>
        <v>-3281513855.8888111</v>
      </c>
      <c r="N901" s="42">
        <f t="shared" si="242"/>
        <v>2241904.6995605626</v>
      </c>
      <c r="O901" s="42">
        <f t="shared" si="243"/>
        <v>907833180929.32922</v>
      </c>
      <c r="P901" s="4">
        <f t="shared" si="244"/>
        <v>-1824961.5495605627</v>
      </c>
      <c r="Q901" s="4">
        <f t="shared" si="245"/>
        <v>3330484657374.4902</v>
      </c>
      <c r="R901" s="43">
        <f t="shared" si="246"/>
        <v>2.783388487316513E-3</v>
      </c>
      <c r="S901" s="4">
        <f t="shared" si="247"/>
        <v>-1.5018515422124228</v>
      </c>
      <c r="T901" s="30">
        <f t="shared" si="248"/>
        <v>2115800.7432611696</v>
      </c>
      <c r="U901" s="31">
        <f t="shared" si="249"/>
        <v>2368008.6558599556</v>
      </c>
      <c r="V901" s="31">
        <f t="shared" si="250"/>
        <v>4631209.8619499411</v>
      </c>
      <c r="W901" s="42">
        <f t="shared" si="251"/>
        <v>4635470.4632058926</v>
      </c>
    </row>
    <row r="902" spans="2:23" x14ac:dyDescent="0.3">
      <c r="B902" s="2">
        <v>894</v>
      </c>
      <c r="C902" s="2">
        <v>937</v>
      </c>
      <c r="D902" s="4">
        <v>192740.9</v>
      </c>
      <c r="E902" s="4">
        <f t="shared" si="234"/>
        <v>180598223.29999998</v>
      </c>
      <c r="F902" s="2">
        <f t="shared" si="235"/>
        <v>877969</v>
      </c>
      <c r="G902" s="2">
        <f t="shared" si="236"/>
        <v>37149054532.809998</v>
      </c>
      <c r="H902" s="42">
        <f t="shared" si="237"/>
        <v>-4087.4809999999998</v>
      </c>
      <c r="I902" s="2">
        <f t="shared" si="238"/>
        <v>16707500.925360998</v>
      </c>
      <c r="J902" s="4">
        <f t="shared" si="239"/>
        <v>-1096360.9968099992</v>
      </c>
      <c r="K902" s="2">
        <f t="shared" si="240"/>
        <v>1202007435326.2151</v>
      </c>
      <c r="L902" s="2">
        <f t="shared" si="241"/>
        <v>4481354743.6019325</v>
      </c>
      <c r="N902" s="42">
        <f t="shared" si="242"/>
        <v>254007.22938382154</v>
      </c>
      <c r="O902" s="42">
        <f t="shared" si="243"/>
        <v>1071420970534.1091</v>
      </c>
      <c r="P902" s="4">
        <f t="shared" si="244"/>
        <v>-61266.329383821547</v>
      </c>
      <c r="Q902" s="4">
        <f t="shared" si="245"/>
        <v>3753563116.1669154</v>
      </c>
      <c r="R902" s="43">
        <f t="shared" si="246"/>
        <v>3.1047477268500065E-3</v>
      </c>
      <c r="S902" s="4">
        <f t="shared" si="247"/>
        <v>-5.0427232697679694E-2</v>
      </c>
      <c r="T902" s="30">
        <f t="shared" si="248"/>
        <v>120822.33898518007</v>
      </c>
      <c r="U902" s="31">
        <f t="shared" si="249"/>
        <v>387192.11978246301</v>
      </c>
      <c r="V902" s="31">
        <f t="shared" si="250"/>
        <v>2642928.1472428446</v>
      </c>
      <c r="W902" s="42">
        <f t="shared" si="251"/>
        <v>2647956.4920314644</v>
      </c>
    </row>
    <row r="903" spans="2:23" x14ac:dyDescent="0.3">
      <c r="B903" s="2">
        <v>895</v>
      </c>
      <c r="C903" s="2">
        <v>1268</v>
      </c>
      <c r="D903" s="4">
        <v>847366.36</v>
      </c>
      <c r="E903" s="4">
        <f t="shared" si="234"/>
        <v>1074460544.48</v>
      </c>
      <c r="F903" s="2">
        <f t="shared" si="235"/>
        <v>1607824</v>
      </c>
      <c r="G903" s="2">
        <f t="shared" si="236"/>
        <v>718029748059.64954</v>
      </c>
      <c r="H903" s="42">
        <f t="shared" si="237"/>
        <v>-3756.4809999999998</v>
      </c>
      <c r="I903" s="2">
        <f t="shared" si="238"/>
        <v>14111149.503360998</v>
      </c>
      <c r="J903" s="4">
        <f t="shared" si="239"/>
        <v>-441735.53680999915</v>
      </c>
      <c r="K903" s="2">
        <f t="shared" si="240"/>
        <v>195130284480.81812</v>
      </c>
      <c r="L903" s="2">
        <f t="shared" si="241"/>
        <v>1659371151.0515623</v>
      </c>
      <c r="N903" s="42">
        <f t="shared" si="242"/>
        <v>337828.12908171979</v>
      </c>
      <c r="O903" s="42">
        <f t="shared" si="243"/>
        <v>904921781167.95642</v>
      </c>
      <c r="P903" s="4">
        <f t="shared" si="244"/>
        <v>509538.2309182802</v>
      </c>
      <c r="Q903" s="4">
        <f t="shared" si="245"/>
        <v>259629208767.33063</v>
      </c>
      <c r="R903" s="43">
        <f t="shared" si="246"/>
        <v>2.7776692021818888E-3</v>
      </c>
      <c r="S903" s="4">
        <f t="shared" si="247"/>
        <v>0.41932312692440205</v>
      </c>
      <c r="T903" s="30">
        <f t="shared" si="248"/>
        <v>211853.79812185842</v>
      </c>
      <c r="U903" s="31">
        <f t="shared" si="249"/>
        <v>463802.46004158119</v>
      </c>
      <c r="V903" s="31">
        <f t="shared" si="250"/>
        <v>2727140.1293768063</v>
      </c>
      <c r="W903" s="42">
        <f t="shared" si="251"/>
        <v>2731387.0669734683</v>
      </c>
    </row>
    <row r="904" spans="2:23" x14ac:dyDescent="0.3">
      <c r="B904" s="2">
        <v>896</v>
      </c>
      <c r="C904" s="2">
        <v>8376</v>
      </c>
      <c r="D904" s="4">
        <v>2138225.2799999998</v>
      </c>
      <c r="E904" s="4">
        <f t="shared" si="234"/>
        <v>17909774945.279999</v>
      </c>
      <c r="F904" s="2">
        <f t="shared" si="235"/>
        <v>70157376</v>
      </c>
      <c r="G904" s="2">
        <f t="shared" si="236"/>
        <v>4572007348031.0771</v>
      </c>
      <c r="H904" s="42">
        <f t="shared" si="237"/>
        <v>3351.5190000000002</v>
      </c>
      <c r="I904" s="2">
        <f t="shared" si="238"/>
        <v>11232679.607361002</v>
      </c>
      <c r="J904" s="4">
        <f t="shared" si="239"/>
        <v>849123.38319000066</v>
      </c>
      <c r="K904" s="2">
        <f t="shared" si="240"/>
        <v>721010519880.03271</v>
      </c>
      <c r="L904" s="2">
        <f t="shared" si="241"/>
        <v>2845853152.1055679</v>
      </c>
      <c r="N904" s="42">
        <f t="shared" si="242"/>
        <v>2137824.9721411178</v>
      </c>
      <c r="O904" s="42">
        <f t="shared" si="243"/>
        <v>720330858599.51172</v>
      </c>
      <c r="P904" s="4">
        <f t="shared" si="244"/>
        <v>400.30785888200626</v>
      </c>
      <c r="Q904" s="4">
        <f t="shared" si="245"/>
        <v>160246.38188269624</v>
      </c>
      <c r="R904" s="43">
        <f t="shared" si="246"/>
        <v>2.415050460008678E-3</v>
      </c>
      <c r="S904" s="4">
        <f t="shared" si="247"/>
        <v>3.2937240464677662E-4</v>
      </c>
      <c r="T904" s="30">
        <f t="shared" si="248"/>
        <v>2020360.9403237659</v>
      </c>
      <c r="U904" s="31">
        <f t="shared" si="249"/>
        <v>2255289.0039584697</v>
      </c>
      <c r="V904" s="31">
        <f t="shared" si="250"/>
        <v>4527570.4749183711</v>
      </c>
      <c r="W904" s="42">
        <f t="shared" si="251"/>
        <v>4530951.0983349467</v>
      </c>
    </row>
    <row r="905" spans="2:23" x14ac:dyDescent="0.3">
      <c r="B905" s="2">
        <v>897</v>
      </c>
      <c r="C905" s="2">
        <v>7893</v>
      </c>
      <c r="D905" s="4">
        <v>1623590.0999999999</v>
      </c>
      <c r="E905" s="4">
        <f t="shared" si="234"/>
        <v>12814996659.299999</v>
      </c>
      <c r="F905" s="2">
        <f t="shared" si="235"/>
        <v>62299449</v>
      </c>
      <c r="G905" s="2">
        <f t="shared" si="236"/>
        <v>2636044812818.0098</v>
      </c>
      <c r="H905" s="42">
        <f t="shared" si="237"/>
        <v>2868.5190000000002</v>
      </c>
      <c r="I905" s="2">
        <f t="shared" si="238"/>
        <v>8228401.2533610016</v>
      </c>
      <c r="J905" s="4">
        <f t="shared" si="239"/>
        <v>334488.20319000073</v>
      </c>
      <c r="K905" s="2">
        <f t="shared" si="240"/>
        <v>111882358073.27521</v>
      </c>
      <c r="L905" s="2">
        <f t="shared" si="241"/>
        <v>959485766.12637782</v>
      </c>
      <c r="N905" s="42">
        <f t="shared" si="242"/>
        <v>2015512.2997722814</v>
      </c>
      <c r="O905" s="42">
        <f t="shared" si="243"/>
        <v>527672073531.82538</v>
      </c>
      <c r="P905" s="4">
        <f t="shared" si="244"/>
        <v>-391922.19977228157</v>
      </c>
      <c r="Q905" s="4">
        <f t="shared" si="245"/>
        <v>153603010674.34418</v>
      </c>
      <c r="R905" s="43">
        <f t="shared" si="246"/>
        <v>2.0365828444954648E-3</v>
      </c>
      <c r="S905" s="4">
        <f t="shared" si="247"/>
        <v>-0.32241155015142225</v>
      </c>
      <c r="T905" s="30">
        <f t="shared" si="248"/>
        <v>1907644.2469104556</v>
      </c>
      <c r="U905" s="31">
        <f t="shared" si="249"/>
        <v>2123380.3526341072</v>
      </c>
      <c r="V905" s="31">
        <f t="shared" si="250"/>
        <v>4405710.1681477623</v>
      </c>
      <c r="W905" s="42">
        <f t="shared" si="251"/>
        <v>4408186.6139924377</v>
      </c>
    </row>
    <row r="906" spans="2:23" x14ac:dyDescent="0.3">
      <c r="B906" s="2">
        <v>898</v>
      </c>
      <c r="C906" s="2">
        <v>7478</v>
      </c>
      <c r="D906" s="4">
        <v>1908983.84</v>
      </c>
      <c r="E906" s="4">
        <f t="shared" ref="E906:E969" si="252">C906*D906</f>
        <v>14275381155.52</v>
      </c>
      <c r="F906" s="2">
        <f t="shared" ref="F906:F969" si="253">POWER(C906,2)</f>
        <v>55920484</v>
      </c>
      <c r="G906" s="2">
        <f t="shared" ref="G906:G969" si="254">POWER(D906,2)</f>
        <v>3644219301381.146</v>
      </c>
      <c r="H906" s="42">
        <f t="shared" ref="H906:H969" si="255">C906-$AG$9</f>
        <v>2453.5190000000002</v>
      </c>
      <c r="I906" s="2">
        <f t="shared" ref="I906:I969" si="256">POWER(H906,2)</f>
        <v>6019755.4833610011</v>
      </c>
      <c r="J906" s="4">
        <f t="shared" ref="J906:J969" si="257">D906-$AG$10</f>
        <v>619881.94319000095</v>
      </c>
      <c r="K906" s="2">
        <f t="shared" ref="K906:K969" si="258">POWER(J906,2)</f>
        <v>384253623493.0116</v>
      </c>
      <c r="L906" s="2">
        <f t="shared" ref="L906:L969" si="259">H906*J906</f>
        <v>1520892125.3735881</v>
      </c>
      <c r="N906" s="42">
        <f t="shared" ref="N906:N969" si="260">$AG$18+$AG$17*C906</f>
        <v>1910419.6309667593</v>
      </c>
      <c r="O906" s="42">
        <f t="shared" ref="O906:O969" si="261">(N906-$AG$10)^2</f>
        <v>386035726777.69049</v>
      </c>
      <c r="P906" s="4">
        <f t="shared" ref="P906:P969" si="262">D906-N906</f>
        <v>-1435.790966759203</v>
      </c>
      <c r="Q906" s="4">
        <f t="shared" ref="Q906:Q969" si="263">P906^2</f>
        <v>2061495.7002273267</v>
      </c>
      <c r="R906" s="43">
        <f t="shared" ref="R906:R969" si="264">(1/$AG$8)+((I906)/($I$1009))</f>
        <v>1.7583460103578097E-3</v>
      </c>
      <c r="S906" s="4">
        <f t="shared" ref="S906:S969" si="265">P906 / ($AG$19*SQRT(1-R906))</f>
        <v>-1.1809769223017838E-3</v>
      </c>
      <c r="T906" s="30">
        <f t="shared" ref="T906:T969" si="266">N906-$AK$16*SQRT($AG$25*((1/$AG$8)+((C906-$AG$9)^2)/$I$1009))</f>
        <v>1810190.4990532263</v>
      </c>
      <c r="U906" s="31">
        <f t="shared" ref="U906:U969" si="267">N906+$AK$16*SQRT($AG$25*((1/$AG$8)+((C906-$AG$9)^2)/$I$1009))</f>
        <v>2010648.7628802923</v>
      </c>
      <c r="V906" s="31">
        <f t="shared" ref="V906:V969" si="268">N906+$AK$16*SQRT($AG$25*(1+(1/$AG$8)-((C906-$AG$9)^2)/$I$1009))</f>
        <v>4300950.0089228218</v>
      </c>
      <c r="W906" s="42">
        <f t="shared" ref="W906:W969" si="269">N906+$AK$16*SQRT($AG$25*(1+(1/$AG$8)+((C906-$AG$9)^2)/$I$1009))</f>
        <v>4302761.7335902182</v>
      </c>
    </row>
    <row r="907" spans="2:23" x14ac:dyDescent="0.3">
      <c r="B907" s="2">
        <v>899</v>
      </c>
      <c r="C907" s="2">
        <v>1825</v>
      </c>
      <c r="D907" s="4">
        <v>278458.5</v>
      </c>
      <c r="E907" s="4">
        <f t="shared" si="252"/>
        <v>508186762.5</v>
      </c>
      <c r="F907" s="2">
        <f t="shared" si="253"/>
        <v>3330625</v>
      </c>
      <c r="G907" s="2">
        <f t="shared" si="254"/>
        <v>77539136222.25</v>
      </c>
      <c r="H907" s="42">
        <f t="shared" si="255"/>
        <v>-3199.4809999999998</v>
      </c>
      <c r="I907" s="2">
        <f t="shared" si="256"/>
        <v>10236678.669360999</v>
      </c>
      <c r="J907" s="4">
        <f t="shared" si="257"/>
        <v>-1010643.3968099991</v>
      </c>
      <c r="K907" s="2">
        <f t="shared" si="258"/>
        <v>1021400075515.6533</v>
      </c>
      <c r="L907" s="2">
        <f t="shared" si="259"/>
        <v>3233534345.8690524</v>
      </c>
      <c r="N907" s="42">
        <f t="shared" si="260"/>
        <v>478880.21709298663</v>
      </c>
      <c r="O907" s="42">
        <f t="shared" si="261"/>
        <v>656459170283.45715</v>
      </c>
      <c r="P907" s="4">
        <f t="shared" si="262"/>
        <v>-200421.71709298663</v>
      </c>
      <c r="Q907" s="4">
        <f t="shared" si="263"/>
        <v>40168864682.501167</v>
      </c>
      <c r="R907" s="43">
        <f t="shared" si="264"/>
        <v>2.2895780318124372E-3</v>
      </c>
      <c r="S907" s="4">
        <f t="shared" si="265"/>
        <v>-0.1648961677209696</v>
      </c>
      <c r="T907" s="30">
        <f t="shared" si="266"/>
        <v>364508.26768683433</v>
      </c>
      <c r="U907" s="31">
        <f t="shared" si="267"/>
        <v>593252.16649913893</v>
      </c>
      <c r="V907" s="31">
        <f t="shared" si="268"/>
        <v>2868775.7010010029</v>
      </c>
      <c r="W907" s="42">
        <f t="shared" si="269"/>
        <v>2871856.564638373</v>
      </c>
    </row>
    <row r="908" spans="2:23" x14ac:dyDescent="0.3">
      <c r="B908" s="2">
        <v>900</v>
      </c>
      <c r="C908" s="2">
        <v>7657</v>
      </c>
      <c r="D908" s="4">
        <v>4986314.9700000007</v>
      </c>
      <c r="E908" s="4">
        <f t="shared" si="252"/>
        <v>38180213725.290009</v>
      </c>
      <c r="F908" s="2">
        <f t="shared" si="253"/>
        <v>58629649</v>
      </c>
      <c r="G908" s="2">
        <f t="shared" si="254"/>
        <v>24863336980046.109</v>
      </c>
      <c r="H908" s="42">
        <f t="shared" si="255"/>
        <v>2632.5190000000002</v>
      </c>
      <c r="I908" s="2">
        <f t="shared" si="256"/>
        <v>6930156.2853610013</v>
      </c>
      <c r="J908" s="4">
        <f t="shared" si="257"/>
        <v>3697213.0731900018</v>
      </c>
      <c r="K908" s="2">
        <f t="shared" si="258"/>
        <v>13669384508567.057</v>
      </c>
      <c r="L908" s="2">
        <f t="shared" si="259"/>
        <v>9732983662.2210712</v>
      </c>
      <c r="N908" s="42">
        <f t="shared" si="260"/>
        <v>1955748.7579937195</v>
      </c>
      <c r="O908" s="42">
        <f t="shared" si="261"/>
        <v>444418037526.10657</v>
      </c>
      <c r="P908" s="4">
        <f t="shared" si="262"/>
        <v>3030566.2120062811</v>
      </c>
      <c r="Q908" s="4">
        <f t="shared" si="263"/>
        <v>9184331565354.0996</v>
      </c>
      <c r="R908" s="43">
        <f t="shared" si="264"/>
        <v>1.8730348574266913E-3</v>
      </c>
      <c r="S908" s="4">
        <f t="shared" si="265"/>
        <v>2.4928659236089605</v>
      </c>
      <c r="T908" s="30">
        <f t="shared" si="266"/>
        <v>1852302.5135151888</v>
      </c>
      <c r="U908" s="31">
        <f t="shared" si="267"/>
        <v>2059195.0024722503</v>
      </c>
      <c r="V908" s="31">
        <f t="shared" si="268"/>
        <v>4346142.0815532934</v>
      </c>
      <c r="W908" s="42">
        <f t="shared" si="269"/>
        <v>4348227.8033768563</v>
      </c>
    </row>
    <row r="909" spans="2:23" x14ac:dyDescent="0.3">
      <c r="B909" s="2">
        <v>901</v>
      </c>
      <c r="C909" s="2">
        <v>8730</v>
      </c>
      <c r="D909" s="4">
        <v>3683099.6999999997</v>
      </c>
      <c r="E909" s="4">
        <f t="shared" si="252"/>
        <v>32153460380.999996</v>
      </c>
      <c r="F909" s="2">
        <f t="shared" si="253"/>
        <v>76212900</v>
      </c>
      <c r="G909" s="2">
        <f t="shared" si="254"/>
        <v>13565223400140.088</v>
      </c>
      <c r="H909" s="42">
        <f t="shared" si="255"/>
        <v>3705.5190000000002</v>
      </c>
      <c r="I909" s="2">
        <f t="shared" si="256"/>
        <v>13730871.059361001</v>
      </c>
      <c r="J909" s="4">
        <f t="shared" si="257"/>
        <v>2393997.8031900004</v>
      </c>
      <c r="K909" s="2">
        <f t="shared" si="258"/>
        <v>5731225481678.5479</v>
      </c>
      <c r="L909" s="2">
        <f t="shared" si="259"/>
        <v>8871004345.6788082</v>
      </c>
      <c r="N909" s="42">
        <f t="shared" si="260"/>
        <v>2227470.2848089607</v>
      </c>
      <c r="O909" s="42">
        <f t="shared" si="261"/>
        <v>880535231595.76978</v>
      </c>
      <c r="P909" s="4">
        <f t="shared" si="262"/>
        <v>1455629.415191039</v>
      </c>
      <c r="Q909" s="4">
        <f t="shared" si="263"/>
        <v>2118856994369.4063</v>
      </c>
      <c r="R909" s="43">
        <f t="shared" si="264"/>
        <v>2.7297631632024685E-3</v>
      </c>
      <c r="S909" s="4">
        <f t="shared" si="265"/>
        <v>1.1978775690756451</v>
      </c>
      <c r="T909" s="30">
        <f t="shared" si="266"/>
        <v>2102587.0087032267</v>
      </c>
      <c r="U909" s="31">
        <f t="shared" si="267"/>
        <v>2352353.5609146948</v>
      </c>
      <c r="V909" s="31">
        <f t="shared" si="268"/>
        <v>4616839.5601960849</v>
      </c>
      <c r="W909" s="42">
        <f t="shared" si="269"/>
        <v>4620972.0478648376</v>
      </c>
    </row>
    <row r="910" spans="2:23" x14ac:dyDescent="0.3">
      <c r="B910" s="2">
        <v>902</v>
      </c>
      <c r="C910" s="2">
        <v>828</v>
      </c>
      <c r="D910" s="4">
        <v>39288.600000000006</v>
      </c>
      <c r="E910" s="4">
        <f t="shared" si="252"/>
        <v>32530960.800000004</v>
      </c>
      <c r="F910" s="2">
        <f t="shared" si="253"/>
        <v>685584</v>
      </c>
      <c r="G910" s="2">
        <f t="shared" si="254"/>
        <v>1543594089.9600005</v>
      </c>
      <c r="H910" s="42">
        <f t="shared" si="255"/>
        <v>-4196.4809999999998</v>
      </c>
      <c r="I910" s="2">
        <f t="shared" si="256"/>
        <v>17610452.783360999</v>
      </c>
      <c r="J910" s="4">
        <f t="shared" si="257"/>
        <v>-1249813.296809999</v>
      </c>
      <c r="K910" s="2">
        <f t="shared" si="258"/>
        <v>1562033276883.0789</v>
      </c>
      <c r="L910" s="2">
        <f t="shared" si="259"/>
        <v>5244817753.6105213</v>
      </c>
      <c r="N910" s="42">
        <f t="shared" si="260"/>
        <v>226404.57661321457</v>
      </c>
      <c r="O910" s="42">
        <f t="shared" si="261"/>
        <v>1129325594353.4272</v>
      </c>
      <c r="P910" s="4">
        <f t="shared" si="262"/>
        <v>-187115.97661321456</v>
      </c>
      <c r="Q910" s="4">
        <f t="shared" si="263"/>
        <v>35012388703.917061</v>
      </c>
      <c r="R910" s="43">
        <f t="shared" si="264"/>
        <v>3.2184981841488396E-3</v>
      </c>
      <c r="S910" s="4">
        <f t="shared" si="265"/>
        <v>-0.15402064015275721</v>
      </c>
      <c r="T910" s="30">
        <f t="shared" si="266"/>
        <v>90801.846614301496</v>
      </c>
      <c r="U910" s="31">
        <f t="shared" si="267"/>
        <v>362007.30661212764</v>
      </c>
      <c r="V910" s="31">
        <f t="shared" si="268"/>
        <v>2615189.4699076563</v>
      </c>
      <c r="W910" s="42">
        <f t="shared" si="269"/>
        <v>2620489.5704018334</v>
      </c>
    </row>
    <row r="911" spans="2:23" x14ac:dyDescent="0.3">
      <c r="B911" s="2">
        <v>903</v>
      </c>
      <c r="C911" s="2">
        <v>6770</v>
      </c>
      <c r="D911" s="4">
        <v>4408691.7</v>
      </c>
      <c r="E911" s="4">
        <f t="shared" si="252"/>
        <v>29846842809</v>
      </c>
      <c r="F911" s="2">
        <f t="shared" si="253"/>
        <v>45832900</v>
      </c>
      <c r="G911" s="2">
        <f t="shared" si="254"/>
        <v>19436562505648.891</v>
      </c>
      <c r="H911" s="42">
        <f t="shared" si="255"/>
        <v>1745.5190000000002</v>
      </c>
      <c r="I911" s="2">
        <f t="shared" si="256"/>
        <v>3046836.579361001</v>
      </c>
      <c r="J911" s="4">
        <f t="shared" si="257"/>
        <v>3119589.8031900013</v>
      </c>
      <c r="K911" s="2">
        <f t="shared" si="258"/>
        <v>9731840540167.0313</v>
      </c>
      <c r="L911" s="2">
        <f t="shared" si="259"/>
        <v>5445303273.6744089</v>
      </c>
      <c r="N911" s="42">
        <f t="shared" si="260"/>
        <v>1731129.0056310738</v>
      </c>
      <c r="O911" s="42">
        <f t="shared" si="261"/>
        <v>195387964932.71823</v>
      </c>
      <c r="P911" s="4">
        <f t="shared" si="262"/>
        <v>2677562.6943689263</v>
      </c>
      <c r="Q911" s="4">
        <f t="shared" si="263"/>
        <v>7169341982276.1846</v>
      </c>
      <c r="R911" s="43">
        <f t="shared" si="264"/>
        <v>1.3838289396566324E-3</v>
      </c>
      <c r="S911" s="4">
        <f t="shared" si="265"/>
        <v>2.2019547479014072</v>
      </c>
      <c r="T911" s="30">
        <f t="shared" si="266"/>
        <v>1642212.3738297636</v>
      </c>
      <c r="U911" s="31">
        <f t="shared" si="267"/>
        <v>1820045.6374323841</v>
      </c>
      <c r="V911" s="31">
        <f t="shared" si="268"/>
        <v>4122106.8807700314</v>
      </c>
      <c r="W911" s="42">
        <f t="shared" si="269"/>
        <v>4123023.8663035873</v>
      </c>
    </row>
    <row r="912" spans="2:23" x14ac:dyDescent="0.3">
      <c r="B912" s="2">
        <v>904</v>
      </c>
      <c r="C912" s="2">
        <v>1404</v>
      </c>
      <c r="D912" s="4">
        <v>216300.24</v>
      </c>
      <c r="E912" s="4">
        <f t="shared" si="252"/>
        <v>303685536.95999998</v>
      </c>
      <c r="F912" s="2">
        <f t="shared" si="253"/>
        <v>1971216</v>
      </c>
      <c r="G912" s="2">
        <f t="shared" si="254"/>
        <v>46785793824.057594</v>
      </c>
      <c r="H912" s="42">
        <f t="shared" si="255"/>
        <v>-3620.4809999999998</v>
      </c>
      <c r="I912" s="2">
        <f t="shared" si="256"/>
        <v>13107882.671360997</v>
      </c>
      <c r="J912" s="4">
        <f t="shared" si="257"/>
        <v>-1072801.6568099991</v>
      </c>
      <c r="K912" s="2">
        <f t="shared" si="258"/>
        <v>1150903394854.2793</v>
      </c>
      <c r="L912" s="2">
        <f t="shared" si="259"/>
        <v>3884058015.2491221</v>
      </c>
      <c r="N912" s="42">
        <f t="shared" si="260"/>
        <v>372268.13620834867</v>
      </c>
      <c r="O912" s="42">
        <f t="shared" si="261"/>
        <v>840584144578.96448</v>
      </c>
      <c r="P912" s="4">
        <f t="shared" si="262"/>
        <v>-155967.89620834868</v>
      </c>
      <c r="Q912" s="4">
        <f t="shared" si="263"/>
        <v>24325984647.658226</v>
      </c>
      <c r="R912" s="43">
        <f t="shared" si="264"/>
        <v>2.6512814441617362E-3</v>
      </c>
      <c r="S912" s="4">
        <f t="shared" si="265"/>
        <v>-0.12834523086241706</v>
      </c>
      <c r="T912" s="30">
        <f t="shared" si="266"/>
        <v>249193.1729201235</v>
      </c>
      <c r="U912" s="31">
        <f t="shared" si="267"/>
        <v>495343.09949657385</v>
      </c>
      <c r="V912" s="31">
        <f t="shared" si="268"/>
        <v>2761731.2391305296</v>
      </c>
      <c r="W912" s="42">
        <f t="shared" si="269"/>
        <v>2765676.2300546719</v>
      </c>
    </row>
    <row r="913" spans="2:23" x14ac:dyDescent="0.3">
      <c r="B913" s="2">
        <v>905</v>
      </c>
      <c r="C913" s="2">
        <v>6610</v>
      </c>
      <c r="D913" s="4">
        <v>4304498.1000000006</v>
      </c>
      <c r="E913" s="4">
        <f t="shared" si="252"/>
        <v>28452732441.000004</v>
      </c>
      <c r="F913" s="2">
        <f t="shared" si="253"/>
        <v>43692100</v>
      </c>
      <c r="G913" s="2">
        <f t="shared" si="254"/>
        <v>18528703892903.613</v>
      </c>
      <c r="H913" s="42">
        <f t="shared" si="255"/>
        <v>1585.5190000000002</v>
      </c>
      <c r="I913" s="2">
        <f t="shared" si="256"/>
        <v>2513870.499361001</v>
      </c>
      <c r="J913" s="4">
        <f t="shared" si="257"/>
        <v>3015396.2031900017</v>
      </c>
      <c r="K913" s="2">
        <f t="shared" si="258"/>
        <v>9092614262212.6777</v>
      </c>
      <c r="L913" s="2">
        <f t="shared" si="259"/>
        <v>4780967972.6856089</v>
      </c>
      <c r="N913" s="42">
        <f t="shared" si="260"/>
        <v>1690611.350187981</v>
      </c>
      <c r="O913" s="42">
        <f t="shared" si="261"/>
        <v>161209841151.88583</v>
      </c>
      <c r="P913" s="4">
        <f t="shared" si="262"/>
        <v>2613886.7498120195</v>
      </c>
      <c r="Q913" s="4">
        <f t="shared" si="263"/>
        <v>6832403940842.8428</v>
      </c>
      <c r="R913" s="43">
        <f t="shared" si="264"/>
        <v>1.3166878902334121E-3</v>
      </c>
      <c r="S913" s="4">
        <f t="shared" si="265"/>
        <v>2.149517123461985</v>
      </c>
      <c r="T913" s="30">
        <f t="shared" si="266"/>
        <v>1603878.5796559514</v>
      </c>
      <c r="U913" s="31">
        <f t="shared" si="267"/>
        <v>1777344.1207200107</v>
      </c>
      <c r="V913" s="31">
        <f t="shared" si="268"/>
        <v>4081669.4409358269</v>
      </c>
      <c r="W913" s="42">
        <f t="shared" si="269"/>
        <v>4082426.023314822</v>
      </c>
    </row>
    <row r="914" spans="2:23" x14ac:dyDescent="0.3">
      <c r="B914" s="2">
        <v>906</v>
      </c>
      <c r="C914" s="2">
        <v>6299</v>
      </c>
      <c r="D914" s="4">
        <v>1608008.72</v>
      </c>
      <c r="E914" s="4">
        <f t="shared" si="252"/>
        <v>10128846927.280001</v>
      </c>
      <c r="F914" s="2">
        <f t="shared" si="253"/>
        <v>39677401</v>
      </c>
      <c r="G914" s="2">
        <f t="shared" si="254"/>
        <v>2585692043596.0381</v>
      </c>
      <c r="H914" s="42">
        <f t="shared" si="255"/>
        <v>1274.5190000000002</v>
      </c>
      <c r="I914" s="2">
        <f t="shared" si="256"/>
        <v>1624398.6813610005</v>
      </c>
      <c r="J914" s="4">
        <f t="shared" si="257"/>
        <v>318906.82319000084</v>
      </c>
      <c r="K914" s="2">
        <f t="shared" si="258"/>
        <v>101701561877.13846</v>
      </c>
      <c r="L914" s="2">
        <f t="shared" si="259"/>
        <v>406452805.38529676</v>
      </c>
      <c r="N914" s="42">
        <f t="shared" si="260"/>
        <v>1611855.1574204692</v>
      </c>
      <c r="O914" s="42">
        <f t="shared" si="261"/>
        <v>104169667234.69002</v>
      </c>
      <c r="P914" s="4">
        <f t="shared" si="262"/>
        <v>-3846.4374204692431</v>
      </c>
      <c r="Q914" s="4">
        <f t="shared" si="263"/>
        <v>14795080.829586085</v>
      </c>
      <c r="R914" s="43">
        <f t="shared" si="264"/>
        <v>1.2046355973503464E-3</v>
      </c>
      <c r="S914" s="4">
        <f t="shared" si="265"/>
        <v>-3.1629217697705038E-3</v>
      </c>
      <c r="T914" s="30">
        <f t="shared" si="266"/>
        <v>1528894.9851834357</v>
      </c>
      <c r="U914" s="31">
        <f t="shared" si="267"/>
        <v>1694815.3296575027</v>
      </c>
      <c r="V914" s="31">
        <f t="shared" si="268"/>
        <v>4003047.1147165149</v>
      </c>
      <c r="W914" s="42">
        <f t="shared" si="269"/>
        <v>4003535.9988536006</v>
      </c>
    </row>
    <row r="915" spans="2:23" x14ac:dyDescent="0.3">
      <c r="B915" s="2">
        <v>907</v>
      </c>
      <c r="C915" s="2">
        <v>1414</v>
      </c>
      <c r="D915" s="4">
        <v>596552.46</v>
      </c>
      <c r="E915" s="4">
        <f t="shared" si="252"/>
        <v>843525178.43999994</v>
      </c>
      <c r="F915" s="2">
        <f t="shared" si="253"/>
        <v>1999396</v>
      </c>
      <c r="G915" s="2">
        <f t="shared" si="254"/>
        <v>355874837532.05157</v>
      </c>
      <c r="H915" s="42">
        <f t="shared" si="255"/>
        <v>-3610.4809999999998</v>
      </c>
      <c r="I915" s="2">
        <f t="shared" si="256"/>
        <v>13035573.051360998</v>
      </c>
      <c r="J915" s="4">
        <f t="shared" si="257"/>
        <v>-692549.43680999917</v>
      </c>
      <c r="K915" s="2">
        <f t="shared" si="258"/>
        <v>479624722425.84705</v>
      </c>
      <c r="L915" s="2">
        <f t="shared" si="259"/>
        <v>2500436583.1632023</v>
      </c>
      <c r="N915" s="42">
        <f t="shared" si="260"/>
        <v>374800.48967354198</v>
      </c>
      <c r="O915" s="42">
        <f t="shared" si="261"/>
        <v>835947063091.70557</v>
      </c>
      <c r="P915" s="4">
        <f t="shared" si="262"/>
        <v>221751.97032645799</v>
      </c>
      <c r="Q915" s="4">
        <f t="shared" si="263"/>
        <v>49173936343.666306</v>
      </c>
      <c r="R915" s="43">
        <f t="shared" si="264"/>
        <v>2.642172151933994E-3</v>
      </c>
      <c r="S915" s="4">
        <f t="shared" si="265"/>
        <v>0.18247779539907577</v>
      </c>
      <c r="T915" s="30">
        <f t="shared" si="266"/>
        <v>251937.13923764881</v>
      </c>
      <c r="U915" s="31">
        <f t="shared" si="267"/>
        <v>497663.84010943514</v>
      </c>
      <c r="V915" s="31">
        <f t="shared" si="268"/>
        <v>2764274.4828223605</v>
      </c>
      <c r="W915" s="42">
        <f t="shared" si="269"/>
        <v>2768197.7111938284</v>
      </c>
    </row>
    <row r="916" spans="2:23" x14ac:dyDescent="0.3">
      <c r="B916" s="2">
        <v>908</v>
      </c>
      <c r="C916" s="2">
        <v>4928</v>
      </c>
      <c r="D916" s="4">
        <v>1013689.6</v>
      </c>
      <c r="E916" s="4">
        <f t="shared" si="252"/>
        <v>4995462348.8000002</v>
      </c>
      <c r="F916" s="2">
        <f t="shared" si="253"/>
        <v>24285184</v>
      </c>
      <c r="G916" s="2">
        <f t="shared" si="254"/>
        <v>1027566605148.1599</v>
      </c>
      <c r="H916" s="42">
        <f t="shared" si="255"/>
        <v>-96.480999999999767</v>
      </c>
      <c r="I916" s="2">
        <f t="shared" si="256"/>
        <v>9308.5833609999554</v>
      </c>
      <c r="J916" s="4">
        <f t="shared" si="257"/>
        <v>-275412.29680999916</v>
      </c>
      <c r="K916" s="2">
        <f t="shared" si="258"/>
        <v>75851933234.159073</v>
      </c>
      <c r="L916" s="2">
        <f t="shared" si="259"/>
        <v>26572053.808525465</v>
      </c>
      <c r="N916" s="42">
        <f t="shared" si="260"/>
        <v>1264669.4973424678</v>
      </c>
      <c r="O916" s="42">
        <f t="shared" si="261"/>
        <v>596942143.74102664</v>
      </c>
      <c r="P916" s="4">
        <f t="shared" si="262"/>
        <v>-250979.8973424678</v>
      </c>
      <c r="Q916" s="4">
        <f t="shared" si="263"/>
        <v>62990908870.035675</v>
      </c>
      <c r="R916" s="43">
        <f t="shared" si="264"/>
        <v>1.0011726600978078E-3</v>
      </c>
      <c r="S916" s="4">
        <f t="shared" si="265"/>
        <v>-0.20635950927892982</v>
      </c>
      <c r="T916" s="30">
        <f t="shared" si="266"/>
        <v>1189039.1161249953</v>
      </c>
      <c r="U916" s="31">
        <f t="shared" si="267"/>
        <v>1340299.8785599403</v>
      </c>
      <c r="V916" s="31">
        <f t="shared" si="268"/>
        <v>3656104.5084292823</v>
      </c>
      <c r="W916" s="42">
        <f t="shared" si="269"/>
        <v>3656107.3099697987</v>
      </c>
    </row>
    <row r="917" spans="2:23" x14ac:dyDescent="0.3">
      <c r="B917" s="2">
        <v>909</v>
      </c>
      <c r="C917" s="2">
        <v>6846</v>
      </c>
      <c r="D917" s="4">
        <v>1408222.2</v>
      </c>
      <c r="E917" s="4">
        <f t="shared" si="252"/>
        <v>9640689181.1999989</v>
      </c>
      <c r="F917" s="2">
        <f t="shared" si="253"/>
        <v>46867716</v>
      </c>
      <c r="G917" s="2">
        <f t="shared" si="254"/>
        <v>1983089764572.8398</v>
      </c>
      <c r="H917" s="42">
        <f t="shared" si="255"/>
        <v>1821.5190000000002</v>
      </c>
      <c r="I917" s="2">
        <f t="shared" si="256"/>
        <v>3317931.4673610008</v>
      </c>
      <c r="J917" s="4">
        <f t="shared" si="257"/>
        <v>119120.30319000082</v>
      </c>
      <c r="K917" s="2">
        <f t="shared" si="258"/>
        <v>14189646632.077721</v>
      </c>
      <c r="L917" s="2">
        <f t="shared" si="259"/>
        <v>216979895.54634714</v>
      </c>
      <c r="N917" s="42">
        <f t="shared" si="260"/>
        <v>1750374.8919665427</v>
      </c>
      <c r="O917" s="42">
        <f t="shared" si="261"/>
        <v>212772776060.68866</v>
      </c>
      <c r="P917" s="4">
        <f t="shared" si="262"/>
        <v>-342152.69196654274</v>
      </c>
      <c r="Q917" s="4">
        <f t="shared" si="263"/>
        <v>117068464619.95189</v>
      </c>
      <c r="R917" s="43">
        <f t="shared" si="264"/>
        <v>1.4179804475229309E-3</v>
      </c>
      <c r="S917" s="4">
        <f t="shared" si="265"/>
        <v>-0.28138188109637791</v>
      </c>
      <c r="T917" s="30">
        <f t="shared" si="266"/>
        <v>1660367.7606986025</v>
      </c>
      <c r="U917" s="31">
        <f t="shared" si="267"/>
        <v>1840382.0232344829</v>
      </c>
      <c r="V917" s="31">
        <f t="shared" si="268"/>
        <v>4141311.9641488725</v>
      </c>
      <c r="W917" s="42">
        <f t="shared" si="269"/>
        <v>4142310.5392572004</v>
      </c>
    </row>
    <row r="918" spans="2:23" x14ac:dyDescent="0.3">
      <c r="B918" s="2">
        <v>910</v>
      </c>
      <c r="C918" s="2">
        <v>9205</v>
      </c>
      <c r="D918" s="4">
        <v>3883497.4499999997</v>
      </c>
      <c r="E918" s="4">
        <f t="shared" si="252"/>
        <v>35747594027.25</v>
      </c>
      <c r="F918" s="2">
        <f t="shared" si="253"/>
        <v>84732025</v>
      </c>
      <c r="G918" s="2">
        <f t="shared" si="254"/>
        <v>15081552444156.5</v>
      </c>
      <c r="H918" s="42">
        <f t="shared" si="255"/>
        <v>4180.5190000000002</v>
      </c>
      <c r="I918" s="2">
        <f t="shared" si="256"/>
        <v>17476739.109361</v>
      </c>
      <c r="J918" s="4">
        <f t="shared" si="257"/>
        <v>2594395.5531900004</v>
      </c>
      <c r="K918" s="2">
        <f t="shared" si="258"/>
        <v>6730888286412.0479</v>
      </c>
      <c r="L918" s="2">
        <f t="shared" si="259"/>
        <v>10845919903.626308</v>
      </c>
      <c r="N918" s="42">
        <f t="shared" si="260"/>
        <v>2347757.0744056422</v>
      </c>
      <c r="O918" s="42">
        <f t="shared" si="261"/>
        <v>1120750785050.0625</v>
      </c>
      <c r="P918" s="4">
        <f t="shared" si="262"/>
        <v>1535740.3755943575</v>
      </c>
      <c r="Q918" s="4">
        <f t="shared" si="263"/>
        <v>2358498501230.6982</v>
      </c>
      <c r="R918" s="43">
        <f t="shared" si="264"/>
        <v>3.2016534416192694E-3</v>
      </c>
      <c r="S918" s="4">
        <f t="shared" si="265"/>
        <v>1.2641021971499642</v>
      </c>
      <c r="T918" s="30">
        <f t="shared" si="266"/>
        <v>2212509.6637979546</v>
      </c>
      <c r="U918" s="31">
        <f t="shared" si="267"/>
        <v>2483004.4850133299</v>
      </c>
      <c r="V918" s="31">
        <f t="shared" si="268"/>
        <v>4736562.1113935523</v>
      </c>
      <c r="W918" s="42">
        <f t="shared" si="269"/>
        <v>4741821.9689264186</v>
      </c>
    </row>
    <row r="919" spans="2:23" x14ac:dyDescent="0.3">
      <c r="B919" s="2">
        <v>911</v>
      </c>
      <c r="C919" s="2">
        <v>1071</v>
      </c>
      <c r="D919" s="4">
        <v>697445.91</v>
      </c>
      <c r="E919" s="4">
        <f t="shared" si="252"/>
        <v>746964569.61000001</v>
      </c>
      <c r="F919" s="2">
        <f t="shared" si="253"/>
        <v>1147041</v>
      </c>
      <c r="G919" s="2">
        <f t="shared" si="254"/>
        <v>486430797375.72815</v>
      </c>
      <c r="H919" s="42">
        <f t="shared" si="255"/>
        <v>-3953.4809999999998</v>
      </c>
      <c r="I919" s="2">
        <f t="shared" si="256"/>
        <v>15630012.017360998</v>
      </c>
      <c r="J919" s="4">
        <f t="shared" si="257"/>
        <v>-591655.9868099991</v>
      </c>
      <c r="K919" s="2">
        <f t="shared" si="258"/>
        <v>350056806728.11383</v>
      </c>
      <c r="L919" s="2">
        <f t="shared" si="259"/>
        <v>2339100702.3895817</v>
      </c>
      <c r="N919" s="42">
        <f t="shared" si="260"/>
        <v>287940.76581741177</v>
      </c>
      <c r="O919" s="42">
        <f t="shared" si="261"/>
        <v>1002323610210.3568</v>
      </c>
      <c r="P919" s="4">
        <f t="shared" si="262"/>
        <v>409505.14418258826</v>
      </c>
      <c r="Q919" s="4">
        <f t="shared" si="263"/>
        <v>167694463112.00241</v>
      </c>
      <c r="R919" s="43">
        <f t="shared" si="264"/>
        <v>2.9690097526340873E-3</v>
      </c>
      <c r="S919" s="4">
        <f t="shared" si="265"/>
        <v>0.33703350068490096</v>
      </c>
      <c r="T919" s="30">
        <f t="shared" si="266"/>
        <v>157699.79918242389</v>
      </c>
      <c r="U919" s="31">
        <f t="shared" si="267"/>
        <v>418181.73245239968</v>
      </c>
      <c r="V919" s="31">
        <f t="shared" si="268"/>
        <v>2677023.9911205568</v>
      </c>
      <c r="W919" s="42">
        <f t="shared" si="269"/>
        <v>2681728.0509559028</v>
      </c>
    </row>
    <row r="920" spans="2:23" x14ac:dyDescent="0.3">
      <c r="B920" s="2">
        <v>912</v>
      </c>
      <c r="C920" s="2">
        <v>3543</v>
      </c>
      <c r="D920" s="4">
        <v>540590.94000000006</v>
      </c>
      <c r="E920" s="4">
        <f t="shared" si="252"/>
        <v>1915313700.4200003</v>
      </c>
      <c r="F920" s="2">
        <f t="shared" si="253"/>
        <v>12552849</v>
      </c>
      <c r="G920" s="2">
        <f t="shared" si="254"/>
        <v>292238564410.08368</v>
      </c>
      <c r="H920" s="42">
        <f t="shared" si="255"/>
        <v>-1481.4809999999998</v>
      </c>
      <c r="I920" s="2">
        <f t="shared" si="256"/>
        <v>2194785.9533609995</v>
      </c>
      <c r="J920" s="4">
        <f t="shared" si="257"/>
        <v>-748510.95680999907</v>
      </c>
      <c r="K920" s="2">
        <f t="shared" si="258"/>
        <v>560268652464.62024</v>
      </c>
      <c r="L920" s="2">
        <f t="shared" si="259"/>
        <v>1108904760.8058341</v>
      </c>
      <c r="N920" s="42">
        <f t="shared" si="260"/>
        <v>913938.5424131956</v>
      </c>
      <c r="O920" s="42">
        <f t="shared" si="261"/>
        <v>140747542482.2616</v>
      </c>
      <c r="P920" s="4">
        <f t="shared" si="262"/>
        <v>-373347.60241319553</v>
      </c>
      <c r="Q920" s="4">
        <f t="shared" si="263"/>
        <v>139388432227.68152</v>
      </c>
      <c r="R920" s="43">
        <f t="shared" si="264"/>
        <v>1.2764908268984025E-3</v>
      </c>
      <c r="S920" s="4">
        <f t="shared" si="265"/>
        <v>-0.30701441608204694</v>
      </c>
      <c r="T920" s="30">
        <f t="shared" si="266"/>
        <v>828539.96270122507</v>
      </c>
      <c r="U920" s="31">
        <f t="shared" si="267"/>
        <v>999337.12212516612</v>
      </c>
      <c r="V920" s="31">
        <f t="shared" si="268"/>
        <v>3305044.6566201905</v>
      </c>
      <c r="W920" s="42">
        <f t="shared" si="269"/>
        <v>3305705.2063077977</v>
      </c>
    </row>
    <row r="921" spans="2:23" x14ac:dyDescent="0.3">
      <c r="B921" s="2">
        <v>913</v>
      </c>
      <c r="C921" s="2">
        <v>4751</v>
      </c>
      <c r="D921" s="4">
        <v>388299.23000000004</v>
      </c>
      <c r="E921" s="4">
        <f t="shared" si="252"/>
        <v>1844809641.7300003</v>
      </c>
      <c r="F921" s="2">
        <f t="shared" si="253"/>
        <v>22572001</v>
      </c>
      <c r="G921" s="2">
        <f t="shared" si="254"/>
        <v>150776292018.59293</v>
      </c>
      <c r="H921" s="42">
        <f t="shared" si="255"/>
        <v>-273.48099999999977</v>
      </c>
      <c r="I921" s="2">
        <f t="shared" si="256"/>
        <v>74791.857360999871</v>
      </c>
      <c r="J921" s="4">
        <f t="shared" si="257"/>
        <v>-900802.66680999915</v>
      </c>
      <c r="K921" s="2">
        <f t="shared" si="258"/>
        <v>811445444532.00635</v>
      </c>
      <c r="L921" s="2">
        <f t="shared" si="259"/>
        <v>246352414.12186515</v>
      </c>
      <c r="N921" s="42">
        <f t="shared" si="260"/>
        <v>1219846.8410085463</v>
      </c>
      <c r="O921" s="42">
        <f t="shared" si="261"/>
        <v>4796262754.0623465</v>
      </c>
      <c r="P921" s="4">
        <f t="shared" si="262"/>
        <v>-831547.61100854632</v>
      </c>
      <c r="Q921" s="4">
        <f t="shared" si="263"/>
        <v>691471429374.02063</v>
      </c>
      <c r="R921" s="43">
        <f t="shared" si="264"/>
        <v>1.00942199509494E-3</v>
      </c>
      <c r="S921" s="4">
        <f t="shared" si="265"/>
        <v>-0.68371398372612546</v>
      </c>
      <c r="T921" s="30">
        <f t="shared" si="266"/>
        <v>1143905.5142072556</v>
      </c>
      <c r="U921" s="31">
        <f t="shared" si="267"/>
        <v>1295788.167809837</v>
      </c>
      <c r="V921" s="31">
        <f t="shared" si="268"/>
        <v>3611271.9980432699</v>
      </c>
      <c r="W921" s="42">
        <f t="shared" si="269"/>
        <v>3611294.5076358207</v>
      </c>
    </row>
    <row r="922" spans="2:23" x14ac:dyDescent="0.3">
      <c r="B922" s="2">
        <v>914</v>
      </c>
      <c r="C922" s="2">
        <v>4857</v>
      </c>
      <c r="D922" s="4">
        <v>2049119.73</v>
      </c>
      <c r="E922" s="4">
        <f t="shared" si="252"/>
        <v>9952574528.6100006</v>
      </c>
      <c r="F922" s="2">
        <f t="shared" si="253"/>
        <v>23590449</v>
      </c>
      <c r="G922" s="2">
        <f t="shared" si="254"/>
        <v>4198891667875.2729</v>
      </c>
      <c r="H922" s="42">
        <f t="shared" si="255"/>
        <v>-167.48099999999977</v>
      </c>
      <c r="I922" s="2">
        <f t="shared" si="256"/>
        <v>28049.885360999921</v>
      </c>
      <c r="J922" s="4">
        <f t="shared" si="257"/>
        <v>760017.83319000085</v>
      </c>
      <c r="K922" s="2">
        <f t="shared" si="258"/>
        <v>577627106766.82397</v>
      </c>
      <c r="L922" s="2">
        <f t="shared" si="259"/>
        <v>-127288546.72049436</v>
      </c>
      <c r="N922" s="42">
        <f t="shared" si="260"/>
        <v>1246689.7877395954</v>
      </c>
      <c r="O922" s="42">
        <f t="shared" si="261"/>
        <v>1798786995.7998228</v>
      </c>
      <c r="P922" s="4">
        <f t="shared" si="262"/>
        <v>802429.94226040458</v>
      </c>
      <c r="Q922" s="4">
        <f t="shared" si="263"/>
        <v>643893812236.03625</v>
      </c>
      <c r="R922" s="43">
        <f t="shared" si="264"/>
        <v>1.0035336183858803E-3</v>
      </c>
      <c r="S922" s="4">
        <f t="shared" si="265"/>
        <v>0.65977094795083269</v>
      </c>
      <c r="T922" s="30">
        <f t="shared" si="266"/>
        <v>1170970.2835183779</v>
      </c>
      <c r="U922" s="31">
        <f t="shared" si="267"/>
        <v>1322409.2919608129</v>
      </c>
      <c r="V922" s="31">
        <f t="shared" si="268"/>
        <v>3638121.9786025072</v>
      </c>
      <c r="W922" s="42">
        <f t="shared" si="269"/>
        <v>3638130.4205841995</v>
      </c>
    </row>
    <row r="923" spans="2:23" x14ac:dyDescent="0.3">
      <c r="B923" s="2">
        <v>915</v>
      </c>
      <c r="C923" s="2">
        <v>1052</v>
      </c>
      <c r="D923" s="4">
        <v>685072.92</v>
      </c>
      <c r="E923" s="4">
        <f t="shared" si="252"/>
        <v>720696711.84000003</v>
      </c>
      <c r="F923" s="2">
        <f t="shared" si="253"/>
        <v>1106704</v>
      </c>
      <c r="G923" s="2">
        <f t="shared" si="254"/>
        <v>469324905717.32648</v>
      </c>
      <c r="H923" s="42">
        <f t="shared" si="255"/>
        <v>-3972.4809999999998</v>
      </c>
      <c r="I923" s="2">
        <f t="shared" si="256"/>
        <v>15780605.295360997</v>
      </c>
      <c r="J923" s="4">
        <f t="shared" si="257"/>
        <v>-604028.97680999909</v>
      </c>
      <c r="K923" s="2">
        <f t="shared" si="258"/>
        <v>364851004826.1344</v>
      </c>
      <c r="L923" s="2">
        <f t="shared" si="259"/>
        <v>2399493633.8271618</v>
      </c>
      <c r="N923" s="42">
        <f t="shared" si="260"/>
        <v>283129.2942335445</v>
      </c>
      <c r="O923" s="42">
        <f t="shared" si="261"/>
        <v>1011980877134.4456</v>
      </c>
      <c r="P923" s="4">
        <f t="shared" si="262"/>
        <v>401943.62576645555</v>
      </c>
      <c r="Q923" s="4">
        <f t="shared" si="263"/>
        <v>161558678294.28445</v>
      </c>
      <c r="R923" s="43">
        <f t="shared" si="264"/>
        <v>2.9879809237844212E-3</v>
      </c>
      <c r="S923" s="4">
        <f t="shared" si="265"/>
        <v>0.33081331953259002</v>
      </c>
      <c r="T923" s="30">
        <f t="shared" si="266"/>
        <v>152472.88786272943</v>
      </c>
      <c r="U923" s="31">
        <f t="shared" si="267"/>
        <v>413785.70060435956</v>
      </c>
      <c r="V923" s="31">
        <f t="shared" si="268"/>
        <v>2672189.835594763</v>
      </c>
      <c r="W923" s="42">
        <f t="shared" si="269"/>
        <v>2676939.2185229454</v>
      </c>
    </row>
    <row r="924" spans="2:23" x14ac:dyDescent="0.3">
      <c r="B924" s="2">
        <v>916</v>
      </c>
      <c r="C924" s="2">
        <v>2560</v>
      </c>
      <c r="D924" s="4">
        <v>279756.79999999999</v>
      </c>
      <c r="E924" s="4">
        <f t="shared" si="252"/>
        <v>716177408</v>
      </c>
      <c r="F924" s="2">
        <f t="shared" si="253"/>
        <v>6553600</v>
      </c>
      <c r="G924" s="2">
        <f t="shared" si="254"/>
        <v>78263867146.23999</v>
      </c>
      <c r="H924" s="42">
        <f t="shared" si="255"/>
        <v>-2464.4809999999998</v>
      </c>
      <c r="I924" s="2">
        <f t="shared" si="256"/>
        <v>6073666.5993609987</v>
      </c>
      <c r="J924" s="4">
        <f t="shared" si="257"/>
        <v>-1009345.0968099991</v>
      </c>
      <c r="K924" s="2">
        <f t="shared" si="258"/>
        <v>1018777524454.3865</v>
      </c>
      <c r="L924" s="2">
        <f t="shared" si="259"/>
        <v>2487511813.5314031</v>
      </c>
      <c r="N924" s="42">
        <f t="shared" si="260"/>
        <v>665008.19678469421</v>
      </c>
      <c r="O924" s="42">
        <f t="shared" si="261"/>
        <v>389492946411.27527</v>
      </c>
      <c r="P924" s="4">
        <f t="shared" si="262"/>
        <v>-385251.39678469423</v>
      </c>
      <c r="Q924" s="4">
        <f t="shared" si="263"/>
        <v>148418638724.55792</v>
      </c>
      <c r="R924" s="43">
        <f t="shared" si="264"/>
        <v>1.7651375286919912E-3</v>
      </c>
      <c r="S924" s="4">
        <f t="shared" si="265"/>
        <v>-0.31688077660932307</v>
      </c>
      <c r="T924" s="30">
        <f t="shared" si="266"/>
        <v>564585.68656288076</v>
      </c>
      <c r="U924" s="31">
        <f t="shared" si="267"/>
        <v>765430.70700650767</v>
      </c>
      <c r="V924" s="31">
        <f t="shared" si="268"/>
        <v>3055530.4590227278</v>
      </c>
      <c r="W924" s="42">
        <f t="shared" si="269"/>
        <v>3057358.408952625</v>
      </c>
    </row>
    <row r="925" spans="2:23" x14ac:dyDescent="0.3">
      <c r="B925" s="2">
        <v>917</v>
      </c>
      <c r="C925" s="2">
        <v>5637</v>
      </c>
      <c r="D925" s="4">
        <v>868436.22</v>
      </c>
      <c r="E925" s="4">
        <f t="shared" si="252"/>
        <v>4895374972.1399994</v>
      </c>
      <c r="F925" s="2">
        <f t="shared" si="253"/>
        <v>31775769</v>
      </c>
      <c r="G925" s="2">
        <f t="shared" si="254"/>
        <v>754181468207.88831</v>
      </c>
      <c r="H925" s="42">
        <f t="shared" si="255"/>
        <v>612.51900000000023</v>
      </c>
      <c r="I925" s="2">
        <f t="shared" si="256"/>
        <v>375179.52536100027</v>
      </c>
      <c r="J925" s="4">
        <f t="shared" si="257"/>
        <v>-420665.67680999916</v>
      </c>
      <c r="K925" s="2">
        <f t="shared" si="258"/>
        <v>176959611646.01468</v>
      </c>
      <c r="L925" s="2">
        <f t="shared" si="259"/>
        <v>-257665719.69398397</v>
      </c>
      <c r="N925" s="42">
        <f t="shared" si="260"/>
        <v>1444213.3580246728</v>
      </c>
      <c r="O925" s="42">
        <f t="shared" si="261"/>
        <v>24059565400.151226</v>
      </c>
      <c r="P925" s="4">
        <f t="shared" si="262"/>
        <v>-575777.13802467287</v>
      </c>
      <c r="Q925" s="4">
        <f t="shared" si="263"/>
        <v>331519312671.88318</v>
      </c>
      <c r="R925" s="43">
        <f t="shared" si="264"/>
        <v>1.0472636965092473E-3</v>
      </c>
      <c r="S925" s="4">
        <f t="shared" si="265"/>
        <v>-0.47342368833241893</v>
      </c>
      <c r="T925" s="30">
        <f t="shared" si="266"/>
        <v>1366861.665084268</v>
      </c>
      <c r="U925" s="31">
        <f t="shared" si="267"/>
        <v>1521565.0509650777</v>
      </c>
      <c r="V925" s="31">
        <f t="shared" si="268"/>
        <v>3835593.3116109176</v>
      </c>
      <c r="W925" s="42">
        <f t="shared" si="269"/>
        <v>3835706.2268205304</v>
      </c>
    </row>
    <row r="926" spans="2:23" x14ac:dyDescent="0.3">
      <c r="B926" s="2">
        <v>918</v>
      </c>
      <c r="C926" s="2">
        <v>8568</v>
      </c>
      <c r="D926" s="4">
        <v>5579567.2800000003</v>
      </c>
      <c r="E926" s="4">
        <f t="shared" si="252"/>
        <v>47805732455.040001</v>
      </c>
      <c r="F926" s="2">
        <f t="shared" si="253"/>
        <v>73410624</v>
      </c>
      <c r="G926" s="2">
        <f t="shared" si="254"/>
        <v>31131571032046.602</v>
      </c>
      <c r="H926" s="42">
        <f t="shared" si="255"/>
        <v>3543.5190000000002</v>
      </c>
      <c r="I926" s="2">
        <f t="shared" si="256"/>
        <v>12556526.903361002</v>
      </c>
      <c r="J926" s="4">
        <f t="shared" si="257"/>
        <v>4290465.3831900014</v>
      </c>
      <c r="K926" s="2">
        <f t="shared" si="258"/>
        <v>18408093204351.727</v>
      </c>
      <c r="L926" s="2">
        <f t="shared" si="259"/>
        <v>15203345604.176052</v>
      </c>
      <c r="N926" s="42">
        <f t="shared" si="260"/>
        <v>2186446.1586728292</v>
      </c>
      <c r="O926" s="42">
        <f t="shared" si="261"/>
        <v>805226724298.14722</v>
      </c>
      <c r="P926" s="4">
        <f t="shared" si="262"/>
        <v>3393121.1213271711</v>
      </c>
      <c r="Q926" s="4">
        <f t="shared" si="263"/>
        <v>11513270943996.559</v>
      </c>
      <c r="R926" s="43">
        <f t="shared" si="264"/>
        <v>2.5818237314512663E-3</v>
      </c>
      <c r="S926" s="4">
        <f t="shared" si="265"/>
        <v>2.7920858121015883</v>
      </c>
      <c r="T926" s="30">
        <f t="shared" si="266"/>
        <v>2064994.0406431637</v>
      </c>
      <c r="U926" s="31">
        <f t="shared" si="267"/>
        <v>2307898.2767024944</v>
      </c>
      <c r="V926" s="31">
        <f t="shared" si="268"/>
        <v>4575992.2975538103</v>
      </c>
      <c r="W926" s="42">
        <f t="shared" si="269"/>
        <v>4579771.350550144</v>
      </c>
    </row>
    <row r="927" spans="2:23" x14ac:dyDescent="0.3">
      <c r="B927" s="2">
        <v>919</v>
      </c>
      <c r="C927" s="2">
        <v>6670</v>
      </c>
      <c r="D927" s="4">
        <v>545139.1</v>
      </c>
      <c r="E927" s="4">
        <f t="shared" si="252"/>
        <v>3636077797</v>
      </c>
      <c r="F927" s="2">
        <f t="shared" si="253"/>
        <v>44488900</v>
      </c>
      <c r="G927" s="2">
        <f t="shared" si="254"/>
        <v>297176638348.81</v>
      </c>
      <c r="H927" s="42">
        <f t="shared" si="255"/>
        <v>1645.5190000000002</v>
      </c>
      <c r="I927" s="2">
        <f t="shared" si="256"/>
        <v>2707732.7793610008</v>
      </c>
      <c r="J927" s="4">
        <f t="shared" si="257"/>
        <v>-743962.79680999916</v>
      </c>
      <c r="K927" s="2">
        <f t="shared" si="258"/>
        <v>553480643037.35608</v>
      </c>
      <c r="L927" s="2">
        <f t="shared" si="259"/>
        <v>-1224204917.4439931</v>
      </c>
      <c r="N927" s="42">
        <f t="shared" si="260"/>
        <v>1705805.4709791406</v>
      </c>
      <c r="O927" s="42">
        <f t="shared" si="261"/>
        <v>173641868725.33719</v>
      </c>
      <c r="P927" s="4">
        <f t="shared" si="262"/>
        <v>-1160666.3709791405</v>
      </c>
      <c r="Q927" s="4">
        <f t="shared" si="263"/>
        <v>1347146424721.8879</v>
      </c>
      <c r="R927" s="43">
        <f t="shared" si="264"/>
        <v>1.3411099264777791E-3</v>
      </c>
      <c r="S927" s="4">
        <f t="shared" si="265"/>
        <v>-0.95448004580951173</v>
      </c>
      <c r="T927" s="30">
        <f t="shared" si="266"/>
        <v>1618272.0327891831</v>
      </c>
      <c r="U927" s="31">
        <f t="shared" si="267"/>
        <v>1793338.9091690981</v>
      </c>
      <c r="V927" s="31">
        <f t="shared" si="268"/>
        <v>4096834.3842324996</v>
      </c>
      <c r="W927" s="42">
        <f t="shared" si="269"/>
        <v>4097649.3120151833</v>
      </c>
    </row>
    <row r="928" spans="2:23" x14ac:dyDescent="0.3">
      <c r="B928" s="2">
        <v>920</v>
      </c>
      <c r="C928" s="2">
        <v>7293</v>
      </c>
      <c r="D928" s="4">
        <v>1500170.0999999999</v>
      </c>
      <c r="E928" s="4">
        <f t="shared" si="252"/>
        <v>10940740539.299999</v>
      </c>
      <c r="F928" s="2">
        <f t="shared" si="253"/>
        <v>53187849</v>
      </c>
      <c r="G928" s="2">
        <f t="shared" si="254"/>
        <v>2250510328934.0098</v>
      </c>
      <c r="H928" s="42">
        <f t="shared" si="255"/>
        <v>2268.5190000000002</v>
      </c>
      <c r="I928" s="2">
        <f t="shared" si="256"/>
        <v>5146178.4533610009</v>
      </c>
      <c r="J928" s="4">
        <f t="shared" si="257"/>
        <v>211068.20319000073</v>
      </c>
      <c r="K928" s="2">
        <f t="shared" si="258"/>
        <v>44549786397.855431</v>
      </c>
      <c r="L928" s="2">
        <f t="shared" si="259"/>
        <v>478812229.23237729</v>
      </c>
      <c r="N928" s="42">
        <f t="shared" si="260"/>
        <v>1863571.0918606834</v>
      </c>
      <c r="O928" s="42">
        <f t="shared" si="261"/>
        <v>330014856062.18115</v>
      </c>
      <c r="P928" s="4">
        <f t="shared" si="262"/>
        <v>-363400.99186068354</v>
      </c>
      <c r="Q928" s="4">
        <f t="shared" si="263"/>
        <v>132060280885.32858</v>
      </c>
      <c r="R928" s="43">
        <f t="shared" si="264"/>
        <v>1.6482960827034648E-3</v>
      </c>
      <c r="S928" s="4">
        <f t="shared" si="265"/>
        <v>-0.29889067438084777</v>
      </c>
      <c r="T928" s="30">
        <f t="shared" si="266"/>
        <v>1766529.164837125</v>
      </c>
      <c r="U928" s="31">
        <f t="shared" si="267"/>
        <v>1960613.0188842418</v>
      </c>
      <c r="V928" s="31">
        <f t="shared" si="268"/>
        <v>4254232.9732681001</v>
      </c>
      <c r="W928" s="42">
        <f t="shared" si="269"/>
        <v>4255781.7833970999</v>
      </c>
    </row>
    <row r="929" spans="2:23" x14ac:dyDescent="0.3">
      <c r="B929" s="2">
        <v>921</v>
      </c>
      <c r="C929" s="2">
        <v>4816</v>
      </c>
      <c r="D929" s="4">
        <v>741952.96</v>
      </c>
      <c r="E929" s="4">
        <f t="shared" si="252"/>
        <v>3573245455.3599997</v>
      </c>
      <c r="F929" s="2">
        <f t="shared" si="253"/>
        <v>23193856</v>
      </c>
      <c r="G929" s="2">
        <f t="shared" si="254"/>
        <v>550494194852.7616</v>
      </c>
      <c r="H929" s="42">
        <f t="shared" si="255"/>
        <v>-208.48099999999977</v>
      </c>
      <c r="I929" s="2">
        <f t="shared" si="256"/>
        <v>43464.327360999901</v>
      </c>
      <c r="J929" s="4">
        <f t="shared" si="257"/>
        <v>-547148.93680999917</v>
      </c>
      <c r="K929" s="2">
        <f t="shared" si="258"/>
        <v>299371959052.31244</v>
      </c>
      <c r="L929" s="2">
        <f t="shared" si="259"/>
        <v>114070157.49508531</v>
      </c>
      <c r="N929" s="42">
        <f t="shared" si="260"/>
        <v>1236307.1385323028</v>
      </c>
      <c r="O929" s="42">
        <f t="shared" si="261"/>
        <v>2787286501.6003847</v>
      </c>
      <c r="P929" s="4">
        <f t="shared" si="262"/>
        <v>-494354.17853230285</v>
      </c>
      <c r="Q929" s="4">
        <f t="shared" si="263"/>
        <v>244386053832.34796</v>
      </c>
      <c r="R929" s="43">
        <f t="shared" si="264"/>
        <v>1.0054754714436834E-3</v>
      </c>
      <c r="S929" s="4">
        <f t="shared" si="265"/>
        <v>-0.40646644001271781</v>
      </c>
      <c r="T929" s="30">
        <f t="shared" si="266"/>
        <v>1160514.4105109337</v>
      </c>
      <c r="U929" s="31">
        <f t="shared" si="267"/>
        <v>1312099.8665536719</v>
      </c>
      <c r="V929" s="31">
        <f t="shared" si="268"/>
        <v>3627737.009800531</v>
      </c>
      <c r="W929" s="42">
        <f t="shared" si="269"/>
        <v>3627750.0909611527</v>
      </c>
    </row>
    <row r="930" spans="2:23" x14ac:dyDescent="0.3">
      <c r="B930" s="2">
        <v>922</v>
      </c>
      <c r="C930" s="2">
        <v>5651</v>
      </c>
      <c r="D930" s="4">
        <v>870593.06</v>
      </c>
      <c r="E930" s="4">
        <f t="shared" si="252"/>
        <v>4919721382.0600004</v>
      </c>
      <c r="F930" s="2">
        <f t="shared" si="253"/>
        <v>31933801</v>
      </c>
      <c r="G930" s="2">
        <f t="shared" si="254"/>
        <v>757932276120.1637</v>
      </c>
      <c r="H930" s="42">
        <f t="shared" si="255"/>
        <v>626.51900000000023</v>
      </c>
      <c r="I930" s="2">
        <f t="shared" si="256"/>
        <v>392526.05736100028</v>
      </c>
      <c r="J930" s="4">
        <f t="shared" si="257"/>
        <v>-418508.83680999908</v>
      </c>
      <c r="K930" s="2">
        <f t="shared" si="258"/>
        <v>175149646488.05844</v>
      </c>
      <c r="L930" s="2">
        <f t="shared" si="259"/>
        <v>-262203737.92936391</v>
      </c>
      <c r="N930" s="42">
        <f t="shared" si="260"/>
        <v>1447758.6528759433</v>
      </c>
      <c r="O930" s="42">
        <f t="shared" si="261"/>
        <v>25171966245.368526</v>
      </c>
      <c r="P930" s="4">
        <f t="shared" si="262"/>
        <v>-577165.59287594329</v>
      </c>
      <c r="Q930" s="4">
        <f t="shared" si="263"/>
        <v>333120121599.83911</v>
      </c>
      <c r="R930" s="43">
        <f t="shared" si="264"/>
        <v>1.0494489469520774E-3</v>
      </c>
      <c r="S930" s="4">
        <f t="shared" si="265"/>
        <v>-0.47456584254445783</v>
      </c>
      <c r="T930" s="30">
        <f t="shared" si="266"/>
        <v>1370326.2998608556</v>
      </c>
      <c r="U930" s="31">
        <f t="shared" si="267"/>
        <v>1525191.0058910311</v>
      </c>
      <c r="V930" s="31">
        <f t="shared" si="268"/>
        <v>3839135.9960657293</v>
      </c>
      <c r="W930" s="42">
        <f t="shared" si="269"/>
        <v>3839254.1319421586</v>
      </c>
    </row>
    <row r="931" spans="2:23" x14ac:dyDescent="0.3">
      <c r="B931" s="2">
        <v>923</v>
      </c>
      <c r="C931" s="2">
        <v>3239</v>
      </c>
      <c r="D931" s="4">
        <v>30219.87</v>
      </c>
      <c r="E931" s="4">
        <f t="shared" si="252"/>
        <v>97882158.929999992</v>
      </c>
      <c r="F931" s="2">
        <f t="shared" si="253"/>
        <v>10491121</v>
      </c>
      <c r="G931" s="2">
        <f t="shared" si="254"/>
        <v>913240542.8168999</v>
      </c>
      <c r="H931" s="42">
        <f t="shared" si="255"/>
        <v>-1785.4809999999998</v>
      </c>
      <c r="I931" s="2">
        <f t="shared" si="256"/>
        <v>3187942.4013609993</v>
      </c>
      <c r="J931" s="4">
        <f t="shared" si="257"/>
        <v>-1258882.026809999</v>
      </c>
      <c r="K931" s="2">
        <f t="shared" si="258"/>
        <v>1584783957425.251</v>
      </c>
      <c r="L931" s="2">
        <f t="shared" si="259"/>
        <v>2247709940.1107435</v>
      </c>
      <c r="N931" s="42">
        <f t="shared" si="260"/>
        <v>836954.99707131926</v>
      </c>
      <c r="O931" s="42">
        <f t="shared" si="261"/>
        <v>204436818943.29984</v>
      </c>
      <c r="P931" s="4">
        <f t="shared" si="262"/>
        <v>-806735.12707131926</v>
      </c>
      <c r="Q931" s="4">
        <f t="shared" si="263"/>
        <v>650821565250.77759</v>
      </c>
      <c r="R931" s="43">
        <f t="shared" si="264"/>
        <v>1.40160491701115E-3</v>
      </c>
      <c r="S931" s="4">
        <f t="shared" si="265"/>
        <v>-0.66344293552916356</v>
      </c>
      <c r="T931" s="30">
        <f t="shared" si="266"/>
        <v>747469.09818300186</v>
      </c>
      <c r="U931" s="31">
        <f t="shared" si="267"/>
        <v>926440.89595963666</v>
      </c>
      <c r="V931" s="31">
        <f t="shared" si="268"/>
        <v>3227911.6342178495</v>
      </c>
      <c r="W931" s="42">
        <f t="shared" si="269"/>
        <v>3228871.0874057072</v>
      </c>
    </row>
    <row r="932" spans="2:23" x14ac:dyDescent="0.3">
      <c r="B932" s="2">
        <v>924</v>
      </c>
      <c r="C932" s="2">
        <v>3054</v>
      </c>
      <c r="D932" s="4">
        <v>628207.79999999993</v>
      </c>
      <c r="E932" s="4">
        <f t="shared" si="252"/>
        <v>1918546621.1999998</v>
      </c>
      <c r="F932" s="2">
        <f t="shared" si="253"/>
        <v>9326916</v>
      </c>
      <c r="G932" s="2">
        <f t="shared" si="254"/>
        <v>394645039980.8399</v>
      </c>
      <c r="H932" s="42">
        <f t="shared" si="255"/>
        <v>-1970.4809999999998</v>
      </c>
      <c r="I932" s="2">
        <f t="shared" si="256"/>
        <v>3882795.3713609991</v>
      </c>
      <c r="J932" s="4">
        <f t="shared" si="257"/>
        <v>-660894.0968099992</v>
      </c>
      <c r="K932" s="2">
        <f t="shared" si="258"/>
        <v>436781007198.30463</v>
      </c>
      <c r="L932" s="2">
        <f t="shared" si="259"/>
        <v>1302279260.776264</v>
      </c>
      <c r="N932" s="42">
        <f t="shared" si="260"/>
        <v>790106.45796524326</v>
      </c>
      <c r="O932" s="42">
        <f t="shared" si="261"/>
        <v>248996447987.87051</v>
      </c>
      <c r="P932" s="4">
        <f t="shared" si="262"/>
        <v>-161898.65796524333</v>
      </c>
      <c r="Q932" s="4">
        <f t="shared" si="263"/>
        <v>26211175450.946846</v>
      </c>
      <c r="R932" s="43">
        <f t="shared" si="264"/>
        <v>1.4891398640769018E-3</v>
      </c>
      <c r="S932" s="4">
        <f t="shared" si="265"/>
        <v>-0.13314807461478534</v>
      </c>
      <c r="T932" s="30">
        <f t="shared" si="266"/>
        <v>697868.52888322389</v>
      </c>
      <c r="U932" s="31">
        <f t="shared" si="267"/>
        <v>882344.38704726263</v>
      </c>
      <c r="V932" s="31">
        <f t="shared" si="268"/>
        <v>3180958.5092753097</v>
      </c>
      <c r="W932" s="42">
        <f t="shared" si="269"/>
        <v>3182127.0876133307</v>
      </c>
    </row>
    <row r="933" spans="2:23" x14ac:dyDescent="0.3">
      <c r="B933" s="2">
        <v>925</v>
      </c>
      <c r="C933" s="2">
        <v>7601</v>
      </c>
      <c r="D933" s="4">
        <v>360667.45</v>
      </c>
      <c r="E933" s="4">
        <f t="shared" si="252"/>
        <v>2741433287.4500003</v>
      </c>
      <c r="F933" s="2">
        <f t="shared" si="253"/>
        <v>57775201</v>
      </c>
      <c r="G933" s="2">
        <f t="shared" si="254"/>
        <v>130081009489.5025</v>
      </c>
      <c r="H933" s="42">
        <f t="shared" si="255"/>
        <v>2576.5190000000002</v>
      </c>
      <c r="I933" s="2">
        <f t="shared" si="256"/>
        <v>6638450.1573610008</v>
      </c>
      <c r="J933" s="4">
        <f t="shared" si="257"/>
        <v>-928434.44680999918</v>
      </c>
      <c r="K933" s="2">
        <f t="shared" si="258"/>
        <v>861990522023.38916</v>
      </c>
      <c r="L933" s="2">
        <f t="shared" si="259"/>
        <v>-2392128992.4604526</v>
      </c>
      <c r="N933" s="42">
        <f t="shared" si="260"/>
        <v>1941567.5785886371</v>
      </c>
      <c r="O933" s="42">
        <f t="shared" si="261"/>
        <v>425711465898.86279</v>
      </c>
      <c r="P933" s="4">
        <f t="shared" si="262"/>
        <v>-1580900.1285886371</v>
      </c>
      <c r="Q933" s="4">
        <f t="shared" si="263"/>
        <v>2499245216571.5693</v>
      </c>
      <c r="R933" s="43">
        <f t="shared" si="264"/>
        <v>1.836286823561001E-3</v>
      </c>
      <c r="S933" s="4">
        <f t="shared" si="265"/>
        <v>-1.3003839012679976</v>
      </c>
      <c r="T933" s="30">
        <f t="shared" si="266"/>
        <v>1839141.1434571736</v>
      </c>
      <c r="U933" s="31">
        <f t="shared" si="267"/>
        <v>2043994.0137201005</v>
      </c>
      <c r="V933" s="31">
        <f t="shared" si="268"/>
        <v>4332004.8172964752</v>
      </c>
      <c r="W933" s="42">
        <f t="shared" si="269"/>
        <v>4334002.7463025777</v>
      </c>
    </row>
    <row r="934" spans="2:23" x14ac:dyDescent="0.3">
      <c r="B934" s="2">
        <v>926</v>
      </c>
      <c r="C934" s="2">
        <v>1417</v>
      </c>
      <c r="D934" s="4">
        <v>597818.13</v>
      </c>
      <c r="E934" s="4">
        <f t="shared" si="252"/>
        <v>847108290.21000004</v>
      </c>
      <c r="F934" s="2">
        <f t="shared" si="253"/>
        <v>2007889</v>
      </c>
      <c r="G934" s="2">
        <f t="shared" si="254"/>
        <v>357386516556.6969</v>
      </c>
      <c r="H934" s="42">
        <f t="shared" si="255"/>
        <v>-3607.4809999999998</v>
      </c>
      <c r="I934" s="2">
        <f t="shared" si="256"/>
        <v>13013919.165360998</v>
      </c>
      <c r="J934" s="4">
        <f t="shared" si="257"/>
        <v>-691283.76680999913</v>
      </c>
      <c r="K934" s="2">
        <f t="shared" si="258"/>
        <v>477873246255.02124</v>
      </c>
      <c r="L934" s="2">
        <f t="shared" si="259"/>
        <v>2493793054.3755021</v>
      </c>
      <c r="N934" s="42">
        <f t="shared" si="260"/>
        <v>375560.19571309997</v>
      </c>
      <c r="O934" s="42">
        <f t="shared" si="261"/>
        <v>834558439643.01611</v>
      </c>
      <c r="P934" s="4">
        <f t="shared" si="262"/>
        <v>222257.93428690004</v>
      </c>
      <c r="Q934" s="4">
        <f t="shared" si="263"/>
        <v>49398589353.479973</v>
      </c>
      <c r="R934" s="43">
        <f t="shared" si="264"/>
        <v>2.6394442773380517E-3</v>
      </c>
      <c r="S934" s="4">
        <f t="shared" si="265"/>
        <v>0.18289389868822578</v>
      </c>
      <c r="T934" s="30">
        <f t="shared" si="266"/>
        <v>252760.28595112881</v>
      </c>
      <c r="U934" s="31">
        <f t="shared" si="267"/>
        <v>498360.10547507112</v>
      </c>
      <c r="V934" s="31">
        <f t="shared" si="268"/>
        <v>2765037.4500466385</v>
      </c>
      <c r="W934" s="42">
        <f t="shared" si="269"/>
        <v>2768954.1613899255</v>
      </c>
    </row>
    <row r="935" spans="2:23" x14ac:dyDescent="0.3">
      <c r="B935" s="2">
        <v>927</v>
      </c>
      <c r="C935" s="2">
        <v>6069</v>
      </c>
      <c r="D935" s="4">
        <v>496019.37</v>
      </c>
      <c r="E935" s="4">
        <f t="shared" si="252"/>
        <v>3010341556.5300002</v>
      </c>
      <c r="F935" s="2">
        <f t="shared" si="253"/>
        <v>36832761</v>
      </c>
      <c r="G935" s="2">
        <f t="shared" si="254"/>
        <v>246035215415.1969</v>
      </c>
      <c r="H935" s="42">
        <f t="shared" si="255"/>
        <v>1044.5190000000002</v>
      </c>
      <c r="I935" s="2">
        <f t="shared" si="256"/>
        <v>1091019.9413610005</v>
      </c>
      <c r="J935" s="4">
        <f t="shared" si="257"/>
        <v>-793082.52680999914</v>
      </c>
      <c r="K935" s="2">
        <f t="shared" si="258"/>
        <v>628979894331.33301</v>
      </c>
      <c r="L935" s="2">
        <f t="shared" si="259"/>
        <v>-828389767.82105362</v>
      </c>
      <c r="N935" s="42">
        <f t="shared" si="260"/>
        <v>1553611.0277210234</v>
      </c>
      <c r="O935" s="42">
        <f t="shared" si="261"/>
        <v>69965080335.305389</v>
      </c>
      <c r="P935" s="4">
        <f t="shared" si="262"/>
        <v>-1057591.6577210235</v>
      </c>
      <c r="Q935" s="4">
        <f t="shared" si="263"/>
        <v>1118500114481.1025</v>
      </c>
      <c r="R935" s="43">
        <f t="shared" si="264"/>
        <v>1.1374425625822898E-3</v>
      </c>
      <c r="S935" s="4">
        <f t="shared" si="265"/>
        <v>-0.86962734582352375</v>
      </c>
      <c r="T935" s="30">
        <f t="shared" si="266"/>
        <v>1472997.7580605864</v>
      </c>
      <c r="U935" s="31">
        <f t="shared" si="267"/>
        <v>1634224.2973814604</v>
      </c>
      <c r="V935" s="31">
        <f t="shared" si="268"/>
        <v>3944883.255546527</v>
      </c>
      <c r="W935" s="42">
        <f t="shared" si="269"/>
        <v>3945211.612339207</v>
      </c>
    </row>
    <row r="936" spans="2:23" x14ac:dyDescent="0.3">
      <c r="B936" s="2">
        <v>928</v>
      </c>
      <c r="C936" s="2">
        <v>5155</v>
      </c>
      <c r="D936" s="4">
        <v>1315968.3999999999</v>
      </c>
      <c r="E936" s="4">
        <f t="shared" si="252"/>
        <v>6783817101.999999</v>
      </c>
      <c r="F936" s="2">
        <f t="shared" si="253"/>
        <v>26574025</v>
      </c>
      <c r="G936" s="2">
        <f t="shared" si="254"/>
        <v>1731772829798.5598</v>
      </c>
      <c r="H936" s="42">
        <f t="shared" si="255"/>
        <v>130.51900000000023</v>
      </c>
      <c r="I936" s="2">
        <f t="shared" si="256"/>
        <v>17035.209361000059</v>
      </c>
      <c r="J936" s="4">
        <f t="shared" si="257"/>
        <v>26866.503190000774</v>
      </c>
      <c r="K936" s="2">
        <f t="shared" si="258"/>
        <v>721808993.65832174</v>
      </c>
      <c r="L936" s="2">
        <f t="shared" si="259"/>
        <v>3506589.1298557175</v>
      </c>
      <c r="N936" s="42">
        <f t="shared" si="260"/>
        <v>1322153.9210023556</v>
      </c>
      <c r="O936" s="42">
        <f t="shared" si="261"/>
        <v>1092436303.2121196</v>
      </c>
      <c r="P936" s="4">
        <f t="shared" si="262"/>
        <v>-6185.5210023557302</v>
      </c>
      <c r="Q936" s="4">
        <f t="shared" si="263"/>
        <v>38260670.070583835</v>
      </c>
      <c r="R936" s="43">
        <f t="shared" si="264"/>
        <v>1.0021460311951595E-3</v>
      </c>
      <c r="S936" s="4">
        <f t="shared" si="265"/>
        <v>-5.0858324273970329E-3</v>
      </c>
      <c r="T936" s="30">
        <f t="shared" si="266"/>
        <v>1246486.7836159714</v>
      </c>
      <c r="U936" s="31">
        <f t="shared" si="267"/>
        <v>1397821.0583887398</v>
      </c>
      <c r="V936" s="31">
        <f t="shared" si="268"/>
        <v>3713587.7693733787</v>
      </c>
      <c r="W936" s="42">
        <f t="shared" si="269"/>
        <v>3713592.8963435506</v>
      </c>
    </row>
    <row r="937" spans="2:23" x14ac:dyDescent="0.3">
      <c r="B937" s="2">
        <v>929</v>
      </c>
      <c r="C937" s="2">
        <v>9305</v>
      </c>
      <c r="D937" s="4">
        <v>1433528.3</v>
      </c>
      <c r="E937" s="4">
        <f t="shared" si="252"/>
        <v>13338980831.5</v>
      </c>
      <c r="F937" s="2">
        <f t="shared" si="253"/>
        <v>86583025</v>
      </c>
      <c r="G937" s="2">
        <f t="shared" si="254"/>
        <v>2055003386900.8901</v>
      </c>
      <c r="H937" s="42">
        <f t="shared" si="255"/>
        <v>4280.5190000000002</v>
      </c>
      <c r="I937" s="2">
        <f t="shared" si="256"/>
        <v>18322842.909361001</v>
      </c>
      <c r="J937" s="4">
        <f t="shared" si="257"/>
        <v>144426.40319000091</v>
      </c>
      <c r="K937" s="2">
        <f t="shared" si="258"/>
        <v>20858985938.400707</v>
      </c>
      <c r="L937" s="2">
        <f t="shared" si="259"/>
        <v>618219962.95645952</v>
      </c>
      <c r="N937" s="42">
        <f t="shared" si="260"/>
        <v>2373080.6090575755</v>
      </c>
      <c r="O937" s="42">
        <f t="shared" si="261"/>
        <v>1175009848605.9138</v>
      </c>
      <c r="P937" s="4">
        <f t="shared" si="262"/>
        <v>-939552.30905757542</v>
      </c>
      <c r="Q937" s="4">
        <f t="shared" si="263"/>
        <v>882758541455.42175</v>
      </c>
      <c r="R937" s="43">
        <f t="shared" si="264"/>
        <v>3.3082423957474091E-3</v>
      </c>
      <c r="S937" s="4">
        <f t="shared" si="265"/>
        <v>-0.77340783821111547</v>
      </c>
      <c r="T937" s="30">
        <f t="shared" si="266"/>
        <v>2235600.3125203252</v>
      </c>
      <c r="U937" s="31">
        <f t="shared" si="267"/>
        <v>2510560.9055948257</v>
      </c>
      <c r="V937" s="31">
        <f t="shared" si="268"/>
        <v>4761758.1793627273</v>
      </c>
      <c r="W937" s="42">
        <f t="shared" si="269"/>
        <v>4767272.6834402177</v>
      </c>
    </row>
    <row r="938" spans="2:23" x14ac:dyDescent="0.3">
      <c r="B938" s="2">
        <v>930</v>
      </c>
      <c r="C938" s="2">
        <v>1181</v>
      </c>
      <c r="D938" s="4">
        <v>242931.69999999998</v>
      </c>
      <c r="E938" s="4">
        <f t="shared" si="252"/>
        <v>286902337.69999999</v>
      </c>
      <c r="F938" s="2">
        <f t="shared" si="253"/>
        <v>1394761</v>
      </c>
      <c r="G938" s="2">
        <f t="shared" si="254"/>
        <v>59015810864.889992</v>
      </c>
      <c r="H938" s="42">
        <f t="shared" si="255"/>
        <v>-3843.4809999999998</v>
      </c>
      <c r="I938" s="2">
        <f t="shared" si="256"/>
        <v>14772346.197360998</v>
      </c>
      <c r="J938" s="4">
        <f t="shared" si="257"/>
        <v>-1046170.1968099992</v>
      </c>
      <c r="K938" s="2">
        <f t="shared" si="258"/>
        <v>1094472080693.4724</v>
      </c>
      <c r="L938" s="2">
        <f t="shared" si="259"/>
        <v>4020935274.205492</v>
      </c>
      <c r="N938" s="42">
        <f t="shared" si="260"/>
        <v>315796.65393453807</v>
      </c>
      <c r="O938" s="42">
        <f t="shared" si="261"/>
        <v>947323095808.86011</v>
      </c>
      <c r="P938" s="4">
        <f t="shared" si="262"/>
        <v>-72864.953934538091</v>
      </c>
      <c r="Q938" s="4">
        <f t="shared" si="263"/>
        <v>5309301511.8823576</v>
      </c>
      <c r="R938" s="43">
        <f t="shared" si="264"/>
        <v>2.860964258989864E-3</v>
      </c>
      <c r="S938" s="4">
        <f t="shared" si="265"/>
        <v>-5.9966523794027865E-2</v>
      </c>
      <c r="T938" s="30">
        <f t="shared" si="266"/>
        <v>187947.45390315214</v>
      </c>
      <c r="U938" s="31">
        <f t="shared" si="267"/>
        <v>443645.85396592401</v>
      </c>
      <c r="V938" s="31">
        <f t="shared" si="268"/>
        <v>2705009.0657694987</v>
      </c>
      <c r="W938" s="42">
        <f t="shared" si="269"/>
        <v>2709454.9994486505</v>
      </c>
    </row>
    <row r="939" spans="2:23" x14ac:dyDescent="0.3">
      <c r="B939" s="2">
        <v>931</v>
      </c>
      <c r="C939" s="2">
        <v>474</v>
      </c>
      <c r="D939" s="4">
        <v>72322.920000000013</v>
      </c>
      <c r="E939" s="4">
        <f t="shared" si="252"/>
        <v>34281064.080000006</v>
      </c>
      <c r="F939" s="2">
        <f t="shared" si="253"/>
        <v>224676</v>
      </c>
      <c r="G939" s="2">
        <f t="shared" si="254"/>
        <v>5230604757.3264017</v>
      </c>
      <c r="H939" s="42">
        <f t="shared" si="255"/>
        <v>-4550.4809999999998</v>
      </c>
      <c r="I939" s="2">
        <f t="shared" si="256"/>
        <v>20706877.331360999</v>
      </c>
      <c r="J939" s="4">
        <f t="shared" si="257"/>
        <v>-1216778.9768099992</v>
      </c>
      <c r="K939" s="2">
        <f t="shared" si="258"/>
        <v>1480551078406.7886</v>
      </c>
      <c r="L939" s="2">
        <f t="shared" si="259"/>
        <v>5536929615.1733418</v>
      </c>
      <c r="N939" s="42">
        <f t="shared" si="260"/>
        <v>136759.26394537173</v>
      </c>
      <c r="O939" s="42">
        <f t="shared" si="261"/>
        <v>1327893543517.3818</v>
      </c>
      <c r="P939" s="4">
        <f t="shared" si="262"/>
        <v>-64436.343945371715</v>
      </c>
      <c r="Q939" s="4">
        <f t="shared" si="263"/>
        <v>4152042421.0462422</v>
      </c>
      <c r="R939" s="43">
        <f t="shared" si="264"/>
        <v>3.6085740283987025E-3</v>
      </c>
      <c r="S939" s="4">
        <f t="shared" si="265"/>
        <v>-5.3049822909412521E-2</v>
      </c>
      <c r="T939" s="30">
        <f t="shared" si="266"/>
        <v>-6825.9131968260044</v>
      </c>
      <c r="U939" s="31">
        <f t="shared" si="267"/>
        <v>280344.44108756946</v>
      </c>
      <c r="V939" s="31">
        <f t="shared" si="268"/>
        <v>2525077.6396482298</v>
      </c>
      <c r="W939" s="42">
        <f t="shared" si="269"/>
        <v>2531309.6518461253</v>
      </c>
    </row>
    <row r="940" spans="2:23" x14ac:dyDescent="0.3">
      <c r="B940" s="2">
        <v>932</v>
      </c>
      <c r="C940" s="2">
        <v>8909</v>
      </c>
      <c r="D940" s="4">
        <v>422732.05000000005</v>
      </c>
      <c r="E940" s="4">
        <f t="shared" si="252"/>
        <v>3766119833.4500003</v>
      </c>
      <c r="F940" s="2">
        <f t="shared" si="253"/>
        <v>79370281</v>
      </c>
      <c r="G940" s="2">
        <f t="shared" si="254"/>
        <v>178702386097.20255</v>
      </c>
      <c r="H940" s="42">
        <f t="shared" si="255"/>
        <v>3884.5190000000002</v>
      </c>
      <c r="I940" s="2">
        <f t="shared" si="256"/>
        <v>15089487.861361003</v>
      </c>
      <c r="J940" s="4">
        <f t="shared" si="257"/>
        <v>-866369.84680999909</v>
      </c>
      <c r="K940" s="2">
        <f t="shared" si="258"/>
        <v>750596711461.5813</v>
      </c>
      <c r="L940" s="2">
        <f t="shared" si="259"/>
        <v>-3365430130.9605312</v>
      </c>
      <c r="N940" s="42">
        <f t="shared" si="260"/>
        <v>2272799.4118359205</v>
      </c>
      <c r="O940" s="42">
        <f t="shared" si="261"/>
        <v>967660801068.17285</v>
      </c>
      <c r="P940" s="4">
        <f t="shared" si="262"/>
        <v>-1850067.3618359205</v>
      </c>
      <c r="Q940" s="4">
        <f t="shared" si="263"/>
        <v>3422749243330.5229</v>
      </c>
      <c r="R940" s="43">
        <f t="shared" si="264"/>
        <v>2.9009165654045356E-3</v>
      </c>
      <c r="S940" s="4">
        <f t="shared" si="265"/>
        <v>-1.5226020892809187</v>
      </c>
      <c r="T940" s="30">
        <f t="shared" si="266"/>
        <v>2144060.6233635205</v>
      </c>
      <c r="U940" s="31">
        <f t="shared" si="267"/>
        <v>2401538.2003083206</v>
      </c>
      <c r="V940" s="31">
        <f t="shared" si="268"/>
        <v>4661964.0547932778</v>
      </c>
      <c r="W940" s="42">
        <f t="shared" si="269"/>
        <v>4666505.4365511602</v>
      </c>
    </row>
    <row r="941" spans="2:23" x14ac:dyDescent="0.3">
      <c r="B941" s="2">
        <v>933</v>
      </c>
      <c r="C941" s="2">
        <v>5240</v>
      </c>
      <c r="D941" s="4">
        <v>572627.19999999995</v>
      </c>
      <c r="E941" s="4">
        <f t="shared" si="252"/>
        <v>3000566527.9999995</v>
      </c>
      <c r="F941" s="2">
        <f t="shared" si="253"/>
        <v>27457600</v>
      </c>
      <c r="G941" s="2">
        <f t="shared" si="254"/>
        <v>327901910179.83997</v>
      </c>
      <c r="H941" s="42">
        <f t="shared" si="255"/>
        <v>215.51900000000023</v>
      </c>
      <c r="I941" s="2">
        <f t="shared" si="256"/>
        <v>46448.439361000099</v>
      </c>
      <c r="J941" s="4">
        <f t="shared" si="257"/>
        <v>-716474.69680999918</v>
      </c>
      <c r="K941" s="2">
        <f t="shared" si="258"/>
        <v>513335991168.98022</v>
      </c>
      <c r="L941" s="2">
        <f t="shared" si="259"/>
        <v>-154413910.18179438</v>
      </c>
      <c r="N941" s="42">
        <f t="shared" si="260"/>
        <v>1343678.9254564987</v>
      </c>
      <c r="O941" s="42">
        <f t="shared" si="261"/>
        <v>2978652055.8808398</v>
      </c>
      <c r="P941" s="4">
        <f t="shared" si="262"/>
        <v>-771051.7254564988</v>
      </c>
      <c r="Q941" s="4">
        <f t="shared" si="263"/>
        <v>594520763329.44397</v>
      </c>
      <c r="R941" s="43">
        <f t="shared" si="264"/>
        <v>1.0058513985782517E-3</v>
      </c>
      <c r="S941" s="4">
        <f t="shared" si="265"/>
        <v>-0.6339720032523749</v>
      </c>
      <c r="T941" s="30">
        <f t="shared" si="266"/>
        <v>1267872.030067961</v>
      </c>
      <c r="U941" s="31">
        <f t="shared" si="267"/>
        <v>1419485.8208450365</v>
      </c>
      <c r="V941" s="31">
        <f t="shared" si="268"/>
        <v>3735108.3476695917</v>
      </c>
      <c r="W941" s="42">
        <f t="shared" si="269"/>
        <v>3735122.3269379432</v>
      </c>
    </row>
    <row r="942" spans="2:23" x14ac:dyDescent="0.3">
      <c r="B942" s="2">
        <v>934</v>
      </c>
      <c r="C942" s="2">
        <v>253</v>
      </c>
      <c r="D942" s="4">
        <v>164756.13</v>
      </c>
      <c r="E942" s="4">
        <f t="shared" si="252"/>
        <v>41683300.890000001</v>
      </c>
      <c r="F942" s="2">
        <f t="shared" si="253"/>
        <v>64009</v>
      </c>
      <c r="G942" s="2">
        <f t="shared" si="254"/>
        <v>27144582372.5769</v>
      </c>
      <c r="H942" s="42">
        <f t="shared" si="255"/>
        <v>-4771.4809999999998</v>
      </c>
      <c r="I942" s="2">
        <f t="shared" si="256"/>
        <v>22767030.933360998</v>
      </c>
      <c r="J942" s="4">
        <f t="shared" si="257"/>
        <v>-1124345.766809999</v>
      </c>
      <c r="K942" s="2">
        <f t="shared" si="258"/>
        <v>1264153403343.5647</v>
      </c>
      <c r="L942" s="2">
        <f t="shared" si="259"/>
        <v>5364794463.7643404</v>
      </c>
      <c r="N942" s="42">
        <f t="shared" si="260"/>
        <v>80794.252364599786</v>
      </c>
      <c r="O942" s="42">
        <f t="shared" si="261"/>
        <v>1460007363625.1895</v>
      </c>
      <c r="P942" s="4">
        <f t="shared" si="262"/>
        <v>83961.877635400218</v>
      </c>
      <c r="Q942" s="4">
        <f t="shared" si="263"/>
        <v>7049596896.0619192</v>
      </c>
      <c r="R942" s="43">
        <f t="shared" si="264"/>
        <v>3.8681043812708905E-3</v>
      </c>
      <c r="S942" s="4">
        <f t="shared" si="265"/>
        <v>6.9134011472298793E-2</v>
      </c>
      <c r="T942" s="30">
        <f t="shared" si="266"/>
        <v>-67864.639545936108</v>
      </c>
      <c r="U942" s="31">
        <f t="shared" si="267"/>
        <v>229453.14427513568</v>
      </c>
      <c r="V942" s="31">
        <f t="shared" si="268"/>
        <v>2468802.1880027596</v>
      </c>
      <c r="W942" s="42">
        <f t="shared" si="269"/>
        <v>2475654.2322475072</v>
      </c>
    </row>
    <row r="943" spans="2:23" x14ac:dyDescent="0.3">
      <c r="B943" s="2">
        <v>935</v>
      </c>
      <c r="C943" s="2">
        <v>1766</v>
      </c>
      <c r="D943" s="4">
        <v>16476.78</v>
      </c>
      <c r="E943" s="4">
        <f t="shared" si="252"/>
        <v>29097993.479999997</v>
      </c>
      <c r="F943" s="2">
        <f t="shared" si="253"/>
        <v>3118756</v>
      </c>
      <c r="G943" s="2">
        <f t="shared" si="254"/>
        <v>271484279.16839999</v>
      </c>
      <c r="H943" s="42">
        <f t="shared" si="255"/>
        <v>-3258.4809999999998</v>
      </c>
      <c r="I943" s="2">
        <f t="shared" si="256"/>
        <v>10617698.427360998</v>
      </c>
      <c r="J943" s="4">
        <f t="shared" si="257"/>
        <v>-1272625.1168099991</v>
      </c>
      <c r="K943" s="2">
        <f t="shared" si="258"/>
        <v>1619574687935.6638</v>
      </c>
      <c r="L943" s="2">
        <f t="shared" si="259"/>
        <v>4146824763.2481623</v>
      </c>
      <c r="N943" s="42">
        <f t="shared" si="260"/>
        <v>463939.33164834615</v>
      </c>
      <c r="O943" s="42">
        <f t="shared" si="261"/>
        <v>680893258944.15918</v>
      </c>
      <c r="P943" s="4">
        <f t="shared" si="262"/>
        <v>-447462.55164834613</v>
      </c>
      <c r="Q943" s="4">
        <f t="shared" si="263"/>
        <v>200222735127.64883</v>
      </c>
      <c r="R943" s="43">
        <f t="shared" si="264"/>
        <v>2.3375774587236233E-3</v>
      </c>
      <c r="S943" s="4">
        <f t="shared" si="265"/>
        <v>-0.36815688428859294</v>
      </c>
      <c r="T943" s="30">
        <f t="shared" si="266"/>
        <v>348374.73598902742</v>
      </c>
      <c r="U943" s="31">
        <f t="shared" si="267"/>
        <v>579503.92730766488</v>
      </c>
      <c r="V943" s="31">
        <f t="shared" si="268"/>
        <v>2853777.4414467886</v>
      </c>
      <c r="W943" s="42">
        <f t="shared" si="269"/>
        <v>2856972.978062578</v>
      </c>
    </row>
    <row r="944" spans="2:23" x14ac:dyDescent="0.3">
      <c r="B944" s="2">
        <v>936</v>
      </c>
      <c r="C944" s="2">
        <v>9628</v>
      </c>
      <c r="D944" s="4">
        <v>4209361.5999999996</v>
      </c>
      <c r="E944" s="4">
        <f t="shared" si="252"/>
        <v>40527733484.799995</v>
      </c>
      <c r="F944" s="2">
        <f t="shared" si="253"/>
        <v>92698384</v>
      </c>
      <c r="G944" s="2">
        <f t="shared" si="254"/>
        <v>17718725079554.559</v>
      </c>
      <c r="H944" s="42">
        <f t="shared" si="255"/>
        <v>4603.5190000000002</v>
      </c>
      <c r="I944" s="2">
        <f t="shared" si="256"/>
        <v>21192387.183361001</v>
      </c>
      <c r="J944" s="4">
        <f t="shared" si="257"/>
        <v>2920259.7031900007</v>
      </c>
      <c r="K944" s="2">
        <f t="shared" si="258"/>
        <v>8527916734075.3516</v>
      </c>
      <c r="L944" s="2">
        <f t="shared" si="259"/>
        <v>13443471028.56953</v>
      </c>
      <c r="N944" s="42">
        <f t="shared" si="260"/>
        <v>2454875.6259833188</v>
      </c>
      <c r="O944" s="42">
        <f t="shared" si="261"/>
        <v>1359028387630.6685</v>
      </c>
      <c r="P944" s="4">
        <f t="shared" si="262"/>
        <v>1754485.9740166808</v>
      </c>
      <c r="Q944" s="4">
        <f t="shared" si="263"/>
        <v>3078221033021.2612</v>
      </c>
      <c r="R944" s="43">
        <f t="shared" si="264"/>
        <v>3.6697367218455207E-3</v>
      </c>
      <c r="S944" s="4">
        <f t="shared" si="265"/>
        <v>1.4444957817847683</v>
      </c>
      <c r="T944" s="30">
        <f t="shared" si="266"/>
        <v>2310078.7297791368</v>
      </c>
      <c r="U944" s="31">
        <f t="shared" si="267"/>
        <v>2599672.5221875007</v>
      </c>
      <c r="V944" s="31">
        <f t="shared" si="268"/>
        <v>4843120.8448970988</v>
      </c>
      <c r="W944" s="42">
        <f t="shared" si="269"/>
        <v>4849498.978047492</v>
      </c>
    </row>
    <row r="945" spans="2:23" x14ac:dyDescent="0.3">
      <c r="B945" s="2">
        <v>937</v>
      </c>
      <c r="C945" s="2">
        <v>718</v>
      </c>
      <c r="D945" s="4">
        <v>467568.78</v>
      </c>
      <c r="E945" s="4">
        <f t="shared" si="252"/>
        <v>335714384.04000002</v>
      </c>
      <c r="F945" s="2">
        <f t="shared" si="253"/>
        <v>515524</v>
      </c>
      <c r="G945" s="2">
        <f t="shared" si="254"/>
        <v>218620564030.68842</v>
      </c>
      <c r="H945" s="42">
        <f t="shared" si="255"/>
        <v>-4306.4809999999998</v>
      </c>
      <c r="I945" s="2">
        <f t="shared" si="256"/>
        <v>18545778.603360999</v>
      </c>
      <c r="J945" s="4">
        <f t="shared" si="257"/>
        <v>-821533.1168099991</v>
      </c>
      <c r="K945" s="2">
        <f t="shared" si="258"/>
        <v>674916662015.55164</v>
      </c>
      <c r="L945" s="2">
        <f t="shared" si="259"/>
        <v>3537916758.4130416</v>
      </c>
      <c r="N945" s="42">
        <f t="shared" si="260"/>
        <v>198548.68849608826</v>
      </c>
      <c r="O945" s="42">
        <f t="shared" si="261"/>
        <v>1189306300163.7639</v>
      </c>
      <c r="P945" s="4">
        <f t="shared" si="262"/>
        <v>269020.09150391177</v>
      </c>
      <c r="Q945" s="4">
        <f t="shared" si="263"/>
        <v>72371809632.773056</v>
      </c>
      <c r="R945" s="43">
        <f t="shared" si="264"/>
        <v>3.3363269906414288E-3</v>
      </c>
      <c r="S945" s="4">
        <f t="shared" si="265"/>
        <v>0.22145140492038826</v>
      </c>
      <c r="T945" s="30">
        <f t="shared" si="266"/>
        <v>60486.070875827689</v>
      </c>
      <c r="U945" s="31">
        <f t="shared" si="267"/>
        <v>336611.30611634883</v>
      </c>
      <c r="V945" s="31">
        <f t="shared" si="268"/>
        <v>2587192.6721049338</v>
      </c>
      <c r="W945" s="42">
        <f t="shared" si="269"/>
        <v>2592774.2717452631</v>
      </c>
    </row>
    <row r="946" spans="2:23" x14ac:dyDescent="0.3">
      <c r="B946" s="2">
        <v>938</v>
      </c>
      <c r="C946" s="2">
        <v>3947</v>
      </c>
      <c r="D946" s="4">
        <v>2637661.69</v>
      </c>
      <c r="E946" s="4">
        <f t="shared" si="252"/>
        <v>10410850690.43</v>
      </c>
      <c r="F946" s="2">
        <f t="shared" si="253"/>
        <v>15578809</v>
      </c>
      <c r="G946" s="2">
        <f t="shared" si="254"/>
        <v>6957259190893.6563</v>
      </c>
      <c r="H946" s="42">
        <f t="shared" si="255"/>
        <v>-1077.4809999999998</v>
      </c>
      <c r="I946" s="2">
        <f t="shared" si="256"/>
        <v>1160965.3053609994</v>
      </c>
      <c r="J946" s="4">
        <f t="shared" si="257"/>
        <v>1348559.7931900008</v>
      </c>
      <c r="K946" s="2">
        <f t="shared" si="258"/>
        <v>1818613515808.6577</v>
      </c>
      <c r="L946" s="2">
        <f t="shared" si="259"/>
        <v>-1453047554.526155</v>
      </c>
      <c r="N946" s="42">
        <f t="shared" si="260"/>
        <v>1016245.6224070049</v>
      </c>
      <c r="O946" s="42">
        <f t="shared" si="261"/>
        <v>74450546481.082062</v>
      </c>
      <c r="P946" s="4">
        <f t="shared" si="262"/>
        <v>1621416.067592995</v>
      </c>
      <c r="Q946" s="4">
        <f t="shared" si="263"/>
        <v>2628990064248.7319</v>
      </c>
      <c r="R946" s="43">
        <f t="shared" si="264"/>
        <v>1.1462540147881206E-3</v>
      </c>
      <c r="S946" s="4">
        <f t="shared" si="265"/>
        <v>1.33324989881845</v>
      </c>
      <c r="T946" s="30">
        <f t="shared" si="266"/>
        <v>935320.71080705686</v>
      </c>
      <c r="U946" s="31">
        <f t="shared" si="267"/>
        <v>1097170.534006953</v>
      </c>
      <c r="V946" s="31">
        <f t="shared" si="268"/>
        <v>3407507.3239983292</v>
      </c>
      <c r="W946" s="42">
        <f t="shared" si="269"/>
        <v>3407856.7317678379</v>
      </c>
    </row>
    <row r="947" spans="2:23" x14ac:dyDescent="0.3">
      <c r="B947" s="2">
        <v>939</v>
      </c>
      <c r="C947" s="2">
        <v>5258</v>
      </c>
      <c r="D947" s="4">
        <v>1342262.24</v>
      </c>
      <c r="E947" s="4">
        <f t="shared" si="252"/>
        <v>7057614857.9200001</v>
      </c>
      <c r="F947" s="2">
        <f t="shared" si="253"/>
        <v>27646564</v>
      </c>
      <c r="G947" s="2">
        <f t="shared" si="254"/>
        <v>1801667920929.8176</v>
      </c>
      <c r="H947" s="42">
        <f t="shared" si="255"/>
        <v>233.51900000000023</v>
      </c>
      <c r="I947" s="2">
        <f t="shared" si="256"/>
        <v>54531.123361000107</v>
      </c>
      <c r="J947" s="4">
        <f t="shared" si="257"/>
        <v>53160.343190000858</v>
      </c>
      <c r="K947" s="2">
        <f t="shared" si="258"/>
        <v>2826022088.0786705</v>
      </c>
      <c r="L947" s="2">
        <f t="shared" si="259"/>
        <v>12413950.181385823</v>
      </c>
      <c r="N947" s="42">
        <f t="shared" si="260"/>
        <v>1348237.1616938468</v>
      </c>
      <c r="O947" s="42">
        <f t="shared" si="261"/>
        <v>3496979552.8828278</v>
      </c>
      <c r="P947" s="4">
        <f t="shared" si="262"/>
        <v>-5974.9216938468162</v>
      </c>
      <c r="Q947" s="4">
        <f t="shared" si="263"/>
        <v>35699689.247601308</v>
      </c>
      <c r="R947" s="43">
        <f t="shared" si="264"/>
        <v>1.0068696245147245E-3</v>
      </c>
      <c r="S947" s="4">
        <f t="shared" si="265"/>
        <v>-4.9126859857690549E-3</v>
      </c>
      <c r="T947" s="30">
        <f t="shared" si="266"/>
        <v>1272391.9062540641</v>
      </c>
      <c r="U947" s="31">
        <f t="shared" si="267"/>
        <v>1424082.4171336296</v>
      </c>
      <c r="V947" s="31">
        <f t="shared" si="268"/>
        <v>3739665.3676080802</v>
      </c>
      <c r="W947" s="42">
        <f t="shared" si="269"/>
        <v>3739681.7794664223</v>
      </c>
    </row>
    <row r="948" spans="2:23" x14ac:dyDescent="0.3">
      <c r="B948" s="2">
        <v>940</v>
      </c>
      <c r="C948" s="2">
        <v>2625</v>
      </c>
      <c r="D948" s="4">
        <v>670110</v>
      </c>
      <c r="E948" s="4">
        <f t="shared" si="252"/>
        <v>1759038750</v>
      </c>
      <c r="F948" s="2">
        <f t="shared" si="253"/>
        <v>6890625</v>
      </c>
      <c r="G948" s="2">
        <f t="shared" si="254"/>
        <v>449047412100</v>
      </c>
      <c r="H948" s="42">
        <f t="shared" si="255"/>
        <v>-2399.4809999999998</v>
      </c>
      <c r="I948" s="2">
        <f t="shared" si="256"/>
        <v>5757509.0693609985</v>
      </c>
      <c r="J948" s="4">
        <f t="shared" si="257"/>
        <v>-618991.89680999913</v>
      </c>
      <c r="K948" s="2">
        <f t="shared" si="258"/>
        <v>383150968316.44061</v>
      </c>
      <c r="L948" s="2">
        <f t="shared" si="259"/>
        <v>1485259295.5495534</v>
      </c>
      <c r="N948" s="42">
        <f t="shared" si="260"/>
        <v>681468.49430845072</v>
      </c>
      <c r="O948" s="42">
        <f t="shared" si="261"/>
        <v>369218351835.60876</v>
      </c>
      <c r="P948" s="4">
        <f t="shared" si="262"/>
        <v>-11358.494308450725</v>
      </c>
      <c r="Q948" s="4">
        <f t="shared" si="263"/>
        <v>129015392.95510751</v>
      </c>
      <c r="R948" s="43">
        <f t="shared" si="264"/>
        <v>1.7253091997535845E-3</v>
      </c>
      <c r="S948" s="4">
        <f t="shared" si="265"/>
        <v>-9.3425143327078974E-3</v>
      </c>
      <c r="T948" s="30">
        <f t="shared" si="266"/>
        <v>582185.40830941126</v>
      </c>
      <c r="U948" s="31">
        <f t="shared" si="267"/>
        <v>780751.58030749019</v>
      </c>
      <c r="V948" s="31">
        <f t="shared" si="268"/>
        <v>3072038.3501481418</v>
      </c>
      <c r="W948" s="42">
        <f t="shared" si="269"/>
        <v>3073771.1482939757</v>
      </c>
    </row>
    <row r="949" spans="2:23" x14ac:dyDescent="0.3">
      <c r="B949" s="2">
        <v>941</v>
      </c>
      <c r="C949" s="2">
        <v>1052</v>
      </c>
      <c r="D949" s="4">
        <v>443828.27999999997</v>
      </c>
      <c r="E949" s="4">
        <f t="shared" si="252"/>
        <v>466907350.55999994</v>
      </c>
      <c r="F949" s="2">
        <f t="shared" si="253"/>
        <v>1106704</v>
      </c>
      <c r="G949" s="2">
        <f t="shared" si="254"/>
        <v>196983542127.75836</v>
      </c>
      <c r="H949" s="42">
        <f t="shared" si="255"/>
        <v>-3972.4809999999998</v>
      </c>
      <c r="I949" s="2">
        <f t="shared" si="256"/>
        <v>15780605.295360997</v>
      </c>
      <c r="J949" s="4">
        <f t="shared" si="257"/>
        <v>-845273.6168099991</v>
      </c>
      <c r="K949" s="2">
        <f t="shared" si="258"/>
        <v>714487487275.05725</v>
      </c>
      <c r="L949" s="2">
        <f t="shared" si="259"/>
        <v>3357833382.5790019</v>
      </c>
      <c r="N949" s="42">
        <f t="shared" si="260"/>
        <v>283129.2942335445</v>
      </c>
      <c r="O949" s="42">
        <f t="shared" si="261"/>
        <v>1011980877134.4456</v>
      </c>
      <c r="P949" s="4">
        <f t="shared" si="262"/>
        <v>160698.98576645547</v>
      </c>
      <c r="Q949" s="4">
        <f t="shared" si="263"/>
        <v>25824164026.367458</v>
      </c>
      <c r="R949" s="43">
        <f t="shared" si="264"/>
        <v>2.9879809237844212E-3</v>
      </c>
      <c r="S949" s="4">
        <f t="shared" si="265"/>
        <v>0.13226074881906533</v>
      </c>
      <c r="T949" s="30">
        <f t="shared" si="266"/>
        <v>152472.88786272943</v>
      </c>
      <c r="U949" s="31">
        <f t="shared" si="267"/>
        <v>413785.70060435956</v>
      </c>
      <c r="V949" s="31">
        <f t="shared" si="268"/>
        <v>2672189.835594763</v>
      </c>
      <c r="W949" s="42">
        <f t="shared" si="269"/>
        <v>2676939.2185229454</v>
      </c>
    </row>
    <row r="950" spans="2:23" x14ac:dyDescent="0.3">
      <c r="B950" s="2">
        <v>942</v>
      </c>
      <c r="C950" s="2">
        <v>7575</v>
      </c>
      <c r="D950" s="4">
        <v>1933746</v>
      </c>
      <c r="E950" s="4">
        <f t="shared" si="252"/>
        <v>14648125950</v>
      </c>
      <c r="F950" s="2">
        <f t="shared" si="253"/>
        <v>57380625</v>
      </c>
      <c r="G950" s="2">
        <f t="shared" si="254"/>
        <v>3739373592516</v>
      </c>
      <c r="H950" s="42">
        <f t="shared" si="255"/>
        <v>2550.5190000000002</v>
      </c>
      <c r="I950" s="2">
        <f t="shared" si="256"/>
        <v>6505147.1693610009</v>
      </c>
      <c r="J950" s="4">
        <f t="shared" si="257"/>
        <v>644644.10319000087</v>
      </c>
      <c r="K950" s="2">
        <f t="shared" si="258"/>
        <v>415566019777.6405</v>
      </c>
      <c r="L950" s="2">
        <f t="shared" si="259"/>
        <v>1644177033.424058</v>
      </c>
      <c r="N950" s="42">
        <f t="shared" si="260"/>
        <v>1934983.4595791344</v>
      </c>
      <c r="O950" s="42">
        <f t="shared" si="261"/>
        <v>417162993125.10034</v>
      </c>
      <c r="P950" s="4">
        <f t="shared" si="262"/>
        <v>-1237.45957913436</v>
      </c>
      <c r="Q950" s="4">
        <f t="shared" si="263"/>
        <v>1531306.2099913873</v>
      </c>
      <c r="R950" s="43">
        <f t="shared" si="264"/>
        <v>1.8194938176992193E-3</v>
      </c>
      <c r="S950" s="4">
        <f t="shared" si="265"/>
        <v>-1.0178751648944153E-3</v>
      </c>
      <c r="T950" s="30">
        <f t="shared" si="266"/>
        <v>1833026.4495629773</v>
      </c>
      <c r="U950" s="31">
        <f t="shared" si="267"/>
        <v>2036940.4695952914</v>
      </c>
      <c r="V950" s="31">
        <f t="shared" si="268"/>
        <v>4325440.7662306167</v>
      </c>
      <c r="W950" s="42">
        <f t="shared" si="269"/>
        <v>4327398.5759400316</v>
      </c>
    </row>
    <row r="951" spans="2:23" x14ac:dyDescent="0.3">
      <c r="B951" s="2">
        <v>943</v>
      </c>
      <c r="C951" s="2">
        <v>6263</v>
      </c>
      <c r="D951" s="4">
        <v>58433.79</v>
      </c>
      <c r="E951" s="4">
        <f t="shared" si="252"/>
        <v>365970826.76999998</v>
      </c>
      <c r="F951" s="2">
        <f t="shared" si="253"/>
        <v>39225169</v>
      </c>
      <c r="G951" s="2">
        <f t="shared" si="254"/>
        <v>3414507813.7641001</v>
      </c>
      <c r="H951" s="42">
        <f t="shared" si="255"/>
        <v>1238.5190000000002</v>
      </c>
      <c r="I951" s="2">
        <f t="shared" si="256"/>
        <v>1533929.3133610005</v>
      </c>
      <c r="J951" s="4">
        <f t="shared" si="257"/>
        <v>-1230668.1068099991</v>
      </c>
      <c r="K951" s="2">
        <f t="shared" si="258"/>
        <v>1514543989119.3074</v>
      </c>
      <c r="L951" s="2">
        <f t="shared" si="259"/>
        <v>-1524205832.9782135</v>
      </c>
      <c r="N951" s="42">
        <f t="shared" si="260"/>
        <v>1602738.6849457733</v>
      </c>
      <c r="O951" s="42">
        <f t="shared" si="261"/>
        <v>98368034872.124512</v>
      </c>
      <c r="P951" s="4">
        <f t="shared" si="262"/>
        <v>-1544304.8949457733</v>
      </c>
      <c r="Q951" s="4">
        <f t="shared" si="263"/>
        <v>2384877608553.4761</v>
      </c>
      <c r="R951" s="43">
        <f t="shared" si="264"/>
        <v>1.1932386088062059E-3</v>
      </c>
      <c r="S951" s="4">
        <f t="shared" si="265"/>
        <v>-1.269873176066131</v>
      </c>
      <c r="T951" s="30">
        <f t="shared" si="266"/>
        <v>1520171.8860648542</v>
      </c>
      <c r="U951" s="31">
        <f t="shared" si="267"/>
        <v>1685305.4838266924</v>
      </c>
      <c r="V951" s="31">
        <f t="shared" si="268"/>
        <v>3993944.2575675528</v>
      </c>
      <c r="W951" s="42">
        <f t="shared" si="269"/>
        <v>3994405.9137587901</v>
      </c>
    </row>
    <row r="952" spans="2:23" x14ac:dyDescent="0.3">
      <c r="B952" s="2">
        <v>944</v>
      </c>
      <c r="C952" s="2">
        <v>3212</v>
      </c>
      <c r="D952" s="4">
        <v>1355110.68</v>
      </c>
      <c r="E952" s="4">
        <f t="shared" si="252"/>
        <v>4352615504.1599998</v>
      </c>
      <c r="F952" s="2">
        <f t="shared" si="253"/>
        <v>10316944</v>
      </c>
      <c r="G952" s="2">
        <f t="shared" si="254"/>
        <v>1836324955050.0623</v>
      </c>
      <c r="H952" s="42">
        <f t="shared" si="255"/>
        <v>-1812.4809999999998</v>
      </c>
      <c r="I952" s="2">
        <f t="shared" si="256"/>
        <v>3285087.3753609993</v>
      </c>
      <c r="J952" s="4">
        <f t="shared" si="257"/>
        <v>66008.783190000802</v>
      </c>
      <c r="K952" s="2">
        <f t="shared" si="258"/>
        <v>4357159458.2245321</v>
      </c>
      <c r="L952" s="2">
        <f t="shared" si="259"/>
        <v>-119639665.36499582</v>
      </c>
      <c r="N952" s="42">
        <f t="shared" si="260"/>
        <v>830117.64271529741</v>
      </c>
      <c r="O952" s="42">
        <f t="shared" si="261"/>
        <v>210666545506.86972</v>
      </c>
      <c r="P952" s="4">
        <f t="shared" si="262"/>
        <v>524993.03728470253</v>
      </c>
      <c r="Q952" s="4">
        <f t="shared" si="263"/>
        <v>275617689197.41705</v>
      </c>
      <c r="R952" s="43">
        <f t="shared" si="264"/>
        <v>1.4138428731312682E-3</v>
      </c>
      <c r="S952" s="4">
        <f t="shared" si="265"/>
        <v>0.43174648576653668</v>
      </c>
      <c r="T952" s="30">
        <f t="shared" si="266"/>
        <v>740241.92484837619</v>
      </c>
      <c r="U952" s="31">
        <f t="shared" si="267"/>
        <v>919993.36058221862</v>
      </c>
      <c r="V952" s="31">
        <f t="shared" si="268"/>
        <v>3221059.6583553255</v>
      </c>
      <c r="W952" s="42">
        <f t="shared" si="269"/>
        <v>3222048.3486018181</v>
      </c>
    </row>
    <row r="953" spans="2:23" x14ac:dyDescent="0.3">
      <c r="B953" s="2">
        <v>945</v>
      </c>
      <c r="C953" s="2">
        <v>1554</v>
      </c>
      <c r="D953" s="4">
        <v>14498.82</v>
      </c>
      <c r="E953" s="4">
        <f t="shared" si="252"/>
        <v>22531166.280000001</v>
      </c>
      <c r="F953" s="2">
        <f t="shared" si="253"/>
        <v>2414916</v>
      </c>
      <c r="G953" s="2">
        <f t="shared" si="254"/>
        <v>210215781.3924</v>
      </c>
      <c r="H953" s="42">
        <f t="shared" si="255"/>
        <v>-3470.4809999999998</v>
      </c>
      <c r="I953" s="2">
        <f t="shared" si="256"/>
        <v>12044238.371360999</v>
      </c>
      <c r="J953" s="4">
        <f t="shared" si="257"/>
        <v>-1274603.0768099991</v>
      </c>
      <c r="K953" s="2">
        <f t="shared" si="258"/>
        <v>1624613003413.5164</v>
      </c>
      <c r="L953" s="2">
        <f t="shared" si="259"/>
        <v>4423485760.6106424</v>
      </c>
      <c r="N953" s="42">
        <f t="shared" si="260"/>
        <v>410253.43818624818</v>
      </c>
      <c r="O953" s="42">
        <f t="shared" si="261"/>
        <v>772374613225.3429</v>
      </c>
      <c r="P953" s="4">
        <f t="shared" si="262"/>
        <v>-395754.61818624818</v>
      </c>
      <c r="Q953" s="4">
        <f t="shared" si="263"/>
        <v>156621717815.74307</v>
      </c>
      <c r="R953" s="43">
        <f t="shared" si="264"/>
        <v>2.5172875612582942E-3</v>
      </c>
      <c r="S953" s="4">
        <f t="shared" si="265"/>
        <v>-0.32564269556724018</v>
      </c>
      <c r="T953" s="30">
        <f t="shared" si="266"/>
        <v>290328.85611035302</v>
      </c>
      <c r="U953" s="31">
        <f t="shared" si="267"/>
        <v>530178.02026214334</v>
      </c>
      <c r="V953" s="31">
        <f t="shared" si="268"/>
        <v>2799876.7267882018</v>
      </c>
      <c r="W953" s="42">
        <f t="shared" si="269"/>
        <v>2803501.5996786524</v>
      </c>
    </row>
    <row r="954" spans="2:23" x14ac:dyDescent="0.3">
      <c r="B954" s="2">
        <v>946</v>
      </c>
      <c r="C954" s="2">
        <v>6450</v>
      </c>
      <c r="D954" s="4">
        <v>704856</v>
      </c>
      <c r="E954" s="4">
        <f t="shared" si="252"/>
        <v>4546321200</v>
      </c>
      <c r="F954" s="2">
        <f t="shared" si="253"/>
        <v>41602500</v>
      </c>
      <c r="G954" s="2">
        <f t="shared" si="254"/>
        <v>496821980736</v>
      </c>
      <c r="H954" s="42">
        <f t="shared" si="255"/>
        <v>1425.5190000000002</v>
      </c>
      <c r="I954" s="2">
        <f t="shared" si="256"/>
        <v>2032104.4193610006</v>
      </c>
      <c r="J954" s="4">
        <f t="shared" si="257"/>
        <v>-584245.89680999913</v>
      </c>
      <c r="K954" s="2">
        <f t="shared" si="258"/>
        <v>341343267939.32013</v>
      </c>
      <c r="L954" s="2">
        <f t="shared" si="259"/>
        <v>-832853626.57469332</v>
      </c>
      <c r="N954" s="42">
        <f t="shared" si="260"/>
        <v>1650093.6947448882</v>
      </c>
      <c r="O954" s="42">
        <f t="shared" si="261"/>
        <v>130315078176.26379</v>
      </c>
      <c r="P954" s="4">
        <f t="shared" si="262"/>
        <v>-945237.69474488823</v>
      </c>
      <c r="Q954" s="4">
        <f t="shared" si="263"/>
        <v>893474299566.63049</v>
      </c>
      <c r="R954" s="43">
        <f t="shared" si="264"/>
        <v>1.2559968230125658E-3</v>
      </c>
      <c r="S954" s="4">
        <f t="shared" si="265"/>
        <v>-0.77728802752132786</v>
      </c>
      <c r="T954" s="30">
        <f t="shared" si="266"/>
        <v>1565383.4241185966</v>
      </c>
      <c r="U954" s="31">
        <f t="shared" si="267"/>
        <v>1734803.9653711799</v>
      </c>
      <c r="V954" s="31">
        <f t="shared" si="268"/>
        <v>4041224.2927811635</v>
      </c>
      <c r="W954" s="42">
        <f t="shared" si="269"/>
        <v>4041835.8813215001</v>
      </c>
    </row>
    <row r="955" spans="2:23" x14ac:dyDescent="0.3">
      <c r="B955" s="2">
        <v>947</v>
      </c>
      <c r="C955" s="2">
        <v>91</v>
      </c>
      <c r="D955" s="4">
        <v>14019.460000000001</v>
      </c>
      <c r="E955" s="4">
        <f t="shared" si="252"/>
        <v>1275770.8600000001</v>
      </c>
      <c r="F955" s="2">
        <f t="shared" si="253"/>
        <v>8281</v>
      </c>
      <c r="G955" s="2">
        <f t="shared" si="254"/>
        <v>196545258.69160002</v>
      </c>
      <c r="H955" s="42">
        <f t="shared" si="255"/>
        <v>-4933.4809999999998</v>
      </c>
      <c r="I955" s="2">
        <f t="shared" si="256"/>
        <v>24339234.777360998</v>
      </c>
      <c r="J955" s="4">
        <f t="shared" si="257"/>
        <v>-1275082.4368099992</v>
      </c>
      <c r="K955" s="2">
        <f t="shared" si="258"/>
        <v>1625835220661.3254</v>
      </c>
      <c r="L955" s="2">
        <f t="shared" si="259"/>
        <v>6290594975.4358311</v>
      </c>
      <c r="N955" s="42">
        <f t="shared" si="260"/>
        <v>39770.126228468318</v>
      </c>
      <c r="O955" s="42">
        <f t="shared" si="261"/>
        <v>1560829872984.3828</v>
      </c>
      <c r="P955" s="4">
        <f t="shared" si="262"/>
        <v>-25750.666228468319</v>
      </c>
      <c r="Q955" s="4">
        <f t="shared" si="263"/>
        <v>663096811.20997882</v>
      </c>
      <c r="R955" s="43">
        <f t="shared" si="264"/>
        <v>4.0661646705736935E-3</v>
      </c>
      <c r="S955" s="4">
        <f t="shared" si="265"/>
        <v>-2.1205145879146309E-2</v>
      </c>
      <c r="T955" s="30">
        <f t="shared" si="266"/>
        <v>-112647.17939634057</v>
      </c>
      <c r="U955" s="31">
        <f t="shared" si="267"/>
        <v>192187.4318532772</v>
      </c>
      <c r="V955" s="31">
        <f t="shared" si="268"/>
        <v>2427541.1227356642</v>
      </c>
      <c r="W955" s="42">
        <f t="shared" si="269"/>
        <v>2434866.3439522199</v>
      </c>
    </row>
    <row r="956" spans="2:23" x14ac:dyDescent="0.3">
      <c r="B956" s="2">
        <v>948</v>
      </c>
      <c r="C956" s="2">
        <v>6702</v>
      </c>
      <c r="D956" s="4">
        <v>318009.90000000002</v>
      </c>
      <c r="E956" s="4">
        <f t="shared" si="252"/>
        <v>2131302349.8000002</v>
      </c>
      <c r="F956" s="2">
        <f t="shared" si="253"/>
        <v>44916804</v>
      </c>
      <c r="G956" s="2">
        <f t="shared" si="254"/>
        <v>101130296498.01001</v>
      </c>
      <c r="H956" s="42">
        <f t="shared" si="255"/>
        <v>1677.5190000000002</v>
      </c>
      <c r="I956" s="2">
        <f t="shared" si="256"/>
        <v>2814069.9953610008</v>
      </c>
      <c r="J956" s="4">
        <f t="shared" si="257"/>
        <v>-971091.99680999911</v>
      </c>
      <c r="K956" s="2">
        <f t="shared" si="258"/>
        <v>943019666268.43127</v>
      </c>
      <c r="L956" s="2">
        <f t="shared" si="259"/>
        <v>-1629025275.396713</v>
      </c>
      <c r="N956" s="42">
        <f t="shared" si="260"/>
        <v>1713909.0020677592</v>
      </c>
      <c r="O956" s="42">
        <f t="shared" si="261"/>
        <v>180461076677.4776</v>
      </c>
      <c r="P956" s="4">
        <f t="shared" si="262"/>
        <v>-1395899.1020677593</v>
      </c>
      <c r="Q956" s="4">
        <f t="shared" si="263"/>
        <v>1948534303153.5767</v>
      </c>
      <c r="R956" s="43">
        <f t="shared" si="264"/>
        <v>1.3545058864514112E-3</v>
      </c>
      <c r="S956" s="4">
        <f t="shared" si="265"/>
        <v>-1.1479326086991095</v>
      </c>
      <c r="T956" s="30">
        <f t="shared" si="266"/>
        <v>1625939.4770335746</v>
      </c>
      <c r="U956" s="31">
        <f t="shared" si="267"/>
        <v>1801878.5271019437</v>
      </c>
      <c r="V956" s="31">
        <f t="shared" si="268"/>
        <v>4104921.9107489637</v>
      </c>
      <c r="W956" s="42">
        <f t="shared" si="269"/>
        <v>4105768.8421159661</v>
      </c>
    </row>
    <row r="957" spans="2:23" x14ac:dyDescent="0.3">
      <c r="B957" s="2">
        <v>949</v>
      </c>
      <c r="C957" s="2">
        <v>7538</v>
      </c>
      <c r="D957" s="4">
        <v>357678.10000000003</v>
      </c>
      <c r="E957" s="4">
        <f t="shared" si="252"/>
        <v>2696177517.8000002</v>
      </c>
      <c r="F957" s="2">
        <f t="shared" si="253"/>
        <v>56821444</v>
      </c>
      <c r="G957" s="2">
        <f t="shared" si="254"/>
        <v>127933623219.61003</v>
      </c>
      <c r="H957" s="42">
        <f t="shared" si="255"/>
        <v>2513.5190000000002</v>
      </c>
      <c r="I957" s="2">
        <f t="shared" si="256"/>
        <v>6317777.7633610014</v>
      </c>
      <c r="J957" s="4">
        <f t="shared" si="257"/>
        <v>-931423.79680999904</v>
      </c>
      <c r="K957" s="2">
        <f t="shared" si="258"/>
        <v>867550289263.95435</v>
      </c>
      <c r="L957" s="2">
        <f t="shared" si="259"/>
        <v>-2341151410.3340721</v>
      </c>
      <c r="N957" s="42">
        <f t="shared" si="260"/>
        <v>1925613.7517579193</v>
      </c>
      <c r="O957" s="42">
        <f t="shared" si="261"/>
        <v>405147341489.24219</v>
      </c>
      <c r="P957" s="4">
        <f t="shared" si="262"/>
        <v>-1567935.6517579192</v>
      </c>
      <c r="Q957" s="4">
        <f t="shared" si="263"/>
        <v>2458422208053.5308</v>
      </c>
      <c r="R957" s="43">
        <f t="shared" si="264"/>
        <v>1.7958897291451307E-3</v>
      </c>
      <c r="S957" s="4">
        <f t="shared" si="265"/>
        <v>-1.2896937543374667</v>
      </c>
      <c r="T957" s="30">
        <f t="shared" si="266"/>
        <v>1824320.239044342</v>
      </c>
      <c r="U957" s="31">
        <f t="shared" si="267"/>
        <v>2026907.2644714967</v>
      </c>
      <c r="V957" s="31">
        <f t="shared" si="268"/>
        <v>4316099.2654343853</v>
      </c>
      <c r="W957" s="42">
        <f t="shared" si="269"/>
        <v>4318000.6838444807</v>
      </c>
    </row>
    <row r="958" spans="2:23" x14ac:dyDescent="0.3">
      <c r="B958" s="2">
        <v>950</v>
      </c>
      <c r="C958" s="2">
        <v>5884</v>
      </c>
      <c r="D958" s="4">
        <v>1502067.52</v>
      </c>
      <c r="E958" s="4">
        <f t="shared" si="252"/>
        <v>8838165287.6800003</v>
      </c>
      <c r="F958" s="2">
        <f t="shared" si="253"/>
        <v>34621456</v>
      </c>
      <c r="G958" s="2">
        <f t="shared" si="254"/>
        <v>2256206834638.9507</v>
      </c>
      <c r="H958" s="42">
        <f t="shared" si="255"/>
        <v>859.51900000000023</v>
      </c>
      <c r="I958" s="2">
        <f t="shared" si="256"/>
        <v>738772.91136100038</v>
      </c>
      <c r="J958" s="4">
        <f t="shared" si="257"/>
        <v>212965.62319000089</v>
      </c>
      <c r="K958" s="2">
        <f t="shared" si="258"/>
        <v>45354356660.705444</v>
      </c>
      <c r="L958" s="2">
        <f t="shared" si="259"/>
        <v>183047999.47864643</v>
      </c>
      <c r="N958" s="42">
        <f t="shared" si="260"/>
        <v>1506762.4886149473</v>
      </c>
      <c r="O958" s="42">
        <f t="shared" si="261"/>
        <v>47376133224.880272</v>
      </c>
      <c r="P958" s="4">
        <f t="shared" si="262"/>
        <v>-4694.9686149472836</v>
      </c>
      <c r="Q958" s="4">
        <f t="shared" si="263"/>
        <v>22042730.295340016</v>
      </c>
      <c r="R958" s="43">
        <f t="shared" si="264"/>
        <v>1.0930678150366064E-3</v>
      </c>
      <c r="S958" s="4">
        <f t="shared" si="265"/>
        <v>-3.8604525453360562E-3</v>
      </c>
      <c r="T958" s="30">
        <f t="shared" si="266"/>
        <v>1427737.3343702492</v>
      </c>
      <c r="U958" s="31">
        <f t="shared" si="267"/>
        <v>1585787.6428596454</v>
      </c>
      <c r="V958" s="31">
        <f t="shared" si="268"/>
        <v>3898087.7261791509</v>
      </c>
      <c r="W958" s="42">
        <f t="shared" si="269"/>
        <v>3898310.0695976242</v>
      </c>
    </row>
    <row r="959" spans="2:23" x14ac:dyDescent="0.3">
      <c r="B959" s="2">
        <v>951</v>
      </c>
      <c r="C959" s="2">
        <v>2058</v>
      </c>
      <c r="D959" s="4">
        <v>317055.48</v>
      </c>
      <c r="E959" s="4">
        <f t="shared" si="252"/>
        <v>652500177.83999991</v>
      </c>
      <c r="F959" s="2">
        <f t="shared" si="253"/>
        <v>4235364</v>
      </c>
      <c r="G959" s="2">
        <f t="shared" si="254"/>
        <v>100524177398.0304</v>
      </c>
      <c r="H959" s="42">
        <f t="shared" si="255"/>
        <v>-2966.4809999999998</v>
      </c>
      <c r="I959" s="2">
        <f t="shared" si="256"/>
        <v>8800009.5233609993</v>
      </c>
      <c r="J959" s="4">
        <f t="shared" si="257"/>
        <v>-972046.41680999915</v>
      </c>
      <c r="K959" s="2">
        <f t="shared" si="258"/>
        <v>944874236433.15857</v>
      </c>
      <c r="L959" s="2">
        <f t="shared" si="259"/>
        <v>2883557226.5849428</v>
      </c>
      <c r="N959" s="42">
        <f t="shared" si="260"/>
        <v>537884.05283199053</v>
      </c>
      <c r="O959" s="42">
        <f t="shared" si="261"/>
        <v>564328249110.96765</v>
      </c>
      <c r="P959" s="4">
        <f t="shared" si="262"/>
        <v>-220828.57283199055</v>
      </c>
      <c r="Q959" s="4">
        <f t="shared" si="263"/>
        <v>48765258579.013756</v>
      </c>
      <c r="R959" s="43">
        <f t="shared" si="264"/>
        <v>2.108591890749949E-3</v>
      </c>
      <c r="S959" s="4">
        <f t="shared" si="265"/>
        <v>-0.18166935002607545</v>
      </c>
      <c r="T959" s="30">
        <f t="shared" si="266"/>
        <v>428125.5777083342</v>
      </c>
      <c r="U959" s="31">
        <f t="shared" si="267"/>
        <v>647642.52795564686</v>
      </c>
      <c r="V959" s="31">
        <f t="shared" si="268"/>
        <v>2927995.8585752752</v>
      </c>
      <c r="W959" s="42">
        <f t="shared" si="269"/>
        <v>2930644.3375162217</v>
      </c>
    </row>
    <row r="960" spans="2:23" x14ac:dyDescent="0.3">
      <c r="B960" s="2">
        <v>952</v>
      </c>
      <c r="C960" s="2">
        <v>8408</v>
      </c>
      <c r="D960" s="4">
        <v>687185.84000000008</v>
      </c>
      <c r="E960" s="4">
        <f t="shared" si="252"/>
        <v>5777858542.7200003</v>
      </c>
      <c r="F960" s="2">
        <f t="shared" si="253"/>
        <v>70694464</v>
      </c>
      <c r="G960" s="2">
        <f t="shared" si="254"/>
        <v>472224378696.50574</v>
      </c>
      <c r="H960" s="42">
        <f t="shared" si="255"/>
        <v>3383.5190000000002</v>
      </c>
      <c r="I960" s="2">
        <f t="shared" si="256"/>
        <v>11448200.823361002</v>
      </c>
      <c r="J960" s="4">
        <f t="shared" si="257"/>
        <v>-601916.05680999905</v>
      </c>
      <c r="K960" s="2">
        <f t="shared" si="258"/>
        <v>362302939445.698</v>
      </c>
      <c r="L960" s="2">
        <f t="shared" si="259"/>
        <v>-2036594414.6217113</v>
      </c>
      <c r="N960" s="42">
        <f t="shared" si="260"/>
        <v>2145928.5032297364</v>
      </c>
      <c r="O960" s="42">
        <f t="shared" si="261"/>
        <v>734151833468.76331</v>
      </c>
      <c r="P960" s="4">
        <f t="shared" si="262"/>
        <v>-1458742.6632297363</v>
      </c>
      <c r="Q960" s="4">
        <f t="shared" si="263"/>
        <v>2127930157526.5837</v>
      </c>
      <c r="R960" s="43">
        <f t="shared" si="264"/>
        <v>2.442201007028872E-3</v>
      </c>
      <c r="S960" s="4">
        <f t="shared" si="265"/>
        <v>-1.2002665111807598</v>
      </c>
      <c r="T960" s="30">
        <f t="shared" si="266"/>
        <v>2027806.0381122832</v>
      </c>
      <c r="U960" s="31">
        <f t="shared" si="267"/>
        <v>2264050.9683471895</v>
      </c>
      <c r="V960" s="31">
        <f t="shared" si="268"/>
        <v>4535641.5508673545</v>
      </c>
      <c r="W960" s="42">
        <f t="shared" si="269"/>
        <v>4539087.0382762793</v>
      </c>
    </row>
    <row r="961" spans="2:23" x14ac:dyDescent="0.3">
      <c r="B961" s="2">
        <v>953</v>
      </c>
      <c r="C961" s="2">
        <v>4315</v>
      </c>
      <c r="D961" s="4">
        <v>2883585.05</v>
      </c>
      <c r="E961" s="4">
        <f t="shared" si="252"/>
        <v>12442669490.75</v>
      </c>
      <c r="F961" s="2">
        <f t="shared" si="253"/>
        <v>18619225</v>
      </c>
      <c r="G961" s="2">
        <f t="shared" si="254"/>
        <v>8315062740583.501</v>
      </c>
      <c r="H961" s="42">
        <f t="shared" si="255"/>
        <v>-709.48099999999977</v>
      </c>
      <c r="I961" s="2">
        <f t="shared" si="256"/>
        <v>503363.28936099965</v>
      </c>
      <c r="J961" s="4">
        <f t="shared" si="257"/>
        <v>1594483.1531900007</v>
      </c>
      <c r="K961" s="2">
        <f t="shared" si="258"/>
        <v>2542376525806.7271</v>
      </c>
      <c r="L961" s="2">
        <f t="shared" si="259"/>
        <v>-1131255502.0083945</v>
      </c>
      <c r="N961" s="42">
        <f t="shared" si="260"/>
        <v>1109436.2299261184</v>
      </c>
      <c r="O961" s="42">
        <f t="shared" si="261"/>
        <v>32279751856.829601</v>
      </c>
      <c r="P961" s="4">
        <f t="shared" si="262"/>
        <v>1774148.8200738814</v>
      </c>
      <c r="Q961" s="4">
        <f t="shared" si="263"/>
        <v>3147604035769.5459</v>
      </c>
      <c r="R961" s="43">
        <f t="shared" si="264"/>
        <v>1.0634118019083344E-3</v>
      </c>
      <c r="S961" s="4">
        <f t="shared" si="265"/>
        <v>1.4587777307634771</v>
      </c>
      <c r="T961" s="30">
        <f t="shared" si="266"/>
        <v>1031490.462610946</v>
      </c>
      <c r="U961" s="31">
        <f t="shared" si="267"/>
        <v>1187381.9972412908</v>
      </c>
      <c r="V961" s="31">
        <f t="shared" si="268"/>
        <v>3500796.893684838</v>
      </c>
      <c r="W961" s="42">
        <f t="shared" si="269"/>
        <v>3500948.3874831405</v>
      </c>
    </row>
    <row r="962" spans="2:23" x14ac:dyDescent="0.3">
      <c r="B962" s="2">
        <v>954</v>
      </c>
      <c r="C962" s="2">
        <v>1189</v>
      </c>
      <c r="D962" s="4">
        <v>244577.3</v>
      </c>
      <c r="E962" s="4">
        <f t="shared" si="252"/>
        <v>290802409.69999999</v>
      </c>
      <c r="F962" s="2">
        <f t="shared" si="253"/>
        <v>1413721</v>
      </c>
      <c r="G962" s="2">
        <f t="shared" si="254"/>
        <v>59818055675.289993</v>
      </c>
      <c r="H962" s="42">
        <f t="shared" si="255"/>
        <v>-3835.4809999999998</v>
      </c>
      <c r="I962" s="2">
        <f t="shared" si="256"/>
        <v>14710914.501360998</v>
      </c>
      <c r="J962" s="4">
        <f t="shared" si="257"/>
        <v>-1044524.5968099991</v>
      </c>
      <c r="K962" s="2">
        <f t="shared" si="258"/>
        <v>1091031633341.0912</v>
      </c>
      <c r="L962" s="2">
        <f t="shared" si="259"/>
        <v>4006254245.0974116</v>
      </c>
      <c r="N962" s="42">
        <f t="shared" si="260"/>
        <v>317822.53670669271</v>
      </c>
      <c r="O962" s="42">
        <f t="shared" si="261"/>
        <v>943383595362.68823</v>
      </c>
      <c r="P962" s="4">
        <f t="shared" si="262"/>
        <v>-73245.236706692725</v>
      </c>
      <c r="Q962" s="4">
        <f t="shared" si="263"/>
        <v>5364864700.2194471</v>
      </c>
      <c r="R962" s="43">
        <f t="shared" si="264"/>
        <v>2.853225326453504E-3</v>
      </c>
      <c r="S962" s="4">
        <f t="shared" si="265"/>
        <v>-6.0279255639715777E-2</v>
      </c>
      <c r="T962" s="30">
        <f t="shared" si="266"/>
        <v>190146.37035304942</v>
      </c>
      <c r="U962" s="31">
        <f t="shared" si="267"/>
        <v>445498.703060336</v>
      </c>
      <c r="V962" s="31">
        <f t="shared" si="268"/>
        <v>2707044.2014670246</v>
      </c>
      <c r="W962" s="42">
        <f t="shared" si="269"/>
        <v>2711471.6464459328</v>
      </c>
    </row>
    <row r="963" spans="2:23" x14ac:dyDescent="0.3">
      <c r="B963" s="2">
        <v>955</v>
      </c>
      <c r="C963" s="2">
        <v>7473</v>
      </c>
      <c r="D963" s="4">
        <v>610768.29</v>
      </c>
      <c r="E963" s="4">
        <f t="shared" si="252"/>
        <v>4564271431.1700001</v>
      </c>
      <c r="F963" s="2">
        <f t="shared" si="253"/>
        <v>55845729</v>
      </c>
      <c r="G963" s="2">
        <f t="shared" si="254"/>
        <v>373037904069.52417</v>
      </c>
      <c r="H963" s="42">
        <f t="shared" si="255"/>
        <v>2448.5190000000002</v>
      </c>
      <c r="I963" s="2">
        <f t="shared" si="256"/>
        <v>5995245.2933610007</v>
      </c>
      <c r="J963" s="4">
        <f t="shared" si="257"/>
        <v>-678333.6068099991</v>
      </c>
      <c r="K963" s="2">
        <f t="shared" si="258"/>
        <v>460136482127.86243</v>
      </c>
      <c r="L963" s="2">
        <f t="shared" si="259"/>
        <v>-1660912724.6128123</v>
      </c>
      <c r="N963" s="42">
        <f t="shared" si="260"/>
        <v>1909153.4542341628</v>
      </c>
      <c r="O963" s="42">
        <f t="shared" si="261"/>
        <v>384463933864.13092</v>
      </c>
      <c r="P963" s="4">
        <f t="shared" si="262"/>
        <v>-1298385.1642341628</v>
      </c>
      <c r="Q963" s="4">
        <f t="shared" si="263"/>
        <v>1685804034703.3738</v>
      </c>
      <c r="R963" s="43">
        <f t="shared" si="264"/>
        <v>1.7552583093953722E-3</v>
      </c>
      <c r="S963" s="4">
        <f t="shared" si="265"/>
        <v>-1.0679552798922927</v>
      </c>
      <c r="T963" s="30">
        <f t="shared" si="266"/>
        <v>1809012.3634590995</v>
      </c>
      <c r="U963" s="31">
        <f t="shared" si="267"/>
        <v>2009294.5450092261</v>
      </c>
      <c r="V963" s="31">
        <f t="shared" si="268"/>
        <v>4299687.5219172146</v>
      </c>
      <c r="W963" s="42">
        <f t="shared" si="269"/>
        <v>4301491.8699191827</v>
      </c>
    </row>
    <row r="964" spans="2:23" x14ac:dyDescent="0.3">
      <c r="B964" s="2">
        <v>956</v>
      </c>
      <c r="C964" s="2">
        <v>3641</v>
      </c>
      <c r="D964" s="4">
        <v>2433171.0699999998</v>
      </c>
      <c r="E964" s="4">
        <f t="shared" si="252"/>
        <v>8859175865.8699989</v>
      </c>
      <c r="F964" s="2">
        <f t="shared" si="253"/>
        <v>13256881</v>
      </c>
      <c r="G964" s="2">
        <f t="shared" si="254"/>
        <v>5920321455884.9443</v>
      </c>
      <c r="H964" s="42">
        <f t="shared" si="255"/>
        <v>-1383.4809999999998</v>
      </c>
      <c r="I964" s="2">
        <f t="shared" si="256"/>
        <v>1914019.6773609994</v>
      </c>
      <c r="J964" s="4">
        <f t="shared" si="257"/>
        <v>1144069.1731900007</v>
      </c>
      <c r="K964" s="2">
        <f t="shared" si="258"/>
        <v>1308894273043.6519</v>
      </c>
      <c r="L964" s="2">
        <f t="shared" si="259"/>
        <v>-1582797963.794075</v>
      </c>
      <c r="N964" s="42">
        <f t="shared" si="260"/>
        <v>938755.60637209006</v>
      </c>
      <c r="O964" s="42">
        <f t="shared" si="261"/>
        <v>122742523223.60374</v>
      </c>
      <c r="P964" s="4">
        <f t="shared" si="262"/>
        <v>1494415.4636279098</v>
      </c>
      <c r="Q964" s="4">
        <f t="shared" si="263"/>
        <v>2233277577930.2207</v>
      </c>
      <c r="R964" s="43">
        <f t="shared" si="264"/>
        <v>1.2411209541791303E-3</v>
      </c>
      <c r="S964" s="4">
        <f t="shared" si="265"/>
        <v>1.2288788353135514</v>
      </c>
      <c r="T964" s="30">
        <f t="shared" si="266"/>
        <v>854548.47888448741</v>
      </c>
      <c r="U964" s="31">
        <f t="shared" si="267"/>
        <v>1022962.7338596927</v>
      </c>
      <c r="V964" s="31">
        <f t="shared" si="268"/>
        <v>3329903.9761925787</v>
      </c>
      <c r="W964" s="42">
        <f t="shared" si="269"/>
        <v>3330480.0255768625</v>
      </c>
    </row>
    <row r="965" spans="2:23" x14ac:dyDescent="0.3">
      <c r="B965" s="2">
        <v>957</v>
      </c>
      <c r="C965" s="2">
        <v>7198</v>
      </c>
      <c r="D965" s="4">
        <v>786597.44000000006</v>
      </c>
      <c r="E965" s="4">
        <f t="shared" si="252"/>
        <v>5661928373.1200008</v>
      </c>
      <c r="F965" s="2">
        <f t="shared" si="253"/>
        <v>51811204</v>
      </c>
      <c r="G965" s="2">
        <f t="shared" si="254"/>
        <v>618735532614.55371</v>
      </c>
      <c r="H965" s="42">
        <f t="shared" si="255"/>
        <v>2173.5190000000002</v>
      </c>
      <c r="I965" s="2">
        <f t="shared" si="256"/>
        <v>4724184.8433610015</v>
      </c>
      <c r="J965" s="4">
        <f t="shared" si="257"/>
        <v>-502504.45680999907</v>
      </c>
      <c r="K965" s="2">
        <f t="shared" si="258"/>
        <v>252510729113.91223</v>
      </c>
      <c r="L965" s="2">
        <f t="shared" si="259"/>
        <v>-1092202984.4612124</v>
      </c>
      <c r="N965" s="42">
        <f t="shared" si="260"/>
        <v>1839513.7339413469</v>
      </c>
      <c r="O965" s="42">
        <f t="shared" si="261"/>
        <v>302953190454.3053</v>
      </c>
      <c r="P965" s="4">
        <f t="shared" si="262"/>
        <v>-1052916.2939413469</v>
      </c>
      <c r="Q965" s="4">
        <f t="shared" si="263"/>
        <v>1108632722047.1809</v>
      </c>
      <c r="R965" s="43">
        <f t="shared" si="264"/>
        <v>1.5951349250078511E-3</v>
      </c>
      <c r="S965" s="4">
        <f t="shared" si="265"/>
        <v>-0.86598135295272061</v>
      </c>
      <c r="T965" s="30">
        <f t="shared" si="266"/>
        <v>1744049.5398263172</v>
      </c>
      <c r="U965" s="31">
        <f t="shared" si="267"/>
        <v>1934977.9280563765</v>
      </c>
      <c r="V965" s="31">
        <f t="shared" si="268"/>
        <v>4230239.1373402532</v>
      </c>
      <c r="W965" s="42">
        <f t="shared" si="269"/>
        <v>4231660.9429271836</v>
      </c>
    </row>
    <row r="966" spans="2:23" x14ac:dyDescent="0.3">
      <c r="B966" s="2">
        <v>958</v>
      </c>
      <c r="C966" s="2">
        <v>7678</v>
      </c>
      <c r="D966" s="4">
        <v>3356821.6</v>
      </c>
      <c r="E966" s="4">
        <f t="shared" si="252"/>
        <v>25773676244.799999</v>
      </c>
      <c r="F966" s="2">
        <f t="shared" si="253"/>
        <v>58951684</v>
      </c>
      <c r="G966" s="2">
        <f t="shared" si="254"/>
        <v>11268251254226.561</v>
      </c>
      <c r="H966" s="42">
        <f t="shared" si="255"/>
        <v>2653.5190000000002</v>
      </c>
      <c r="I966" s="2">
        <f t="shared" si="256"/>
        <v>7041163.0833610017</v>
      </c>
      <c r="J966" s="4">
        <f t="shared" si="257"/>
        <v>2067719.703190001</v>
      </c>
      <c r="K966" s="2">
        <f t="shared" si="258"/>
        <v>4275464770960.1455</v>
      </c>
      <c r="L966" s="2">
        <f t="shared" si="259"/>
        <v>5486733519.0890284</v>
      </c>
      <c r="N966" s="42">
        <f t="shared" si="260"/>
        <v>1961066.7002706253</v>
      </c>
      <c r="O966" s="42">
        <f t="shared" si="261"/>
        <v>451536697089.87793</v>
      </c>
      <c r="P966" s="4">
        <f t="shared" si="262"/>
        <v>1395754.8997293748</v>
      </c>
      <c r="Q966" s="4">
        <f t="shared" si="263"/>
        <v>1948131740118.5571</v>
      </c>
      <c r="R966" s="43">
        <f t="shared" si="264"/>
        <v>1.8870190736658024E-3</v>
      </c>
      <c r="S966" s="4">
        <f t="shared" si="265"/>
        <v>1.1481201723692254</v>
      </c>
      <c r="T966" s="30">
        <f t="shared" si="266"/>
        <v>1857235.0052634513</v>
      </c>
      <c r="U966" s="31">
        <f t="shared" si="267"/>
        <v>2064898.3952777993</v>
      </c>
      <c r="V966" s="31">
        <f t="shared" si="268"/>
        <v>4351443.3120050263</v>
      </c>
      <c r="W966" s="42">
        <f t="shared" si="269"/>
        <v>4353562.4427932231</v>
      </c>
    </row>
    <row r="967" spans="2:23" x14ac:dyDescent="0.3">
      <c r="B967" s="2">
        <v>959</v>
      </c>
      <c r="C967" s="2">
        <v>1651</v>
      </c>
      <c r="D967" s="4">
        <v>254353.06</v>
      </c>
      <c r="E967" s="4">
        <f t="shared" si="252"/>
        <v>419936902.06</v>
      </c>
      <c r="F967" s="2">
        <f t="shared" si="253"/>
        <v>2725801</v>
      </c>
      <c r="G967" s="2">
        <f t="shared" si="254"/>
        <v>64695479131.363602</v>
      </c>
      <c r="H967" s="42">
        <f t="shared" si="255"/>
        <v>-3373.4809999999998</v>
      </c>
      <c r="I967" s="2">
        <f t="shared" si="256"/>
        <v>11380374.057360999</v>
      </c>
      <c r="J967" s="4">
        <f t="shared" si="257"/>
        <v>-1034748.8368099991</v>
      </c>
      <c r="K967" s="2">
        <f t="shared" si="258"/>
        <v>1070705155279.6461</v>
      </c>
      <c r="L967" s="2">
        <f t="shared" si="259"/>
        <v>3490705540.7506323</v>
      </c>
      <c r="N967" s="42">
        <f t="shared" si="260"/>
        <v>434817.2667986232</v>
      </c>
      <c r="O967" s="42">
        <f t="shared" si="261"/>
        <v>729802229073.67358</v>
      </c>
      <c r="P967" s="4">
        <f t="shared" si="262"/>
        <v>-180464.2067986232</v>
      </c>
      <c r="Q967" s="4">
        <f t="shared" si="263"/>
        <v>32567329935.456242</v>
      </c>
      <c r="R967" s="43">
        <f t="shared" si="264"/>
        <v>2.4336564477799544E-3</v>
      </c>
      <c r="S967" s="4">
        <f t="shared" si="265"/>
        <v>-0.1484869276053731</v>
      </c>
      <c r="T967" s="30">
        <f t="shared" si="266"/>
        <v>316901.62101404869</v>
      </c>
      <c r="U967" s="31">
        <f t="shared" si="267"/>
        <v>552732.9125831977</v>
      </c>
      <c r="V967" s="31">
        <f t="shared" si="268"/>
        <v>2824540.528453433</v>
      </c>
      <c r="W967" s="42">
        <f t="shared" si="269"/>
        <v>2827965.6024898076</v>
      </c>
    </row>
    <row r="968" spans="2:23" x14ac:dyDescent="0.3">
      <c r="B968" s="2">
        <v>960</v>
      </c>
      <c r="C968" s="2">
        <v>7715</v>
      </c>
      <c r="D968" s="4">
        <v>1188572.8999999999</v>
      </c>
      <c r="E968" s="4">
        <f t="shared" si="252"/>
        <v>9169839923.5</v>
      </c>
      <c r="F968" s="2">
        <f t="shared" si="253"/>
        <v>59521225</v>
      </c>
      <c r="G968" s="2">
        <f t="shared" si="254"/>
        <v>1412705538614.4097</v>
      </c>
      <c r="H968" s="42">
        <f t="shared" si="255"/>
        <v>2690.5190000000002</v>
      </c>
      <c r="I968" s="2">
        <f t="shared" si="256"/>
        <v>7238892.4893610012</v>
      </c>
      <c r="J968" s="4">
        <f t="shared" si="257"/>
        <v>-100528.99680999923</v>
      </c>
      <c r="K968" s="2">
        <f t="shared" si="258"/>
        <v>10106079199.624834</v>
      </c>
      <c r="L968" s="2">
        <f t="shared" si="259"/>
        <v>-270475175.96824235</v>
      </c>
      <c r="N968" s="42">
        <f t="shared" si="260"/>
        <v>1970436.4080918406</v>
      </c>
      <c r="O968" s="42">
        <f t="shared" si="261"/>
        <v>464216716263.66571</v>
      </c>
      <c r="P968" s="4">
        <f t="shared" si="262"/>
        <v>-781863.50809184066</v>
      </c>
      <c r="Q968" s="4">
        <f t="shared" si="263"/>
        <v>611310545285.67981</v>
      </c>
      <c r="R968" s="43">
        <f t="shared" si="264"/>
        <v>1.9119282758061525E-3</v>
      </c>
      <c r="S968" s="4">
        <f t="shared" si="265"/>
        <v>-0.64315336980927507</v>
      </c>
      <c r="T968" s="30">
        <f t="shared" si="266"/>
        <v>1865921.6555055303</v>
      </c>
      <c r="U968" s="31">
        <f t="shared" si="267"/>
        <v>2074951.1606781508</v>
      </c>
      <c r="V968" s="31">
        <f t="shared" si="268"/>
        <v>4360783.2518169759</v>
      </c>
      <c r="W968" s="42">
        <f t="shared" si="269"/>
        <v>4362961.8918869188</v>
      </c>
    </row>
    <row r="969" spans="2:23" x14ac:dyDescent="0.3">
      <c r="B969" s="2">
        <v>961</v>
      </c>
      <c r="C969" s="2">
        <v>1499</v>
      </c>
      <c r="D969" s="4">
        <v>976163.79</v>
      </c>
      <c r="E969" s="4">
        <f t="shared" si="252"/>
        <v>1463269521.21</v>
      </c>
      <c r="F969" s="2">
        <f t="shared" si="253"/>
        <v>2247001</v>
      </c>
      <c r="G969" s="2">
        <f t="shared" si="254"/>
        <v>952895744907.16418</v>
      </c>
      <c r="H969" s="42">
        <f t="shared" si="255"/>
        <v>-3525.4809999999998</v>
      </c>
      <c r="I969" s="2">
        <f t="shared" si="256"/>
        <v>12429016.281360999</v>
      </c>
      <c r="J969" s="4">
        <f t="shared" si="257"/>
        <v>-312938.1068099991</v>
      </c>
      <c r="K969" s="2">
        <f t="shared" si="258"/>
        <v>97930258693.826401</v>
      </c>
      <c r="L969" s="2">
        <f t="shared" si="259"/>
        <v>1103257349.7346222</v>
      </c>
      <c r="N969" s="42">
        <f t="shared" si="260"/>
        <v>396325.49412768503</v>
      </c>
      <c r="O969" s="42">
        <f t="shared" si="261"/>
        <v>797049705186.37354</v>
      </c>
      <c r="P969" s="4">
        <f t="shared" si="262"/>
        <v>579838.29587231507</v>
      </c>
      <c r="Q969" s="4">
        <f t="shared" si="263"/>
        <v>336212449360.11041</v>
      </c>
      <c r="R969" s="43">
        <f t="shared" si="264"/>
        <v>2.5657604259334225E-3</v>
      </c>
      <c r="S969" s="4">
        <f t="shared" si="265"/>
        <v>0.4771256860331694</v>
      </c>
      <c r="T969" s="30">
        <f t="shared" si="266"/>
        <v>275251.78428272787</v>
      </c>
      <c r="U969" s="31">
        <f t="shared" si="267"/>
        <v>517399.20397264219</v>
      </c>
      <c r="V969" s="31">
        <f t="shared" si="268"/>
        <v>2785890.8361092084</v>
      </c>
      <c r="W969" s="42">
        <f t="shared" si="269"/>
        <v>2789631.5130722569</v>
      </c>
    </row>
    <row r="970" spans="2:23" x14ac:dyDescent="0.3">
      <c r="B970" s="2">
        <v>962</v>
      </c>
      <c r="C970" s="2">
        <v>664</v>
      </c>
      <c r="D970" s="4">
        <v>280134.95999999996</v>
      </c>
      <c r="E970" s="4">
        <f t="shared" ref="E970:E1008" si="270">C970*D970</f>
        <v>186009613.43999997</v>
      </c>
      <c r="F970" s="2">
        <f t="shared" ref="F970:F1008" si="271">POWER(C970,2)</f>
        <v>440896</v>
      </c>
      <c r="G970" s="2">
        <f t="shared" ref="G970:G1008" si="272">POWER(D970,2)</f>
        <v>78475595814.201584</v>
      </c>
      <c r="H970" s="42">
        <f t="shared" ref="H970:H1008" si="273">C970-$AG$9</f>
        <v>-4360.4809999999998</v>
      </c>
      <c r="I970" s="2">
        <f t="shared" ref="I970:I1008" si="274">POWER(H970,2)</f>
        <v>19013794.551360998</v>
      </c>
      <c r="J970" s="4">
        <f t="shared" ref="J970:J1008" si="275">D970-$AG$10</f>
        <v>-1008966.9368099992</v>
      </c>
      <c r="K970" s="2">
        <f t="shared" ref="K970:K1008" si="276">POWER(J970,2)</f>
        <v>1018014279575.7528</v>
      </c>
      <c r="L970" s="2">
        <f t="shared" ref="L970:L1008" si="277">H970*J970</f>
        <v>4399581157.5882015</v>
      </c>
      <c r="N970" s="42">
        <f t="shared" ref="N970:N1008" si="278">$AG$18+$AG$17*C970</f>
        <v>184873.97978404444</v>
      </c>
      <c r="O970" s="42">
        <f t="shared" ref="O970:O1008" si="279">(N970-$AG$10)^2</f>
        <v>1219319292739.4788</v>
      </c>
      <c r="P970" s="4">
        <f t="shared" ref="P970:P1008" si="280">D970-N970</f>
        <v>95260.980215955526</v>
      </c>
      <c r="Q970" s="4">
        <f t="shared" ref="Q970:Q1008" si="281">P970^2</f>
        <v>9074654351.70467</v>
      </c>
      <c r="R970" s="43">
        <f t="shared" ref="R970:R1008" si="282">(1/$AG$8)+((I970)/($I$1009))</f>
        <v>3.3952858682786756E-3</v>
      </c>
      <c r="S970" s="4">
        <f t="shared" ref="S970:S1008" si="283">P970 / ($AG$19*SQRT(1-R970))</f>
        <v>7.8419057042105098E-2</v>
      </c>
      <c r="T970" s="30">
        <f t="shared" ref="T970:T1008" si="284">N970-$AK$16*SQRT($AG$25*((1/$AG$8)+((C970-$AG$9)^2)/$I$1009))</f>
        <v>45596.797596191085</v>
      </c>
      <c r="U970" s="31">
        <f t="shared" ref="U970:U1008" si="285">N970+$AK$16*SQRT($AG$25*((1/$AG$8)+((C970-$AG$9)^2)/$I$1009))</f>
        <v>324151.16197189782</v>
      </c>
      <c r="V970" s="31">
        <f t="shared" ref="V970:V1008" si="286">N970+$AK$16*SQRT($AG$25*(1+(1/$AG$8)-((C970-$AG$9)^2)/$I$1009))</f>
        <v>2573447.4522434338</v>
      </c>
      <c r="W970" s="42">
        <f t="shared" ref="W970:W1008" si="287">N970+$AK$16*SQRT($AG$25*(1+(1/$AG$8)+((C970-$AG$9)^2)/$I$1009))</f>
        <v>2579169.907730062</v>
      </c>
    </row>
    <row r="971" spans="2:23" x14ac:dyDescent="0.3">
      <c r="B971" s="2">
        <v>963</v>
      </c>
      <c r="C971" s="2">
        <v>9904</v>
      </c>
      <c r="D971" s="4">
        <v>6618546.0800000001</v>
      </c>
      <c r="E971" s="4">
        <f t="shared" si="270"/>
        <v>65550080376.32</v>
      </c>
      <c r="F971" s="2">
        <f t="shared" si="271"/>
        <v>98089216</v>
      </c>
      <c r="G971" s="2">
        <f t="shared" si="272"/>
        <v>43805152213083.367</v>
      </c>
      <c r="H971" s="42">
        <f t="shared" si="273"/>
        <v>4879.5190000000002</v>
      </c>
      <c r="I971" s="2">
        <f t="shared" si="274"/>
        <v>23809705.671361003</v>
      </c>
      <c r="J971" s="4">
        <f t="shared" si="275"/>
        <v>5329444.1831900012</v>
      </c>
      <c r="K971" s="2">
        <f t="shared" si="276"/>
        <v>28402975301737.738</v>
      </c>
      <c r="L971" s="2">
        <f t="shared" si="277"/>
        <v>26005124151.315094</v>
      </c>
      <c r="N971" s="42">
        <f t="shared" si="278"/>
        <v>2524768.5816226541</v>
      </c>
      <c r="O971" s="42">
        <f t="shared" si="279"/>
        <v>1526872155955.8972</v>
      </c>
      <c r="P971" s="4">
        <f t="shared" si="280"/>
        <v>4093777.498377346</v>
      </c>
      <c r="Q971" s="4">
        <f t="shared" si="281"/>
        <v>16759014206220.682</v>
      </c>
      <c r="R971" s="43">
        <f t="shared" si="282"/>
        <v>3.999456598125669E-3</v>
      </c>
      <c r="S971" s="4">
        <f t="shared" si="283"/>
        <v>3.371028973341371</v>
      </c>
      <c r="T971" s="30">
        <f t="shared" si="284"/>
        <v>2373606.6987453727</v>
      </c>
      <c r="U971" s="31">
        <f t="shared" si="285"/>
        <v>2675930.4644999355</v>
      </c>
      <c r="V971" s="31">
        <f t="shared" si="286"/>
        <v>4912619.3834902849</v>
      </c>
      <c r="W971" s="42">
        <f t="shared" si="287"/>
        <v>4919785.2354135411</v>
      </c>
    </row>
    <row r="972" spans="2:23" x14ac:dyDescent="0.3">
      <c r="B972" s="2">
        <v>964</v>
      </c>
      <c r="C972" s="2">
        <v>5941</v>
      </c>
      <c r="D972" s="4">
        <v>906477.78</v>
      </c>
      <c r="E972" s="4">
        <f t="shared" si="270"/>
        <v>5385384490.9800005</v>
      </c>
      <c r="F972" s="2">
        <f t="shared" si="271"/>
        <v>35295481</v>
      </c>
      <c r="G972" s="2">
        <f t="shared" si="272"/>
        <v>821701965633.72839</v>
      </c>
      <c r="H972" s="42">
        <f t="shared" si="273"/>
        <v>916.51900000000023</v>
      </c>
      <c r="I972" s="2">
        <f t="shared" si="274"/>
        <v>840007.07736100047</v>
      </c>
      <c r="J972" s="4">
        <f t="shared" si="275"/>
        <v>-382624.1168099991</v>
      </c>
      <c r="K972" s="2">
        <f t="shared" si="276"/>
        <v>146401214764.63184</v>
      </c>
      <c r="L972" s="2">
        <f t="shared" si="277"/>
        <v>-350682272.91458368</v>
      </c>
      <c r="N972" s="42">
        <f t="shared" si="278"/>
        <v>1521196.9033665492</v>
      </c>
      <c r="O972" s="42">
        <f t="shared" si="279"/>
        <v>53868092068.485008</v>
      </c>
      <c r="P972" s="4">
        <f t="shared" si="280"/>
        <v>-614719.12336654915</v>
      </c>
      <c r="Q972" s="4">
        <f t="shared" si="281"/>
        <v>377879600632.5387</v>
      </c>
      <c r="R972" s="43">
        <f t="shared" si="282"/>
        <v>1.1058209120868435E-3</v>
      </c>
      <c r="S972" s="4">
        <f t="shared" si="283"/>
        <v>-0.5054579376238244</v>
      </c>
      <c r="T972" s="30">
        <f t="shared" si="284"/>
        <v>1441712.0828215943</v>
      </c>
      <c r="U972" s="31">
        <f t="shared" si="285"/>
        <v>1600681.723911504</v>
      </c>
      <c r="V972" s="31">
        <f t="shared" si="286"/>
        <v>3912506.906297544</v>
      </c>
      <c r="W972" s="42">
        <f t="shared" si="287"/>
        <v>3912759.7174690254</v>
      </c>
    </row>
    <row r="973" spans="2:23" x14ac:dyDescent="0.3">
      <c r="B973" s="2">
        <v>965</v>
      </c>
      <c r="C973" s="2">
        <v>2531</v>
      </c>
      <c r="D973" s="4">
        <v>276587.68</v>
      </c>
      <c r="E973" s="4">
        <f t="shared" si="270"/>
        <v>700043418.07999992</v>
      </c>
      <c r="F973" s="2">
        <f t="shared" si="271"/>
        <v>6405961</v>
      </c>
      <c r="G973" s="2">
        <f t="shared" si="272"/>
        <v>76500744727.782394</v>
      </c>
      <c r="H973" s="42">
        <f t="shared" si="273"/>
        <v>-2493.4809999999998</v>
      </c>
      <c r="I973" s="2">
        <f t="shared" si="274"/>
        <v>6217447.4973609988</v>
      </c>
      <c r="J973" s="4">
        <f t="shared" si="275"/>
        <v>-1012514.2168099992</v>
      </c>
      <c r="K973" s="2">
        <f t="shared" si="276"/>
        <v>1025185039242.3661</v>
      </c>
      <c r="L973" s="2">
        <f t="shared" si="277"/>
        <v>2524684961.8456135</v>
      </c>
      <c r="N973" s="42">
        <f t="shared" si="278"/>
        <v>657664.37173563358</v>
      </c>
      <c r="O973" s="42">
        <f t="shared" si="279"/>
        <v>398713348072.04004</v>
      </c>
      <c r="P973" s="4">
        <f t="shared" si="280"/>
        <v>-381076.69173563359</v>
      </c>
      <c r="Q973" s="4">
        <f t="shared" si="281"/>
        <v>145219444984.17511</v>
      </c>
      <c r="R973" s="43">
        <f t="shared" si="282"/>
        <v>1.7832505019955325E-3</v>
      </c>
      <c r="S973" s="4">
        <f t="shared" si="283"/>
        <v>-0.31344980084550811</v>
      </c>
      <c r="T973" s="30">
        <f t="shared" si="284"/>
        <v>556727.93336002401</v>
      </c>
      <c r="U973" s="31">
        <f t="shared" si="285"/>
        <v>758600.81011124316</v>
      </c>
      <c r="V973" s="31">
        <f t="shared" si="286"/>
        <v>3048164.9892262341</v>
      </c>
      <c r="W973" s="42">
        <f t="shared" si="287"/>
        <v>3050036.2119169729</v>
      </c>
    </row>
    <row r="974" spans="2:23" x14ac:dyDescent="0.3">
      <c r="B974" s="2">
        <v>966</v>
      </c>
      <c r="C974" s="2">
        <v>5460</v>
      </c>
      <c r="D974" s="4">
        <v>2387112</v>
      </c>
      <c r="E974" s="4">
        <f t="shared" si="270"/>
        <v>13033631520</v>
      </c>
      <c r="F974" s="2">
        <f t="shared" si="271"/>
        <v>29811600</v>
      </c>
      <c r="G974" s="2">
        <f t="shared" si="272"/>
        <v>5698303700544</v>
      </c>
      <c r="H974" s="42">
        <f t="shared" si="273"/>
        <v>435.51900000000023</v>
      </c>
      <c r="I974" s="2">
        <f t="shared" si="274"/>
        <v>189676.79936100022</v>
      </c>
      <c r="J974" s="4">
        <f t="shared" si="275"/>
        <v>1098010.1031900009</v>
      </c>
      <c r="K974" s="2">
        <f t="shared" si="276"/>
        <v>1205626186707.3164</v>
      </c>
      <c r="L974" s="2">
        <f t="shared" si="277"/>
        <v>478204262.13120621</v>
      </c>
      <c r="N974" s="42">
        <f t="shared" si="278"/>
        <v>1399390.7016907514</v>
      </c>
      <c r="O974" s="42">
        <f t="shared" si="279"/>
        <v>12163620482.024637</v>
      </c>
      <c r="P974" s="4">
        <f t="shared" si="280"/>
        <v>987721.29830924864</v>
      </c>
      <c r="Q974" s="4">
        <f t="shared" si="281"/>
        <v>975593363133.70776</v>
      </c>
      <c r="R974" s="43">
        <f t="shared" si="282"/>
        <v>1.0238947652359699E-3</v>
      </c>
      <c r="S974" s="4">
        <f t="shared" si="283"/>
        <v>0.81212879045792596</v>
      </c>
      <c r="T974" s="30">
        <f t="shared" si="284"/>
        <v>1322906.9011795034</v>
      </c>
      <c r="U974" s="31">
        <f t="shared" si="285"/>
        <v>1475874.5022019993</v>
      </c>
      <c r="V974" s="31">
        <f t="shared" si="286"/>
        <v>3790798.5705149407</v>
      </c>
      <c r="W974" s="42">
        <f t="shared" si="287"/>
        <v>3790855.6562408572</v>
      </c>
    </row>
    <row r="975" spans="2:23" x14ac:dyDescent="0.3">
      <c r="B975" s="2">
        <v>967</v>
      </c>
      <c r="C975" s="2">
        <v>7544</v>
      </c>
      <c r="D975" s="4">
        <v>357962.80000000005</v>
      </c>
      <c r="E975" s="4">
        <f t="shared" si="270"/>
        <v>2700471363.2000003</v>
      </c>
      <c r="F975" s="2">
        <f t="shared" si="271"/>
        <v>56911936</v>
      </c>
      <c r="G975" s="2">
        <f t="shared" si="272"/>
        <v>128137366183.84003</v>
      </c>
      <c r="H975" s="42">
        <f t="shared" si="273"/>
        <v>2519.5190000000002</v>
      </c>
      <c r="I975" s="2">
        <f t="shared" si="274"/>
        <v>6347975.9913610015</v>
      </c>
      <c r="J975" s="4">
        <f t="shared" si="275"/>
        <v>-931139.09680999909</v>
      </c>
      <c r="K975" s="2">
        <f t="shared" si="276"/>
        <v>867020017608.14087</v>
      </c>
      <c r="L975" s="2">
        <f t="shared" si="277"/>
        <v>-2346022646.0556321</v>
      </c>
      <c r="N975" s="42">
        <f t="shared" si="278"/>
        <v>1927133.1638370352</v>
      </c>
      <c r="O975" s="42">
        <f t="shared" si="279"/>
        <v>407083897704.125</v>
      </c>
      <c r="P975" s="4">
        <f t="shared" si="280"/>
        <v>-1569170.3638370351</v>
      </c>
      <c r="Q975" s="4">
        <f t="shared" si="281"/>
        <v>2462295630744.4531</v>
      </c>
      <c r="R975" s="43">
        <f t="shared" si="282"/>
        <v>1.7996939876049594E-3</v>
      </c>
      <c r="S975" s="4">
        <f t="shared" si="283"/>
        <v>-1.2907118170520997</v>
      </c>
      <c r="T975" s="30">
        <f t="shared" si="284"/>
        <v>1825732.422143599</v>
      </c>
      <c r="U975" s="31">
        <f t="shared" si="285"/>
        <v>2028533.9055304714</v>
      </c>
      <c r="V975" s="31">
        <f t="shared" si="286"/>
        <v>4317614.131424712</v>
      </c>
      <c r="W975" s="42">
        <f t="shared" si="287"/>
        <v>4319524.6383906193</v>
      </c>
    </row>
    <row r="976" spans="2:23" x14ac:dyDescent="0.3">
      <c r="B976" s="2">
        <v>968</v>
      </c>
      <c r="C976" s="2">
        <v>3633</v>
      </c>
      <c r="D976" s="4">
        <v>559699.98</v>
      </c>
      <c r="E976" s="4">
        <f t="shared" si="270"/>
        <v>2033390027.3399999</v>
      </c>
      <c r="F976" s="2">
        <f t="shared" si="271"/>
        <v>13198689</v>
      </c>
      <c r="G976" s="2">
        <f t="shared" si="272"/>
        <v>313264067612.00037</v>
      </c>
      <c r="H976" s="42">
        <f t="shared" si="273"/>
        <v>-1391.4809999999998</v>
      </c>
      <c r="I976" s="2">
        <f t="shared" si="274"/>
        <v>1936219.3733609994</v>
      </c>
      <c r="J976" s="4">
        <f t="shared" si="275"/>
        <v>-729401.91680999915</v>
      </c>
      <c r="K976" s="2">
        <f t="shared" si="276"/>
        <v>532027156246.10095</v>
      </c>
      <c r="L976" s="2">
        <f t="shared" si="277"/>
        <v>1014948908.6046942</v>
      </c>
      <c r="N976" s="42">
        <f t="shared" si="278"/>
        <v>936729.72359993542</v>
      </c>
      <c r="O976" s="42">
        <f t="shared" si="279"/>
        <v>124166148452.78314</v>
      </c>
      <c r="P976" s="4">
        <f t="shared" si="280"/>
        <v>-377029.74359993543</v>
      </c>
      <c r="Q976" s="4">
        <f t="shared" si="281"/>
        <v>142151427559.03305</v>
      </c>
      <c r="R976" s="43">
        <f t="shared" si="282"/>
        <v>1.2439175878529215E-3</v>
      </c>
      <c r="S976" s="4">
        <f t="shared" si="283"/>
        <v>-0.31003729026524568</v>
      </c>
      <c r="T976" s="30">
        <f t="shared" si="284"/>
        <v>852427.77699943469</v>
      </c>
      <c r="U976" s="31">
        <f t="shared" si="285"/>
        <v>1021031.6702004361</v>
      </c>
      <c r="V976" s="31">
        <f t="shared" si="286"/>
        <v>3327874.7523705158</v>
      </c>
      <c r="W976" s="42">
        <f t="shared" si="287"/>
        <v>3328457.4830452548</v>
      </c>
    </row>
    <row r="977" spans="2:23" x14ac:dyDescent="0.3">
      <c r="B977" s="2">
        <v>969</v>
      </c>
      <c r="C977" s="2">
        <v>5607</v>
      </c>
      <c r="D977" s="4">
        <v>2451380.4</v>
      </c>
      <c r="E977" s="4">
        <f t="shared" si="270"/>
        <v>13744889902.799999</v>
      </c>
      <c r="F977" s="2">
        <f t="shared" si="271"/>
        <v>31438449</v>
      </c>
      <c r="G977" s="2">
        <f t="shared" si="272"/>
        <v>6009265865504.1592</v>
      </c>
      <c r="H977" s="42">
        <f t="shared" si="273"/>
        <v>582.51900000000023</v>
      </c>
      <c r="I977" s="2">
        <f t="shared" si="274"/>
        <v>339328.38536100026</v>
      </c>
      <c r="J977" s="4">
        <f t="shared" si="275"/>
        <v>1162278.5031900008</v>
      </c>
      <c r="K977" s="2">
        <f t="shared" si="276"/>
        <v>1350891318977.5886</v>
      </c>
      <c r="L977" s="2">
        <f t="shared" si="277"/>
        <v>677049311.39973629</v>
      </c>
      <c r="N977" s="42">
        <f t="shared" si="278"/>
        <v>1436616.2976290928</v>
      </c>
      <c r="O977" s="42">
        <f t="shared" si="279"/>
        <v>21760498449.016228</v>
      </c>
      <c r="P977" s="4">
        <f t="shared" si="280"/>
        <v>1014764.1023709071</v>
      </c>
      <c r="Q977" s="4">
        <f t="shared" si="281"/>
        <v>1029746183460.6328</v>
      </c>
      <c r="R977" s="43">
        <f t="shared" si="282"/>
        <v>1.0427473055925518E-3</v>
      </c>
      <c r="S977" s="4">
        <f t="shared" si="283"/>
        <v>0.83437192344767441</v>
      </c>
      <c r="T977" s="30">
        <f t="shared" si="284"/>
        <v>1359431.576936424</v>
      </c>
      <c r="U977" s="31">
        <f t="shared" si="285"/>
        <v>1513801.0183217616</v>
      </c>
      <c r="V977" s="31">
        <f t="shared" si="286"/>
        <v>3828001.6462725289</v>
      </c>
      <c r="W977" s="42">
        <f t="shared" si="287"/>
        <v>3828103.7716103173</v>
      </c>
    </row>
    <row r="978" spans="2:23" x14ac:dyDescent="0.3">
      <c r="B978" s="2">
        <v>970</v>
      </c>
      <c r="C978" s="2">
        <v>7376</v>
      </c>
      <c r="D978" s="4">
        <v>602840.48</v>
      </c>
      <c r="E978" s="4">
        <f t="shared" si="270"/>
        <v>4446551380.4799995</v>
      </c>
      <c r="F978" s="2">
        <f t="shared" si="271"/>
        <v>54405376</v>
      </c>
      <c r="G978" s="2">
        <f t="shared" si="272"/>
        <v>363416644326.63037</v>
      </c>
      <c r="H978" s="42">
        <f t="shared" si="273"/>
        <v>2351.5190000000002</v>
      </c>
      <c r="I978" s="2">
        <f t="shared" si="274"/>
        <v>5529641.607361001</v>
      </c>
      <c r="J978" s="4">
        <f t="shared" si="275"/>
        <v>-686261.41680999915</v>
      </c>
      <c r="K978" s="2">
        <f t="shared" si="276"/>
        <v>470954732202.06738</v>
      </c>
      <c r="L978" s="2">
        <f t="shared" si="277"/>
        <v>-1613756760.5956326</v>
      </c>
      <c r="N978" s="42">
        <f t="shared" si="278"/>
        <v>1884589.6256217877</v>
      </c>
      <c r="O978" s="42">
        <f t="shared" si="279"/>
        <v>354605635165.4223</v>
      </c>
      <c r="P978" s="4">
        <f t="shared" si="280"/>
        <v>-1281749.1456217878</v>
      </c>
      <c r="Q978" s="4">
        <f t="shared" si="281"/>
        <v>1642880872302.1829</v>
      </c>
      <c r="R978" s="43">
        <f t="shared" si="282"/>
        <v>1.6966033193942087E-3</v>
      </c>
      <c r="S978" s="4">
        <f t="shared" si="283"/>
        <v>-1.0542407534293037</v>
      </c>
      <c r="T978" s="30">
        <f t="shared" si="284"/>
        <v>1786135.9453700972</v>
      </c>
      <c r="U978" s="31">
        <f t="shared" si="285"/>
        <v>1983043.3058734783</v>
      </c>
      <c r="V978" s="31">
        <f t="shared" si="286"/>
        <v>4275193.783498995</v>
      </c>
      <c r="W978" s="42">
        <f t="shared" si="287"/>
        <v>4276858.0019240361</v>
      </c>
    </row>
    <row r="979" spans="2:23" x14ac:dyDescent="0.3">
      <c r="B979" s="2">
        <v>971</v>
      </c>
      <c r="C979" s="2">
        <v>9884</v>
      </c>
      <c r="D979" s="4">
        <v>92217.72</v>
      </c>
      <c r="E979" s="4">
        <f t="shared" si="270"/>
        <v>911479944.48000002</v>
      </c>
      <c r="F979" s="2">
        <f t="shared" si="271"/>
        <v>97693456</v>
      </c>
      <c r="G979" s="2">
        <f t="shared" si="272"/>
        <v>8504107881.9984007</v>
      </c>
      <c r="H979" s="42">
        <f t="shared" si="273"/>
        <v>4859.5190000000002</v>
      </c>
      <c r="I979" s="2">
        <f t="shared" si="274"/>
        <v>23614924.911361001</v>
      </c>
      <c r="J979" s="4">
        <f t="shared" si="275"/>
        <v>-1196884.1768099992</v>
      </c>
      <c r="K979" s="2">
        <f t="shared" si="276"/>
        <v>1432531732698.1494</v>
      </c>
      <c r="L979" s="2">
        <f t="shared" si="277"/>
        <v>-5816281398.0075502</v>
      </c>
      <c r="N979" s="42">
        <f t="shared" si="278"/>
        <v>2519703.8746922673</v>
      </c>
      <c r="O979" s="42">
        <f t="shared" si="279"/>
        <v>1514381227967.7502</v>
      </c>
      <c r="P979" s="4">
        <f t="shared" si="280"/>
        <v>-2427486.1546922671</v>
      </c>
      <c r="Q979" s="4">
        <f t="shared" si="281"/>
        <v>5892689031222.6494</v>
      </c>
      <c r="R979" s="43">
        <f t="shared" si="282"/>
        <v>3.9749188552474501E-3</v>
      </c>
      <c r="S979" s="4">
        <f t="shared" si="283"/>
        <v>-1.9988935314845819</v>
      </c>
      <c r="T979" s="30">
        <f t="shared" si="284"/>
        <v>2369006.4146727845</v>
      </c>
      <c r="U979" s="31">
        <f t="shared" si="285"/>
        <v>2670401.33471175</v>
      </c>
      <c r="V979" s="31">
        <f t="shared" si="286"/>
        <v>4907584.0313078733</v>
      </c>
      <c r="W979" s="42">
        <f t="shared" si="287"/>
        <v>4914691.2612054031</v>
      </c>
    </row>
    <row r="980" spans="2:23" x14ac:dyDescent="0.3">
      <c r="B980" s="2">
        <v>972</v>
      </c>
      <c r="C980" s="2">
        <v>6103</v>
      </c>
      <c r="D980" s="4">
        <v>2668231.6</v>
      </c>
      <c r="E980" s="4">
        <f t="shared" si="270"/>
        <v>16284217454.800001</v>
      </c>
      <c r="F980" s="2">
        <f t="shared" si="271"/>
        <v>37246609</v>
      </c>
      <c r="G980" s="2">
        <f t="shared" si="272"/>
        <v>7119459871238.5605</v>
      </c>
      <c r="H980" s="42">
        <f t="shared" si="273"/>
        <v>1078.5190000000002</v>
      </c>
      <c r="I980" s="2">
        <f t="shared" si="274"/>
        <v>1163203.2333610004</v>
      </c>
      <c r="J980" s="4">
        <f t="shared" si="275"/>
        <v>1379129.703190001</v>
      </c>
      <c r="K980" s="2">
        <f t="shared" si="276"/>
        <v>1901998738220.9402</v>
      </c>
      <c r="L980" s="2">
        <f t="shared" si="277"/>
        <v>1487417588.3547769</v>
      </c>
      <c r="N980" s="42">
        <f t="shared" si="278"/>
        <v>1562221.0295026805</v>
      </c>
      <c r="O980" s="42">
        <f t="shared" si="279"/>
        <v>74594060642.802505</v>
      </c>
      <c r="P980" s="4">
        <f t="shared" si="280"/>
        <v>1106010.5704973196</v>
      </c>
      <c r="Q980" s="4">
        <f t="shared" si="281"/>
        <v>1223259382051.8064</v>
      </c>
      <c r="R980" s="43">
        <f t="shared" si="282"/>
        <v>1.1465359404867574E-3</v>
      </c>
      <c r="S980" s="4">
        <f t="shared" si="283"/>
        <v>0.90944497145479775</v>
      </c>
      <c r="T980" s="30">
        <f t="shared" si="284"/>
        <v>1481286.1666138952</v>
      </c>
      <c r="U980" s="31">
        <f t="shared" si="285"/>
        <v>1643155.8923914658</v>
      </c>
      <c r="V980" s="31">
        <f t="shared" si="286"/>
        <v>3953482.3943024524</v>
      </c>
      <c r="W980" s="42">
        <f t="shared" si="287"/>
        <v>3953832.4756058138</v>
      </c>
    </row>
    <row r="981" spans="2:23" x14ac:dyDescent="0.3">
      <c r="B981" s="2">
        <v>973</v>
      </c>
      <c r="C981" s="2">
        <v>6039</v>
      </c>
      <c r="D981" s="4">
        <v>4035682.53</v>
      </c>
      <c r="E981" s="4">
        <f t="shared" si="270"/>
        <v>24371486798.669998</v>
      </c>
      <c r="F981" s="2">
        <f t="shared" si="271"/>
        <v>36469521</v>
      </c>
      <c r="G981" s="2">
        <f t="shared" si="272"/>
        <v>16286733482947.199</v>
      </c>
      <c r="H981" s="42">
        <f t="shared" si="273"/>
        <v>1014.5190000000002</v>
      </c>
      <c r="I981" s="2">
        <f t="shared" si="274"/>
        <v>1029248.8013610005</v>
      </c>
      <c r="J981" s="4">
        <f t="shared" si="275"/>
        <v>2746580.6331900004</v>
      </c>
      <c r="K981" s="2">
        <f t="shared" si="276"/>
        <v>7543705174614.3838</v>
      </c>
      <c r="L981" s="2">
        <f t="shared" si="277"/>
        <v>2786458237.4032865</v>
      </c>
      <c r="N981" s="42">
        <f t="shared" si="278"/>
        <v>1546013.9673254434</v>
      </c>
      <c r="O981" s="42">
        <f t="shared" si="279"/>
        <v>66003811976.532608</v>
      </c>
      <c r="P981" s="4">
        <f t="shared" si="280"/>
        <v>2489668.5626745564</v>
      </c>
      <c r="Q981" s="4">
        <f t="shared" si="281"/>
        <v>6198449551969.9912</v>
      </c>
      <c r="R981" s="43">
        <f t="shared" si="282"/>
        <v>1.1296608681756427E-3</v>
      </c>
      <c r="S981" s="4">
        <f t="shared" si="283"/>
        <v>2.0471752162365249</v>
      </c>
      <c r="T981" s="30">
        <f t="shared" si="284"/>
        <v>1465676.9245495168</v>
      </c>
      <c r="U981" s="31">
        <f t="shared" si="285"/>
        <v>1626351.01010137</v>
      </c>
      <c r="V981" s="31">
        <f t="shared" si="286"/>
        <v>3937295.4911893555</v>
      </c>
      <c r="W981" s="42">
        <f t="shared" si="287"/>
        <v>3937605.2571453983</v>
      </c>
    </row>
    <row r="982" spans="2:23" x14ac:dyDescent="0.3">
      <c r="B982" s="2">
        <v>974</v>
      </c>
      <c r="C982" s="2">
        <v>1727</v>
      </c>
      <c r="D982" s="4">
        <v>81946.150000000009</v>
      </c>
      <c r="E982" s="4">
        <f t="shared" si="270"/>
        <v>141521001.05000001</v>
      </c>
      <c r="F982" s="2">
        <f t="shared" si="271"/>
        <v>2982529</v>
      </c>
      <c r="G982" s="2">
        <f t="shared" si="272"/>
        <v>6715171499.8225012</v>
      </c>
      <c r="H982" s="42">
        <f t="shared" si="273"/>
        <v>-3297.4809999999998</v>
      </c>
      <c r="I982" s="2">
        <f t="shared" si="274"/>
        <v>10873380.945360998</v>
      </c>
      <c r="J982" s="4">
        <f t="shared" si="275"/>
        <v>-1207155.7468099992</v>
      </c>
      <c r="K982" s="2">
        <f t="shared" si="276"/>
        <v>1457224997056.407</v>
      </c>
      <c r="L982" s="2">
        <f t="shared" si="277"/>
        <v>3980573139.1467829</v>
      </c>
      <c r="N982" s="42">
        <f t="shared" si="278"/>
        <v>454063.15313409228</v>
      </c>
      <c r="O982" s="42">
        <f t="shared" si="279"/>
        <v>697289703439.83691</v>
      </c>
      <c r="P982" s="4">
        <f t="shared" si="280"/>
        <v>-372117.00313409226</v>
      </c>
      <c r="Q982" s="4">
        <f t="shared" si="281"/>
        <v>138471064021.49802</v>
      </c>
      <c r="R982" s="43">
        <f t="shared" si="282"/>
        <v>2.3697873745548359E-3</v>
      </c>
      <c r="S982" s="4">
        <f t="shared" si="283"/>
        <v>-0.30617008623638248</v>
      </c>
      <c r="T982" s="30">
        <f t="shared" si="284"/>
        <v>337705.08840297314</v>
      </c>
      <c r="U982" s="31">
        <f t="shared" si="285"/>
        <v>570421.21786521142</v>
      </c>
      <c r="V982" s="31">
        <f t="shared" si="286"/>
        <v>2843862.7613830604</v>
      </c>
      <c r="W982" s="42">
        <f t="shared" si="287"/>
        <v>2847135.2490661526</v>
      </c>
    </row>
    <row r="983" spans="2:23" x14ac:dyDescent="0.3">
      <c r="B983" s="2">
        <v>975</v>
      </c>
      <c r="C983" s="2">
        <v>2236</v>
      </c>
      <c r="D983" s="4">
        <v>341168.88</v>
      </c>
      <c r="E983" s="4">
        <f t="shared" si="270"/>
        <v>762853615.68000007</v>
      </c>
      <c r="F983" s="2">
        <f t="shared" si="271"/>
        <v>4999696</v>
      </c>
      <c r="G983" s="2">
        <f t="shared" si="272"/>
        <v>116396204680.45441</v>
      </c>
      <c r="H983" s="42">
        <f t="shared" si="273"/>
        <v>-2788.4809999999998</v>
      </c>
      <c r="I983" s="2">
        <f t="shared" si="274"/>
        <v>7775626.2873609988</v>
      </c>
      <c r="J983" s="4">
        <f t="shared" si="275"/>
        <v>-947933.01680999913</v>
      </c>
      <c r="K983" s="2">
        <f t="shared" si="276"/>
        <v>898577004358.5061</v>
      </c>
      <c r="L983" s="2">
        <f t="shared" si="277"/>
        <v>2643293206.6473632</v>
      </c>
      <c r="N983" s="42">
        <f t="shared" si="278"/>
        <v>582959.94451243128</v>
      </c>
      <c r="O983" s="42">
        <f t="shared" si="279"/>
        <v>498636456794.62061</v>
      </c>
      <c r="P983" s="4">
        <f t="shared" si="280"/>
        <v>-241791.06451243127</v>
      </c>
      <c r="Q983" s="4">
        <f t="shared" si="281"/>
        <v>58462918878.054703</v>
      </c>
      <c r="R983" s="43">
        <f t="shared" si="282"/>
        <v>1.9795439680817856E-3</v>
      </c>
      <c r="S983" s="4">
        <f t="shared" si="283"/>
        <v>-0.19890173166499364</v>
      </c>
      <c r="T983" s="30">
        <f t="shared" si="284"/>
        <v>476613.15711155278</v>
      </c>
      <c r="U983" s="31">
        <f t="shared" si="285"/>
        <v>689306.73191330978</v>
      </c>
      <c r="V983" s="31">
        <f t="shared" si="286"/>
        <v>2973225.981510072</v>
      </c>
      <c r="W983" s="42">
        <f t="shared" si="287"/>
        <v>2975566.1587255392</v>
      </c>
    </row>
    <row r="984" spans="2:23" x14ac:dyDescent="0.3">
      <c r="B984" s="2">
        <v>976</v>
      </c>
      <c r="C984" s="2">
        <v>8663</v>
      </c>
      <c r="D984" s="4">
        <v>5641432.2300000004</v>
      </c>
      <c r="E984" s="4">
        <f t="shared" si="270"/>
        <v>48871727408.490005</v>
      </c>
      <c r="F984" s="2">
        <f t="shared" si="271"/>
        <v>75047569</v>
      </c>
      <c r="G984" s="2">
        <f t="shared" si="272"/>
        <v>31825757605682.777</v>
      </c>
      <c r="H984" s="42">
        <f t="shared" si="273"/>
        <v>3638.5190000000002</v>
      </c>
      <c r="I984" s="2">
        <f t="shared" si="274"/>
        <v>13238820.513361001</v>
      </c>
      <c r="J984" s="4">
        <f t="shared" si="275"/>
        <v>4352330.3331900015</v>
      </c>
      <c r="K984" s="2">
        <f t="shared" si="276"/>
        <v>18942779329205.789</v>
      </c>
      <c r="L984" s="2">
        <f t="shared" si="277"/>
        <v>15836036611.588152</v>
      </c>
      <c r="N984" s="42">
        <f t="shared" si="278"/>
        <v>2210503.5165921655</v>
      </c>
      <c r="O984" s="42">
        <f t="shared" si="279"/>
        <v>848980944937.19983</v>
      </c>
      <c r="P984" s="4">
        <f t="shared" si="280"/>
        <v>3430928.713407835</v>
      </c>
      <c r="Q984" s="4">
        <f t="shared" si="281"/>
        <v>11771271836486.342</v>
      </c>
      <c r="R984" s="43">
        <f t="shared" si="282"/>
        <v>2.667776497882776E-3</v>
      </c>
      <c r="S984" s="4">
        <f t="shared" si="283"/>
        <v>2.8233180670055047</v>
      </c>
      <c r="T984" s="30">
        <f t="shared" si="284"/>
        <v>2087046.2890427513</v>
      </c>
      <c r="U984" s="31">
        <f t="shared" si="285"/>
        <v>2333960.7441415796</v>
      </c>
      <c r="V984" s="31">
        <f t="shared" si="286"/>
        <v>4599946.8994285762</v>
      </c>
      <c r="W984" s="42">
        <f t="shared" si="287"/>
        <v>4603931.2978579551</v>
      </c>
    </row>
    <row r="985" spans="2:23" x14ac:dyDescent="0.3">
      <c r="B985" s="2">
        <v>977</v>
      </c>
      <c r="C985" s="2">
        <v>9139</v>
      </c>
      <c r="D985" s="4">
        <v>6107319.5300000003</v>
      </c>
      <c r="E985" s="4">
        <f t="shared" si="270"/>
        <v>55814793184.670006</v>
      </c>
      <c r="F985" s="2">
        <f t="shared" si="271"/>
        <v>83521321</v>
      </c>
      <c r="G985" s="2">
        <f t="shared" si="272"/>
        <v>37299351841519.422</v>
      </c>
      <c r="H985" s="42">
        <f t="shared" si="273"/>
        <v>4114.5190000000002</v>
      </c>
      <c r="I985" s="2">
        <f t="shared" si="274"/>
        <v>16929266.601361003</v>
      </c>
      <c r="J985" s="4">
        <f t="shared" si="275"/>
        <v>4818217.6331900014</v>
      </c>
      <c r="K985" s="2">
        <f t="shared" si="276"/>
        <v>23215221160783.059</v>
      </c>
      <c r="L985" s="2">
        <f t="shared" si="277"/>
        <v>19824647997.895294</v>
      </c>
      <c r="N985" s="42">
        <f t="shared" si="278"/>
        <v>2331043.5415353668</v>
      </c>
      <c r="O985" s="42">
        <f t="shared" si="279"/>
        <v>1085642391013.0043</v>
      </c>
      <c r="P985" s="4">
        <f t="shared" si="280"/>
        <v>3776275.9884646335</v>
      </c>
      <c r="Q985" s="4">
        <f t="shared" si="281"/>
        <v>14260260341054.545</v>
      </c>
      <c r="R985" s="43">
        <f t="shared" si="282"/>
        <v>3.1326849273050337E-3</v>
      </c>
      <c r="S985" s="4">
        <f t="shared" si="283"/>
        <v>3.1082295652004803</v>
      </c>
      <c r="T985" s="30">
        <f t="shared" si="284"/>
        <v>2197260.7796536819</v>
      </c>
      <c r="U985" s="31">
        <f t="shared" si="285"/>
        <v>2464826.3034170517</v>
      </c>
      <c r="V985" s="31">
        <f t="shared" si="286"/>
        <v>4719931.0523734558</v>
      </c>
      <c r="W985" s="42">
        <f t="shared" si="287"/>
        <v>4725026.1405693255</v>
      </c>
    </row>
    <row r="986" spans="2:23" x14ac:dyDescent="0.3">
      <c r="B986" s="2">
        <v>978</v>
      </c>
      <c r="C986" s="2">
        <v>3824</v>
      </c>
      <c r="D986" s="4">
        <v>35677.919999999998</v>
      </c>
      <c r="E986" s="4">
        <f t="shared" si="270"/>
        <v>136432366.07999998</v>
      </c>
      <c r="F986" s="2">
        <f t="shared" si="271"/>
        <v>14622976</v>
      </c>
      <c r="G986" s="2">
        <f t="shared" si="272"/>
        <v>1272913975.5263999</v>
      </c>
      <c r="H986" s="42">
        <f t="shared" si="273"/>
        <v>-1200.4809999999998</v>
      </c>
      <c r="I986" s="2">
        <f t="shared" si="274"/>
        <v>1441154.6313609995</v>
      </c>
      <c r="J986" s="4">
        <f t="shared" si="275"/>
        <v>-1253423.9768099992</v>
      </c>
      <c r="K986" s="2">
        <f t="shared" si="276"/>
        <v>1571071665642.1934</v>
      </c>
      <c r="L986" s="2">
        <f t="shared" si="277"/>
        <v>1504711669.1048443</v>
      </c>
      <c r="N986" s="42">
        <f t="shared" si="278"/>
        <v>985097.6747851274</v>
      </c>
      <c r="O986" s="42">
        <f t="shared" si="279"/>
        <v>92418567008.94751</v>
      </c>
      <c r="P986" s="4">
        <f t="shared" si="280"/>
        <v>-949419.75478512736</v>
      </c>
      <c r="Q986" s="4">
        <f t="shared" si="281"/>
        <v>901397870776.25134</v>
      </c>
      <c r="R986" s="43">
        <f t="shared" si="282"/>
        <v>1.1815512055302121E-3</v>
      </c>
      <c r="S986" s="4">
        <f t="shared" si="283"/>
        <v>-0.78069792409752692</v>
      </c>
      <c r="T986" s="30">
        <f t="shared" si="284"/>
        <v>902936.22905838361</v>
      </c>
      <c r="U986" s="31">
        <f t="shared" si="285"/>
        <v>1067259.1205118713</v>
      </c>
      <c r="V986" s="31">
        <f t="shared" si="286"/>
        <v>3376317.2095938795</v>
      </c>
      <c r="W986" s="42">
        <f t="shared" si="287"/>
        <v>3376750.9440247556</v>
      </c>
    </row>
    <row r="987" spans="2:23" x14ac:dyDescent="0.3">
      <c r="B987" s="2">
        <v>979</v>
      </c>
      <c r="C987" s="2">
        <v>9912</v>
      </c>
      <c r="D987" s="4">
        <v>2530335.36</v>
      </c>
      <c r="E987" s="4">
        <f t="shared" si="270"/>
        <v>25080684088.32</v>
      </c>
      <c r="F987" s="2">
        <f t="shared" si="271"/>
        <v>98247744</v>
      </c>
      <c r="G987" s="2">
        <f t="shared" si="272"/>
        <v>6402597034066.3291</v>
      </c>
      <c r="H987" s="42">
        <f t="shared" si="273"/>
        <v>4887.5190000000002</v>
      </c>
      <c r="I987" s="2">
        <f t="shared" si="274"/>
        <v>23887841.975361001</v>
      </c>
      <c r="J987" s="4">
        <f t="shared" si="275"/>
        <v>1241233.4631900007</v>
      </c>
      <c r="K987" s="2">
        <f t="shared" si="276"/>
        <v>1540660510142.6428</v>
      </c>
      <c r="L987" s="2">
        <f t="shared" si="277"/>
        <v>6066552134.7769299</v>
      </c>
      <c r="N987" s="42">
        <f t="shared" si="278"/>
        <v>2526794.4643948087</v>
      </c>
      <c r="O987" s="42">
        <f t="shared" si="279"/>
        <v>1531882891854.6785</v>
      </c>
      <c r="P987" s="4">
        <f t="shared" si="280"/>
        <v>3540.8956051911227</v>
      </c>
      <c r="Q987" s="4">
        <f t="shared" si="281"/>
        <v>12537941.686861807</v>
      </c>
      <c r="R987" s="43">
        <f t="shared" si="282"/>
        <v>4.0092999139490926E-3</v>
      </c>
      <c r="S987" s="4">
        <f t="shared" si="283"/>
        <v>2.915771720599424E-3</v>
      </c>
      <c r="T987" s="30">
        <f t="shared" si="284"/>
        <v>2375446.6787917712</v>
      </c>
      <c r="U987" s="31">
        <f t="shared" si="285"/>
        <v>2678142.2499978463</v>
      </c>
      <c r="V987" s="31">
        <f t="shared" si="286"/>
        <v>4914633.4905035514</v>
      </c>
      <c r="W987" s="42">
        <f t="shared" si="287"/>
        <v>4921822.8586539738</v>
      </c>
    </row>
    <row r="988" spans="2:23" x14ac:dyDescent="0.3">
      <c r="B988" s="2">
        <v>980</v>
      </c>
      <c r="C988" s="2">
        <v>6626</v>
      </c>
      <c r="D988" s="4">
        <v>2795443.14</v>
      </c>
      <c r="E988" s="4">
        <f t="shared" si="270"/>
        <v>18522606245.639999</v>
      </c>
      <c r="F988" s="2">
        <f t="shared" si="271"/>
        <v>43903876</v>
      </c>
      <c r="G988" s="2">
        <f t="shared" si="272"/>
        <v>7814502348973.0605</v>
      </c>
      <c r="H988" s="42">
        <f t="shared" si="273"/>
        <v>1601.5190000000002</v>
      </c>
      <c r="I988" s="2">
        <f t="shared" si="274"/>
        <v>2564863.107361001</v>
      </c>
      <c r="J988" s="4">
        <f t="shared" si="275"/>
        <v>1506341.243190001</v>
      </c>
      <c r="K988" s="2">
        <f t="shared" si="276"/>
        <v>2269063940935.1978</v>
      </c>
      <c r="L988" s="2">
        <f t="shared" si="277"/>
        <v>2412434121.4524074</v>
      </c>
      <c r="N988" s="42">
        <f t="shared" si="278"/>
        <v>1694663.1157322903</v>
      </c>
      <c r="O988" s="42">
        <f t="shared" si="279"/>
        <v>164479902293.73459</v>
      </c>
      <c r="P988" s="4">
        <f t="shared" si="280"/>
        <v>1100780.0242677098</v>
      </c>
      <c r="Q988" s="4">
        <f t="shared" si="281"/>
        <v>1211716661826.8198</v>
      </c>
      <c r="R988" s="43">
        <f t="shared" si="282"/>
        <v>1.3231117459766273E-3</v>
      </c>
      <c r="S988" s="4">
        <f t="shared" si="283"/>
        <v>0.90522403904599491</v>
      </c>
      <c r="T988" s="30">
        <f t="shared" si="284"/>
        <v>1607719.0267486915</v>
      </c>
      <c r="U988" s="31">
        <f t="shared" si="285"/>
        <v>1781607.2047158892</v>
      </c>
      <c r="V988" s="31">
        <f t="shared" si="286"/>
        <v>4085713.5318058841</v>
      </c>
      <c r="W988" s="42">
        <f t="shared" si="287"/>
        <v>4086485.4610811002</v>
      </c>
    </row>
    <row r="989" spans="2:23" x14ac:dyDescent="0.3">
      <c r="B989" s="2">
        <v>981</v>
      </c>
      <c r="C989" s="2">
        <v>220</v>
      </c>
      <c r="D989" s="4">
        <v>33893.199999999997</v>
      </c>
      <c r="E989" s="4">
        <f t="shared" si="270"/>
        <v>7456503.9999999991</v>
      </c>
      <c r="F989" s="2">
        <f t="shared" si="271"/>
        <v>48400</v>
      </c>
      <c r="G989" s="2">
        <f t="shared" si="272"/>
        <v>1148749006.2399998</v>
      </c>
      <c r="H989" s="42">
        <f t="shared" si="273"/>
        <v>-4804.4809999999998</v>
      </c>
      <c r="I989" s="2">
        <f t="shared" si="274"/>
        <v>23083037.679360997</v>
      </c>
      <c r="J989" s="4">
        <f t="shared" si="275"/>
        <v>-1255208.6968099992</v>
      </c>
      <c r="K989" s="2">
        <f t="shared" si="276"/>
        <v>1575548872547.4565</v>
      </c>
      <c r="L989" s="2">
        <f t="shared" si="277"/>
        <v>6030626334.8584013</v>
      </c>
      <c r="N989" s="42">
        <f t="shared" si="278"/>
        <v>72437.485929461895</v>
      </c>
      <c r="O989" s="42">
        <f t="shared" si="279"/>
        <v>1480272288703.2847</v>
      </c>
      <c r="P989" s="4">
        <f t="shared" si="280"/>
        <v>-38544.285929461897</v>
      </c>
      <c r="Q989" s="4">
        <f t="shared" si="281"/>
        <v>1485661977.8121145</v>
      </c>
      <c r="R989" s="43">
        <f t="shared" si="282"/>
        <v>3.9079137150117111E-3</v>
      </c>
      <c r="S989" s="4">
        <f t="shared" si="283"/>
        <v>-3.1737908067694297E-2</v>
      </c>
      <c r="T989" s="30">
        <f t="shared" si="284"/>
        <v>-76984.423486195999</v>
      </c>
      <c r="U989" s="31">
        <f t="shared" si="285"/>
        <v>221859.39534511979</v>
      </c>
      <c r="V989" s="31">
        <f t="shared" si="286"/>
        <v>2460397.799628472</v>
      </c>
      <c r="W989" s="42">
        <f t="shared" si="287"/>
        <v>2467344.9505539546</v>
      </c>
    </row>
    <row r="990" spans="2:23" x14ac:dyDescent="0.3">
      <c r="B990" s="2">
        <v>982</v>
      </c>
      <c r="C990" s="2">
        <v>8981</v>
      </c>
      <c r="D990" s="4">
        <v>426148.45</v>
      </c>
      <c r="E990" s="4">
        <f t="shared" si="270"/>
        <v>3827239229.4500003</v>
      </c>
      <c r="F990" s="2">
        <f t="shared" si="271"/>
        <v>80658361</v>
      </c>
      <c r="G990" s="2">
        <f t="shared" si="272"/>
        <v>181602501437.4025</v>
      </c>
      <c r="H990" s="42">
        <f t="shared" si="273"/>
        <v>3956.5190000000002</v>
      </c>
      <c r="I990" s="2">
        <f t="shared" si="274"/>
        <v>15654042.597361002</v>
      </c>
      <c r="J990" s="4">
        <f t="shared" si="275"/>
        <v>-862953.44680999918</v>
      </c>
      <c r="K990" s="2">
        <f t="shared" si="276"/>
        <v>744688651361.25806</v>
      </c>
      <c r="L990" s="2">
        <f t="shared" si="277"/>
        <v>-3414291708.4192514</v>
      </c>
      <c r="N990" s="42">
        <f t="shared" si="278"/>
        <v>2291032.3567853123</v>
      </c>
      <c r="O990" s="42">
        <f t="shared" si="279"/>
        <v>1003864646626.3427</v>
      </c>
      <c r="P990" s="4">
        <f t="shared" si="280"/>
        <v>-1864883.9067853123</v>
      </c>
      <c r="Q990" s="4">
        <f t="shared" si="281"/>
        <v>3477791985786.8496</v>
      </c>
      <c r="R990" s="43">
        <f t="shared" si="282"/>
        <v>2.9720370341441019E-3</v>
      </c>
      <c r="S990" s="4">
        <f t="shared" si="283"/>
        <v>-1.5348508183718217</v>
      </c>
      <c r="T990" s="30">
        <f t="shared" si="284"/>
        <v>2160725.0084859668</v>
      </c>
      <c r="U990" s="31">
        <f t="shared" si="285"/>
        <v>2421339.7050846578</v>
      </c>
      <c r="V990" s="31">
        <f t="shared" si="286"/>
        <v>4680111.9623644333</v>
      </c>
      <c r="W990" s="42">
        <f t="shared" si="287"/>
        <v>4684823.2545292024</v>
      </c>
    </row>
    <row r="991" spans="2:23" x14ac:dyDescent="0.3">
      <c r="B991" s="2">
        <v>983</v>
      </c>
      <c r="C991" s="2">
        <v>8226</v>
      </c>
      <c r="D991" s="4">
        <v>390323.7</v>
      </c>
      <c r="E991" s="4">
        <f t="shared" si="270"/>
        <v>3210802756.2000003</v>
      </c>
      <c r="F991" s="2">
        <f t="shared" si="271"/>
        <v>67667076</v>
      </c>
      <c r="G991" s="2">
        <f t="shared" si="272"/>
        <v>152352590781.69</v>
      </c>
      <c r="H991" s="42">
        <f t="shared" si="273"/>
        <v>3201.5190000000002</v>
      </c>
      <c r="I991" s="2">
        <f t="shared" si="274"/>
        <v>10249723.907361001</v>
      </c>
      <c r="J991" s="4">
        <f t="shared" si="275"/>
        <v>-898778.19680999918</v>
      </c>
      <c r="K991" s="2">
        <f t="shared" si="276"/>
        <v>807802247061.03357</v>
      </c>
      <c r="L991" s="2">
        <f t="shared" si="277"/>
        <v>-2877455473.872952</v>
      </c>
      <c r="N991" s="42">
        <f t="shared" si="278"/>
        <v>2099839.6701632184</v>
      </c>
      <c r="O991" s="42">
        <f t="shared" si="279"/>
        <v>657295737141.73596</v>
      </c>
      <c r="P991" s="4">
        <f t="shared" si="280"/>
        <v>-1709515.9701632184</v>
      </c>
      <c r="Q991" s="4">
        <f t="shared" si="281"/>
        <v>2922444852243.0898</v>
      </c>
      <c r="R991" s="43">
        <f t="shared" si="282"/>
        <v>2.2912214215180179E-3</v>
      </c>
      <c r="S991" s="4">
        <f t="shared" si="283"/>
        <v>-1.4064985989940781</v>
      </c>
      <c r="T991" s="30">
        <f t="shared" si="284"/>
        <v>1985426.6817607605</v>
      </c>
      <c r="U991" s="31">
        <f t="shared" si="285"/>
        <v>2214252.6585656763</v>
      </c>
      <c r="V991" s="31">
        <f t="shared" si="286"/>
        <v>4489733.1897367816</v>
      </c>
      <c r="W991" s="42">
        <f t="shared" si="287"/>
        <v>4492817.9795124438</v>
      </c>
    </row>
    <row r="992" spans="2:23" x14ac:dyDescent="0.3">
      <c r="B992" s="2">
        <v>984</v>
      </c>
      <c r="C992" s="2">
        <v>5304</v>
      </c>
      <c r="D992" s="4">
        <v>3454017.8400000003</v>
      </c>
      <c r="E992" s="4">
        <f t="shared" si="270"/>
        <v>18320110623.360001</v>
      </c>
      <c r="F992" s="2">
        <f t="shared" si="271"/>
        <v>28132416</v>
      </c>
      <c r="G992" s="2">
        <f t="shared" si="272"/>
        <v>11930239239038.268</v>
      </c>
      <c r="H992" s="42">
        <f t="shared" si="273"/>
        <v>279.51900000000023</v>
      </c>
      <c r="I992" s="2">
        <f t="shared" si="274"/>
        <v>78130.871361000129</v>
      </c>
      <c r="J992" s="4">
        <f t="shared" si="275"/>
        <v>2164915.943190001</v>
      </c>
      <c r="K992" s="2">
        <f t="shared" si="276"/>
        <v>4686861041078.251</v>
      </c>
      <c r="L992" s="2">
        <f t="shared" si="277"/>
        <v>605135139.52452636</v>
      </c>
      <c r="N992" s="42">
        <f t="shared" si="278"/>
        <v>1359885.9876337359</v>
      </c>
      <c r="O992" s="42">
        <f t="shared" si="279"/>
        <v>5010387513.7430115</v>
      </c>
      <c r="P992" s="4">
        <f t="shared" si="280"/>
        <v>2094131.8523662644</v>
      </c>
      <c r="Q992" s="4">
        <f t="shared" si="281"/>
        <v>4385388215094.9619</v>
      </c>
      <c r="R992" s="43">
        <f t="shared" si="282"/>
        <v>1.009842631440125E-3</v>
      </c>
      <c r="S992" s="4">
        <f t="shared" si="283"/>
        <v>1.7218347015967053</v>
      </c>
      <c r="T992" s="30">
        <f t="shared" si="284"/>
        <v>1283928.8397213593</v>
      </c>
      <c r="U992" s="31">
        <f t="shared" si="285"/>
        <v>1435843.1355461124</v>
      </c>
      <c r="V992" s="31">
        <f t="shared" si="286"/>
        <v>3751310.6422059662</v>
      </c>
      <c r="W992" s="42">
        <f t="shared" si="287"/>
        <v>3751334.1567186685</v>
      </c>
    </row>
    <row r="993" spans="2:23" x14ac:dyDescent="0.3">
      <c r="B993" s="2">
        <v>985</v>
      </c>
      <c r="C993" s="2">
        <v>4594</v>
      </c>
      <c r="D993" s="4">
        <v>700952.52</v>
      </c>
      <c r="E993" s="4">
        <f t="shared" si="270"/>
        <v>3220175876.8800001</v>
      </c>
      <c r="F993" s="2">
        <f t="shared" si="271"/>
        <v>21104836</v>
      </c>
      <c r="G993" s="2">
        <f t="shared" si="272"/>
        <v>491334435294.3504</v>
      </c>
      <c r="H993" s="42">
        <f t="shared" si="273"/>
        <v>-430.48099999999977</v>
      </c>
      <c r="I993" s="2">
        <f t="shared" si="274"/>
        <v>185313.89136099981</v>
      </c>
      <c r="J993" s="4">
        <f t="shared" si="275"/>
        <v>-588149.37680999911</v>
      </c>
      <c r="K993" s="2">
        <f t="shared" si="276"/>
        <v>345919689441.9903</v>
      </c>
      <c r="L993" s="2">
        <f t="shared" si="277"/>
        <v>253187131.87854511</v>
      </c>
      <c r="N993" s="42">
        <f t="shared" si="278"/>
        <v>1180088.8916050117</v>
      </c>
      <c r="O993" s="42">
        <f t="shared" si="279"/>
        <v>11883835303.822628</v>
      </c>
      <c r="P993" s="4">
        <f t="shared" si="280"/>
        <v>-479136.37160501163</v>
      </c>
      <c r="Q993" s="4">
        <f t="shared" si="281"/>
        <v>229571662594.8158</v>
      </c>
      <c r="R993" s="43">
        <f t="shared" si="282"/>
        <v>1.0233451426002161E-3</v>
      </c>
      <c r="S993" s="4">
        <f t="shared" si="283"/>
        <v>-0.39395762302362264</v>
      </c>
      <c r="T993" s="30">
        <f t="shared" si="284"/>
        <v>1103625.621949241</v>
      </c>
      <c r="U993" s="31">
        <f t="shared" si="285"/>
        <v>1256552.1612607823</v>
      </c>
      <c r="V993" s="31">
        <f t="shared" si="286"/>
        <v>3571497.4169742013</v>
      </c>
      <c r="W993" s="42">
        <f t="shared" si="287"/>
        <v>3571553.1896256083</v>
      </c>
    </row>
    <row r="994" spans="2:23" x14ac:dyDescent="0.3">
      <c r="B994" s="2">
        <v>986</v>
      </c>
      <c r="C994" s="2">
        <v>2509</v>
      </c>
      <c r="D994" s="4">
        <v>1096934.8</v>
      </c>
      <c r="E994" s="4">
        <f t="shared" si="270"/>
        <v>2752209413.2000003</v>
      </c>
      <c r="F994" s="2">
        <f t="shared" si="271"/>
        <v>6295081</v>
      </c>
      <c r="G994" s="2">
        <f t="shared" si="272"/>
        <v>1203265955451.04</v>
      </c>
      <c r="H994" s="42">
        <f t="shared" si="273"/>
        <v>-2515.4809999999998</v>
      </c>
      <c r="I994" s="2">
        <f t="shared" si="274"/>
        <v>6327644.6613609986</v>
      </c>
      <c r="J994" s="4">
        <f t="shared" si="275"/>
        <v>-192167.09680999909</v>
      </c>
      <c r="K994" s="2">
        <f t="shared" si="276"/>
        <v>36928193096.38356</v>
      </c>
      <c r="L994" s="2">
        <f t="shared" si="277"/>
        <v>483392680.85071325</v>
      </c>
      <c r="N994" s="42">
        <f t="shared" si="278"/>
        <v>652093.19411220844</v>
      </c>
      <c r="O994" s="42">
        <f t="shared" si="279"/>
        <v>405780087312.72229</v>
      </c>
      <c r="P994" s="4">
        <f t="shared" si="280"/>
        <v>444841.60588779161</v>
      </c>
      <c r="Q994" s="4">
        <f t="shared" si="281"/>
        <v>197884054328.82932</v>
      </c>
      <c r="R994" s="43">
        <f t="shared" si="282"/>
        <v>1.7971327236078771E-3</v>
      </c>
      <c r="S994" s="4">
        <f t="shared" si="283"/>
        <v>0.36590136676869595</v>
      </c>
      <c r="T994" s="30">
        <f t="shared" si="284"/>
        <v>550764.63317301765</v>
      </c>
      <c r="U994" s="31">
        <f t="shared" si="285"/>
        <v>753421.75505139923</v>
      </c>
      <c r="V994" s="31">
        <f t="shared" si="286"/>
        <v>3042577.2224112656</v>
      </c>
      <c r="W994" s="42">
        <f t="shared" si="287"/>
        <v>3044481.6103947107</v>
      </c>
    </row>
    <row r="995" spans="2:23" x14ac:dyDescent="0.3">
      <c r="B995" s="2">
        <v>987</v>
      </c>
      <c r="C995" s="2">
        <v>2489</v>
      </c>
      <c r="D995" s="4">
        <v>271997.92</v>
      </c>
      <c r="E995" s="4">
        <f t="shared" si="270"/>
        <v>677002822.88</v>
      </c>
      <c r="F995" s="2">
        <f t="shared" si="271"/>
        <v>6195121</v>
      </c>
      <c r="G995" s="2">
        <f t="shared" si="272"/>
        <v>73982868484.326385</v>
      </c>
      <c r="H995" s="42">
        <f t="shared" si="273"/>
        <v>-2535.4809999999998</v>
      </c>
      <c r="I995" s="2">
        <f t="shared" si="274"/>
        <v>6428663.9013609989</v>
      </c>
      <c r="J995" s="4">
        <f t="shared" si="275"/>
        <v>-1017103.9768099992</v>
      </c>
      <c r="K995" s="2">
        <f t="shared" si="276"/>
        <v>1034500499642.7155</v>
      </c>
      <c r="L995" s="2">
        <f t="shared" si="277"/>
        <v>2578847808.2261934</v>
      </c>
      <c r="N995" s="42">
        <f t="shared" si="278"/>
        <v>647028.48718182184</v>
      </c>
      <c r="O995" s="42">
        <f t="shared" si="279"/>
        <v>412258263351.55316</v>
      </c>
      <c r="P995" s="4">
        <f t="shared" si="280"/>
        <v>-375030.56718182185</v>
      </c>
      <c r="Q995" s="4">
        <f t="shared" si="281"/>
        <v>140647926320.71899</v>
      </c>
      <c r="R995" s="43">
        <f t="shared" si="282"/>
        <v>1.8098587450941527E-3</v>
      </c>
      <c r="S995" s="4">
        <f t="shared" si="283"/>
        <v>-0.30848074918130353</v>
      </c>
      <c r="T995" s="30">
        <f t="shared" si="284"/>
        <v>545341.79057860177</v>
      </c>
      <c r="U995" s="31">
        <f t="shared" si="285"/>
        <v>748715.18378504191</v>
      </c>
      <c r="V995" s="31">
        <f t="shared" si="286"/>
        <v>3037497.3078420744</v>
      </c>
      <c r="W995" s="42">
        <f t="shared" si="287"/>
        <v>3039432.0989009584</v>
      </c>
    </row>
    <row r="996" spans="2:23" x14ac:dyDescent="0.3">
      <c r="B996" s="2">
        <v>988</v>
      </c>
      <c r="C996" s="2">
        <v>10</v>
      </c>
      <c r="D996" s="4">
        <v>4218.8999999999996</v>
      </c>
      <c r="E996" s="4">
        <f t="shared" si="270"/>
        <v>42189</v>
      </c>
      <c r="F996" s="2">
        <f t="shared" si="271"/>
        <v>100</v>
      </c>
      <c r="G996" s="2">
        <f t="shared" si="272"/>
        <v>17799117.209999997</v>
      </c>
      <c r="H996" s="42">
        <f t="shared" si="273"/>
        <v>-5014.4809999999998</v>
      </c>
      <c r="I996" s="2">
        <f t="shared" si="274"/>
        <v>25145019.699360996</v>
      </c>
      <c r="J996" s="4">
        <f t="shared" si="275"/>
        <v>-1284882.9968099992</v>
      </c>
      <c r="K996" s="2">
        <f t="shared" si="276"/>
        <v>1650924315491.4446</v>
      </c>
      <c r="L996" s="2">
        <f t="shared" si="277"/>
        <v>6443021374.7268019</v>
      </c>
      <c r="N996" s="42">
        <f t="shared" si="278"/>
        <v>19258.063160402584</v>
      </c>
      <c r="O996" s="42">
        <f t="shared" si="279"/>
        <v>1612503361857.9045</v>
      </c>
      <c r="P996" s="4">
        <f t="shared" si="280"/>
        <v>-15039.163160402584</v>
      </c>
      <c r="Q996" s="4">
        <f t="shared" si="281"/>
        <v>226176428.56521025</v>
      </c>
      <c r="R996" s="43">
        <f t="shared" si="282"/>
        <v>4.1676744050627764E-3</v>
      </c>
      <c r="S996" s="4">
        <f t="shared" si="283"/>
        <v>-1.2385073820187435E-2</v>
      </c>
      <c r="T996" s="30">
        <f t="shared" si="284"/>
        <v>-135050.02488924941</v>
      </c>
      <c r="U996" s="31">
        <f t="shared" si="285"/>
        <v>173566.15121005458</v>
      </c>
      <c r="V996" s="31">
        <f t="shared" si="286"/>
        <v>2406907.6146602356</v>
      </c>
      <c r="W996" s="42">
        <f t="shared" si="287"/>
        <v>2414475.3483222798</v>
      </c>
    </row>
    <row r="997" spans="2:23" x14ac:dyDescent="0.3">
      <c r="B997" s="2">
        <v>989</v>
      </c>
      <c r="C997" s="2">
        <v>7575</v>
      </c>
      <c r="D997" s="4">
        <v>1167004.5</v>
      </c>
      <c r="E997" s="4">
        <f t="shared" si="270"/>
        <v>8840059087.5</v>
      </c>
      <c r="F997" s="2">
        <f t="shared" si="271"/>
        <v>57380625</v>
      </c>
      <c r="G997" s="2">
        <f t="shared" si="272"/>
        <v>1361899503020.25</v>
      </c>
      <c r="H997" s="42">
        <f t="shared" si="273"/>
        <v>2550.5190000000002</v>
      </c>
      <c r="I997" s="2">
        <f t="shared" si="274"/>
        <v>6505147.1693610009</v>
      </c>
      <c r="J997" s="4">
        <f t="shared" si="275"/>
        <v>-122097.39680999913</v>
      </c>
      <c r="K997" s="2">
        <f t="shared" si="276"/>
        <v>14907774307.778387</v>
      </c>
      <c r="L997" s="2">
        <f t="shared" si="277"/>
        <v>-311411730.41444218</v>
      </c>
      <c r="N997" s="42">
        <f t="shared" si="278"/>
        <v>1934983.4595791344</v>
      </c>
      <c r="O997" s="42">
        <f t="shared" si="279"/>
        <v>417162993125.10034</v>
      </c>
      <c r="P997" s="4">
        <f t="shared" si="280"/>
        <v>-767978.95957913436</v>
      </c>
      <c r="Q997" s="4">
        <f t="shared" si="281"/>
        <v>589791682356.24963</v>
      </c>
      <c r="R997" s="43">
        <f t="shared" si="282"/>
        <v>1.8194938176992193E-3</v>
      </c>
      <c r="S997" s="4">
        <f t="shared" si="283"/>
        <v>-0.63170282350869211</v>
      </c>
      <c r="T997" s="30">
        <f t="shared" si="284"/>
        <v>1833026.4495629773</v>
      </c>
      <c r="U997" s="31">
        <f t="shared" si="285"/>
        <v>2036940.4695952914</v>
      </c>
      <c r="V997" s="31">
        <f t="shared" si="286"/>
        <v>4325440.7662306167</v>
      </c>
      <c r="W997" s="42">
        <f t="shared" si="287"/>
        <v>4327398.5759400316</v>
      </c>
    </row>
    <row r="998" spans="2:23" x14ac:dyDescent="0.3">
      <c r="B998" s="2">
        <v>990</v>
      </c>
      <c r="C998" s="2">
        <v>9721</v>
      </c>
      <c r="D998" s="4">
        <v>4250021.2</v>
      </c>
      <c r="E998" s="4">
        <f t="shared" si="270"/>
        <v>41314456085.200005</v>
      </c>
      <c r="F998" s="2">
        <f t="shared" si="271"/>
        <v>94497841</v>
      </c>
      <c r="G998" s="2">
        <f t="shared" si="272"/>
        <v>18062680200449.441</v>
      </c>
      <c r="H998" s="42">
        <f t="shared" si="273"/>
        <v>4696.5190000000002</v>
      </c>
      <c r="I998" s="2">
        <f t="shared" si="274"/>
        <v>22057290.717361003</v>
      </c>
      <c r="J998" s="4">
        <f t="shared" si="275"/>
        <v>2960919.3031900013</v>
      </c>
      <c r="K998" s="2">
        <f t="shared" si="276"/>
        <v>8767043120003.1631</v>
      </c>
      <c r="L998" s="2">
        <f t="shared" si="277"/>
        <v>13906013764.898602</v>
      </c>
      <c r="N998" s="42">
        <f t="shared" si="278"/>
        <v>2478426.5132096168</v>
      </c>
      <c r="O998" s="42">
        <f t="shared" si="279"/>
        <v>1414493043174.0977</v>
      </c>
      <c r="P998" s="4">
        <f t="shared" si="280"/>
        <v>1771594.6867903834</v>
      </c>
      <c r="Q998" s="4">
        <f t="shared" si="281"/>
        <v>3138547734263.9165</v>
      </c>
      <c r="R998" s="43">
        <f t="shared" si="282"/>
        <v>3.7786939953039214E-3</v>
      </c>
      <c r="S998" s="4">
        <f t="shared" si="283"/>
        <v>1.4586614137329825</v>
      </c>
      <c r="T998" s="30">
        <f t="shared" si="284"/>
        <v>2331495.7750294548</v>
      </c>
      <c r="U998" s="31">
        <f t="shared" si="285"/>
        <v>2625357.2513897787</v>
      </c>
      <c r="V998" s="31">
        <f t="shared" si="286"/>
        <v>4866541.402613543</v>
      </c>
      <c r="W998" s="42">
        <f t="shared" si="287"/>
        <v>4873179.8405740159</v>
      </c>
    </row>
    <row r="999" spans="2:23" x14ac:dyDescent="0.3">
      <c r="B999" s="2">
        <v>991</v>
      </c>
      <c r="C999" s="2">
        <v>8015</v>
      </c>
      <c r="D999" s="4">
        <v>1222928.7000000002</v>
      </c>
      <c r="E999" s="4">
        <f t="shared" si="270"/>
        <v>9801773530.5000019</v>
      </c>
      <c r="F999" s="2">
        <f t="shared" si="271"/>
        <v>64240225</v>
      </c>
      <c r="G999" s="2">
        <f t="shared" si="272"/>
        <v>1495554605283.6904</v>
      </c>
      <c r="H999" s="42">
        <f t="shared" si="273"/>
        <v>2990.5190000000002</v>
      </c>
      <c r="I999" s="2">
        <f t="shared" si="274"/>
        <v>8943203.8893610016</v>
      </c>
      <c r="J999" s="4">
        <f t="shared" si="275"/>
        <v>-66173.196809998946</v>
      </c>
      <c r="K999" s="2">
        <f t="shared" si="276"/>
        <v>4378891976.0548544</v>
      </c>
      <c r="L999" s="2">
        <f t="shared" si="277"/>
        <v>-197892202.35104126</v>
      </c>
      <c r="N999" s="42">
        <f t="shared" si="278"/>
        <v>2046407.0120476396</v>
      </c>
      <c r="O999" s="42">
        <f t="shared" si="279"/>
        <v>573511037565.09583</v>
      </c>
      <c r="P999" s="4">
        <f t="shared" si="280"/>
        <v>-823478.3120476394</v>
      </c>
      <c r="Q999" s="4">
        <f t="shared" si="281"/>
        <v>678116530412.82935</v>
      </c>
      <c r="R999" s="43">
        <f t="shared" si="282"/>
        <v>2.1266309749722184E-3</v>
      </c>
      <c r="S999" s="4">
        <f t="shared" si="283"/>
        <v>-0.67745817487150206</v>
      </c>
      <c r="T999" s="30">
        <f t="shared" si="284"/>
        <v>1936180.0428113369</v>
      </c>
      <c r="U999" s="31">
        <f t="shared" si="285"/>
        <v>2156633.9812839422</v>
      </c>
      <c r="V999" s="31">
        <f t="shared" si="286"/>
        <v>4436497.257638352</v>
      </c>
      <c r="W999" s="42">
        <f t="shared" si="287"/>
        <v>4439188.8328260649</v>
      </c>
    </row>
    <row r="1000" spans="2:23" x14ac:dyDescent="0.3">
      <c r="B1000" s="2">
        <v>992</v>
      </c>
      <c r="C1000" s="2">
        <v>6056</v>
      </c>
      <c r="D1000" s="4">
        <v>287357.2</v>
      </c>
      <c r="E1000" s="4">
        <f t="shared" si="270"/>
        <v>1740235203.2</v>
      </c>
      <c r="F1000" s="2">
        <f t="shared" si="271"/>
        <v>36675136</v>
      </c>
      <c r="G1000" s="2">
        <f t="shared" si="272"/>
        <v>82574160391.840012</v>
      </c>
      <c r="H1000" s="42">
        <f t="shared" si="273"/>
        <v>1031.5190000000002</v>
      </c>
      <c r="I1000" s="2">
        <f t="shared" si="274"/>
        <v>1064031.4473610006</v>
      </c>
      <c r="J1000" s="4">
        <f t="shared" si="275"/>
        <v>-1001744.6968099992</v>
      </c>
      <c r="K1000" s="2">
        <f t="shared" si="276"/>
        <v>1003492437586.9572</v>
      </c>
      <c r="L1000" s="2">
        <f t="shared" si="277"/>
        <v>-1033318687.9087538</v>
      </c>
      <c r="N1000" s="42">
        <f t="shared" si="278"/>
        <v>1550318.9682162721</v>
      </c>
      <c r="O1000" s="42">
        <f t="shared" si="279"/>
        <v>68234358394.069893</v>
      </c>
      <c r="P1000" s="4">
        <f t="shared" si="280"/>
        <v>-1262961.7682162721</v>
      </c>
      <c r="Q1000" s="4">
        <f t="shared" si="281"/>
        <v>1595072427975.9727</v>
      </c>
      <c r="R1000" s="43">
        <f t="shared" si="282"/>
        <v>1.1340426542625853E-3</v>
      </c>
      <c r="S1000" s="4">
        <f t="shared" si="283"/>
        <v>-1.0384955414132797</v>
      </c>
      <c r="T1000" s="30">
        <f t="shared" si="284"/>
        <v>1469826.2685309895</v>
      </c>
      <c r="U1000" s="31">
        <f t="shared" si="285"/>
        <v>1630811.6679015546</v>
      </c>
      <c r="V1000" s="31">
        <f t="shared" si="286"/>
        <v>3941595.2575881775</v>
      </c>
      <c r="W1000" s="42">
        <f t="shared" si="287"/>
        <v>3941915.4918387914</v>
      </c>
    </row>
    <row r="1001" spans="2:23" x14ac:dyDescent="0.3">
      <c r="B1001" s="2">
        <v>993</v>
      </c>
      <c r="C1001" s="2">
        <v>4474</v>
      </c>
      <c r="D1001" s="4">
        <v>41742.42</v>
      </c>
      <c r="E1001" s="4">
        <f t="shared" si="270"/>
        <v>186755587.07999998</v>
      </c>
      <c r="F1001" s="2">
        <f t="shared" si="271"/>
        <v>20016676</v>
      </c>
      <c r="G1001" s="2">
        <f t="shared" si="272"/>
        <v>1742429627.4563999</v>
      </c>
      <c r="H1001" s="42">
        <f t="shared" si="273"/>
        <v>-550.48099999999977</v>
      </c>
      <c r="I1001" s="2">
        <f t="shared" si="274"/>
        <v>303029.33136099973</v>
      </c>
      <c r="J1001" s="4">
        <f t="shared" si="275"/>
        <v>-1247359.4768099992</v>
      </c>
      <c r="K1001" s="2">
        <f t="shared" si="276"/>
        <v>1555905664387.7148</v>
      </c>
      <c r="L1001" s="2">
        <f t="shared" si="277"/>
        <v>686647692.15384483</v>
      </c>
      <c r="N1001" s="42">
        <f t="shared" si="278"/>
        <v>1149700.650022692</v>
      </c>
      <c r="O1001" s="42">
        <f t="shared" si="279"/>
        <v>19432707605.855694</v>
      </c>
      <c r="P1001" s="4">
        <f t="shared" si="280"/>
        <v>-1107958.2300226921</v>
      </c>
      <c r="Q1001" s="4">
        <f t="shared" si="281"/>
        <v>1227571439475.0168</v>
      </c>
      <c r="R1001" s="43">
        <f t="shared" si="282"/>
        <v>1.0381744881655399E-3</v>
      </c>
      <c r="S1001" s="4">
        <f t="shared" si="283"/>
        <v>-0.91099706962038751</v>
      </c>
      <c r="T1001" s="30">
        <f t="shared" si="284"/>
        <v>1072685.356495823</v>
      </c>
      <c r="U1001" s="31">
        <f t="shared" si="285"/>
        <v>1226715.9435495611</v>
      </c>
      <c r="V1001" s="31">
        <f t="shared" si="286"/>
        <v>3541091.4611152378</v>
      </c>
      <c r="W1001" s="42">
        <f t="shared" si="287"/>
        <v>3541182.6617755974</v>
      </c>
    </row>
    <row r="1002" spans="2:23" x14ac:dyDescent="0.3">
      <c r="B1002" s="2">
        <v>994</v>
      </c>
      <c r="C1002" s="2">
        <v>5930</v>
      </c>
      <c r="D1002" s="4">
        <v>2592596</v>
      </c>
      <c r="E1002" s="4">
        <f t="shared" si="270"/>
        <v>15374094280</v>
      </c>
      <c r="F1002" s="2">
        <f t="shared" si="271"/>
        <v>35164900</v>
      </c>
      <c r="G1002" s="2">
        <f t="shared" si="272"/>
        <v>6721554019216</v>
      </c>
      <c r="H1002" s="42">
        <f t="shared" si="273"/>
        <v>905.51900000000023</v>
      </c>
      <c r="I1002" s="2">
        <f t="shared" si="274"/>
        <v>819964.65936100041</v>
      </c>
      <c r="J1002" s="4">
        <f t="shared" si="275"/>
        <v>1303494.1031900009</v>
      </c>
      <c r="K1002" s="2">
        <f t="shared" si="276"/>
        <v>1699096877051.1047</v>
      </c>
      <c r="L1002" s="2">
        <f t="shared" si="277"/>
        <v>1180338676.8265066</v>
      </c>
      <c r="N1002" s="42">
        <f t="shared" si="278"/>
        <v>1518411.3145548366</v>
      </c>
      <c r="O1002" s="42">
        <f t="shared" si="279"/>
        <v>52582809066.476379</v>
      </c>
      <c r="P1002" s="4">
        <f t="shared" si="280"/>
        <v>1074184.6854451634</v>
      </c>
      <c r="Q1002" s="4">
        <f t="shared" si="281"/>
        <v>1153872738444.9246</v>
      </c>
      <c r="R1002" s="43">
        <f t="shared" si="282"/>
        <v>1.1032960441299581E-3</v>
      </c>
      <c r="S1002" s="4">
        <f t="shared" si="283"/>
        <v>0.88325622042812502</v>
      </c>
      <c r="T1002" s="30">
        <f t="shared" si="284"/>
        <v>1439017.2878088308</v>
      </c>
      <c r="U1002" s="31">
        <f t="shared" si="285"/>
        <v>1597805.3413008424</v>
      </c>
      <c r="V1002" s="31">
        <f t="shared" si="286"/>
        <v>3909724.3336579297</v>
      </c>
      <c r="W1002" s="42">
        <f t="shared" si="287"/>
        <v>3909971.1128002494</v>
      </c>
    </row>
    <row r="1003" spans="2:23" x14ac:dyDescent="0.3">
      <c r="B1003" s="2">
        <v>995</v>
      </c>
      <c r="C1003" s="2">
        <v>115</v>
      </c>
      <c r="D1003" s="4">
        <v>1072.95</v>
      </c>
      <c r="E1003" s="4">
        <f t="shared" si="270"/>
        <v>123389.25</v>
      </c>
      <c r="F1003" s="2">
        <f t="shared" si="271"/>
        <v>13225</v>
      </c>
      <c r="G1003" s="2">
        <f t="shared" si="272"/>
        <v>1151221.7025000001</v>
      </c>
      <c r="H1003" s="42">
        <f t="shared" si="273"/>
        <v>-4909.4809999999998</v>
      </c>
      <c r="I1003" s="2">
        <f t="shared" si="274"/>
        <v>24103003.689360999</v>
      </c>
      <c r="J1003" s="4">
        <f t="shared" si="275"/>
        <v>-1288028.9468099992</v>
      </c>
      <c r="K1003" s="2">
        <f t="shared" si="276"/>
        <v>1659018567820.4756</v>
      </c>
      <c r="L1003" s="2">
        <f t="shared" si="277"/>
        <v>6323553641.8137016</v>
      </c>
      <c r="N1003" s="42">
        <f t="shared" si="278"/>
        <v>45847.774544932239</v>
      </c>
      <c r="O1003" s="42">
        <f t="shared" si="279"/>
        <v>1545680812529.082</v>
      </c>
      <c r="P1003" s="4">
        <f t="shared" si="280"/>
        <v>-44774.824544932242</v>
      </c>
      <c r="Q1003" s="4">
        <f t="shared" si="281"/>
        <v>2004784913.0294669</v>
      </c>
      <c r="R1003" s="43">
        <f t="shared" si="282"/>
        <v>4.0364051722680807E-3</v>
      </c>
      <c r="S1003" s="4">
        <f t="shared" si="283"/>
        <v>-3.687059949149591E-2</v>
      </c>
      <c r="T1003" s="30">
        <f t="shared" si="284"/>
        <v>-106010.7499299453</v>
      </c>
      <c r="U1003" s="31">
        <f t="shared" si="285"/>
        <v>197706.29901980978</v>
      </c>
      <c r="V1003" s="31">
        <f t="shared" si="286"/>
        <v>2433654.3737818152</v>
      </c>
      <c r="W1003" s="42">
        <f t="shared" si="287"/>
        <v>2440908.4978996413</v>
      </c>
    </row>
    <row r="1004" spans="2:23" x14ac:dyDescent="0.3">
      <c r="B1004" s="2">
        <v>996</v>
      </c>
      <c r="C1004" s="2">
        <v>8755</v>
      </c>
      <c r="D1004" s="4">
        <v>415424.75</v>
      </c>
      <c r="E1004" s="4">
        <f t="shared" si="270"/>
        <v>3637043686.25</v>
      </c>
      <c r="F1004" s="2">
        <f t="shared" si="271"/>
        <v>76650025</v>
      </c>
      <c r="G1004" s="2">
        <f t="shared" si="272"/>
        <v>172577722912.5625</v>
      </c>
      <c r="H1004" s="42">
        <f t="shared" si="273"/>
        <v>3730.5190000000002</v>
      </c>
      <c r="I1004" s="2">
        <f t="shared" si="274"/>
        <v>13916772.009361003</v>
      </c>
      <c r="J1004" s="4">
        <f t="shared" si="275"/>
        <v>-873677.14680999913</v>
      </c>
      <c r="K1004" s="2">
        <f t="shared" si="276"/>
        <v>763311756858.06079</v>
      </c>
      <c r="L1004" s="2">
        <f t="shared" si="277"/>
        <v>-3259269196.0404916</v>
      </c>
      <c r="N1004" s="42">
        <f t="shared" si="278"/>
        <v>2233801.1684719441</v>
      </c>
      <c r="O1004" s="42">
        <f t="shared" si="279"/>
        <v>892456713878.60925</v>
      </c>
      <c r="P1004" s="4">
        <f t="shared" si="280"/>
        <v>-1818376.4184719441</v>
      </c>
      <c r="Q1004" s="4">
        <f t="shared" si="281"/>
        <v>3306492799254.8545</v>
      </c>
      <c r="R1004" s="43">
        <f t="shared" si="282"/>
        <v>2.7531822612279445E-3</v>
      </c>
      <c r="S1004" s="4">
        <f t="shared" si="283"/>
        <v>-1.4964096472679267</v>
      </c>
      <c r="T1004" s="30">
        <f t="shared" si="284"/>
        <v>2108383.3390917317</v>
      </c>
      <c r="U1004" s="31">
        <f t="shared" si="285"/>
        <v>2359218.9978521564</v>
      </c>
      <c r="V1004" s="31">
        <f t="shared" si="286"/>
        <v>4623142.4448258374</v>
      </c>
      <c r="W1004" s="42">
        <f t="shared" si="287"/>
        <v>4627330.8818925098</v>
      </c>
    </row>
    <row r="1005" spans="2:23" x14ac:dyDescent="0.3">
      <c r="B1005" s="2">
        <v>997</v>
      </c>
      <c r="C1005" s="2">
        <v>604</v>
      </c>
      <c r="D1005" s="4">
        <v>49364.920000000006</v>
      </c>
      <c r="E1005" s="4">
        <f t="shared" si="270"/>
        <v>29816411.680000003</v>
      </c>
      <c r="F1005" s="2">
        <f t="shared" si="271"/>
        <v>364816</v>
      </c>
      <c r="G1005" s="2">
        <f t="shared" si="272"/>
        <v>2436895326.6064005</v>
      </c>
      <c r="H1005" s="42">
        <f t="shared" si="273"/>
        <v>-4420.4809999999998</v>
      </c>
      <c r="I1005" s="2">
        <f t="shared" si="274"/>
        <v>19540652.271360997</v>
      </c>
      <c r="J1005" s="4">
        <f t="shared" si="275"/>
        <v>-1239736.9768099992</v>
      </c>
      <c r="K1005" s="2">
        <f t="shared" si="276"/>
        <v>1536947771669.9966</v>
      </c>
      <c r="L1005" s="2">
        <f t="shared" si="277"/>
        <v>5480233750.986042</v>
      </c>
      <c r="N1005" s="42">
        <f t="shared" si="278"/>
        <v>169679.85899288463</v>
      </c>
      <c r="O1005" s="42">
        <f t="shared" si="279"/>
        <v>1253105698750.6213</v>
      </c>
      <c r="P1005" s="4">
        <f t="shared" si="280"/>
        <v>-120314.93899288462</v>
      </c>
      <c r="Q1005" s="4">
        <f t="shared" si="281"/>
        <v>14475684544.861547</v>
      </c>
      <c r="R1005" s="43">
        <f t="shared" si="282"/>
        <v>3.4616574096299098E-3</v>
      </c>
      <c r="S1005" s="4">
        <f t="shared" si="283"/>
        <v>-9.9046831474248739E-2</v>
      </c>
      <c r="T1005" s="30">
        <f t="shared" si="284"/>
        <v>29047.960018339421</v>
      </c>
      <c r="U1005" s="31">
        <f t="shared" si="285"/>
        <v>310311.75796742982</v>
      </c>
      <c r="V1005" s="31">
        <f t="shared" si="286"/>
        <v>2558173.9527276186</v>
      </c>
      <c r="W1005" s="42">
        <f t="shared" si="287"/>
        <v>2564054.9733201871</v>
      </c>
    </row>
    <row r="1006" spans="2:23" x14ac:dyDescent="0.3">
      <c r="B1006" s="2">
        <v>998</v>
      </c>
      <c r="C1006" s="2">
        <v>6447</v>
      </c>
      <c r="D1006" s="4">
        <v>60150.51</v>
      </c>
      <c r="E1006" s="4">
        <f t="shared" si="270"/>
        <v>387790337.97000003</v>
      </c>
      <c r="F1006" s="2">
        <f t="shared" si="271"/>
        <v>41563809</v>
      </c>
      <c r="G1006" s="2">
        <f t="shared" si="272"/>
        <v>3618083853.2601004</v>
      </c>
      <c r="H1006" s="42">
        <f t="shared" si="273"/>
        <v>1422.5190000000002</v>
      </c>
      <c r="I1006" s="2">
        <f t="shared" si="274"/>
        <v>2023560.3053610006</v>
      </c>
      <c r="J1006" s="4">
        <f t="shared" si="275"/>
        <v>-1228951.3868099991</v>
      </c>
      <c r="K1006" s="2">
        <f t="shared" si="276"/>
        <v>1510321511142.22</v>
      </c>
      <c r="L1006" s="2">
        <f t="shared" si="277"/>
        <v>-1748206697.8135734</v>
      </c>
      <c r="N1006" s="42">
        <f t="shared" si="278"/>
        <v>1649333.9887053301</v>
      </c>
      <c r="O1006" s="42">
        <f t="shared" si="279"/>
        <v>129767160031.28615</v>
      </c>
      <c r="P1006" s="4">
        <f t="shared" si="280"/>
        <v>-1589183.4787053301</v>
      </c>
      <c r="Q1006" s="4">
        <f t="shared" si="281"/>
        <v>2525504128989.9741</v>
      </c>
      <c r="R1006" s="43">
        <f t="shared" si="282"/>
        <v>1.2549204678712561E-3</v>
      </c>
      <c r="S1006" s="4">
        <f t="shared" si="283"/>
        <v>-1.3068169337498081</v>
      </c>
      <c r="T1006" s="30">
        <f t="shared" si="284"/>
        <v>1564660.0230586182</v>
      </c>
      <c r="U1006" s="31">
        <f t="shared" si="285"/>
        <v>1734007.9543520419</v>
      </c>
      <c r="V1006" s="31">
        <f t="shared" si="286"/>
        <v>4040465.8726374051</v>
      </c>
      <c r="W1006" s="42">
        <f t="shared" si="287"/>
        <v>4041074.8897142657</v>
      </c>
    </row>
    <row r="1007" spans="2:23" x14ac:dyDescent="0.3">
      <c r="B1007" s="2">
        <v>999</v>
      </c>
      <c r="C1007" s="2">
        <v>4103</v>
      </c>
      <c r="D1007" s="4">
        <v>632108.18000000005</v>
      </c>
      <c r="E1007" s="4">
        <f t="shared" si="270"/>
        <v>2593539862.5400004</v>
      </c>
      <c r="F1007" s="2">
        <f t="shared" si="271"/>
        <v>16834609</v>
      </c>
      <c r="G1007" s="2">
        <f t="shared" si="272"/>
        <v>399560751222.91248</v>
      </c>
      <c r="H1007" s="42">
        <f t="shared" si="273"/>
        <v>-921.48099999999977</v>
      </c>
      <c r="I1007" s="2">
        <f t="shared" si="274"/>
        <v>849127.23336099961</v>
      </c>
      <c r="J1007" s="4">
        <f t="shared" si="275"/>
        <v>-656993.71680999908</v>
      </c>
      <c r="K1007" s="2">
        <f t="shared" si="276"/>
        <v>431640743927.81726</v>
      </c>
      <c r="L1007" s="2">
        <f t="shared" si="277"/>
        <v>605407227.15979457</v>
      </c>
      <c r="N1007" s="42">
        <f t="shared" si="278"/>
        <v>1055750.3364640204</v>
      </c>
      <c r="O1007" s="42">
        <f t="shared" si="279"/>
        <v>54452950715.902946</v>
      </c>
      <c r="P1007" s="4">
        <f t="shared" si="280"/>
        <v>-423642.15646402037</v>
      </c>
      <c r="Q1007" s="4">
        <f t="shared" si="281"/>
        <v>179472676733.4855</v>
      </c>
      <c r="R1007" s="43">
        <f t="shared" si="282"/>
        <v>1.1069698348189307E-3</v>
      </c>
      <c r="S1007" s="4">
        <f t="shared" si="283"/>
        <v>-0.34834350470778547</v>
      </c>
      <c r="T1007" s="30">
        <f t="shared" si="284"/>
        <v>976224.23517995642</v>
      </c>
      <c r="U1007" s="31">
        <f t="shared" si="285"/>
        <v>1135276.4377480845</v>
      </c>
      <c r="V1007" s="31">
        <f t="shared" si="286"/>
        <v>3447058.9669066598</v>
      </c>
      <c r="W1007" s="42">
        <f t="shared" si="287"/>
        <v>3447314.5229089791</v>
      </c>
    </row>
    <row r="1008" spans="2:23" ht="15" thickBot="1" x14ac:dyDescent="0.35">
      <c r="B1008" s="2">
        <v>1000</v>
      </c>
      <c r="C1008" s="2">
        <v>3420</v>
      </c>
      <c r="D1008" s="4">
        <v>373737.6</v>
      </c>
      <c r="E1008" s="4">
        <f t="shared" si="270"/>
        <v>1278182592</v>
      </c>
      <c r="F1008" s="2">
        <f t="shared" si="271"/>
        <v>11696400</v>
      </c>
      <c r="G1008" s="2">
        <f t="shared" si="272"/>
        <v>139679793653.75998</v>
      </c>
      <c r="H1008" s="42">
        <f t="shared" si="273"/>
        <v>-1604.4809999999998</v>
      </c>
      <c r="I1008" s="2">
        <f t="shared" si="274"/>
        <v>2574359.2793609994</v>
      </c>
      <c r="J1008" s="4">
        <f t="shared" si="275"/>
        <v>-915364.29680999916</v>
      </c>
      <c r="K1008" s="2">
        <f t="shared" si="276"/>
        <v>837891795874.46423</v>
      </c>
      <c r="L1008" s="47">
        <f t="shared" si="277"/>
        <v>1468684622.310004</v>
      </c>
      <c r="N1008" s="42">
        <f t="shared" si="278"/>
        <v>882790.59479131806</v>
      </c>
      <c r="O1008" s="42">
        <f t="shared" si="279"/>
        <v>165088874148.11588</v>
      </c>
      <c r="P1008" s="4">
        <f t="shared" si="280"/>
        <v>-509052.99479131808</v>
      </c>
      <c r="Q1008" s="4">
        <f t="shared" si="281"/>
        <v>259134951506.0097</v>
      </c>
      <c r="R1008" s="43">
        <f t="shared" si="282"/>
        <v>1.3243080377811328E-3</v>
      </c>
      <c r="S1008" s="4">
        <f t="shared" si="283"/>
        <v>-0.41861886468665804</v>
      </c>
      <c r="T1008" s="30">
        <f t="shared" si="284"/>
        <v>795807.20942864928</v>
      </c>
      <c r="U1008" s="31">
        <f t="shared" si="285"/>
        <v>969773.98015398683</v>
      </c>
      <c r="V1008" s="31">
        <f t="shared" si="286"/>
        <v>3273839.5816349052</v>
      </c>
      <c r="W1008" s="42">
        <f t="shared" si="287"/>
        <v>3274614.3689080151</v>
      </c>
    </row>
    <row r="1009" spans="2:23" ht="16.2" thickBot="1" x14ac:dyDescent="0.35">
      <c r="B1009" s="12"/>
      <c r="C1009" s="13">
        <f t="shared" ref="C1009:L1009" si="288">SUM(C9:C1008)</f>
        <v>5024481</v>
      </c>
      <c r="D1009" s="13">
        <f t="shared" si="288"/>
        <v>1289101896.8099992</v>
      </c>
      <c r="E1009" s="41">
        <f t="shared" si="288"/>
        <v>8487251788871.0566</v>
      </c>
      <c r="F1009" s="41">
        <f t="shared" si="288"/>
        <v>33183415719</v>
      </c>
      <c r="G1009" s="41">
        <f t="shared" si="288"/>
        <v>3651522541662502.5</v>
      </c>
      <c r="H1009" s="41">
        <f t="shared" si="288"/>
        <v>2.3283064365386963E-10</v>
      </c>
      <c r="I1009" s="41">
        <f t="shared" si="288"/>
        <v>7938006399.6390047</v>
      </c>
      <c r="J1009" s="41">
        <f t="shared" si="288"/>
        <v>9.1665424406528473E-7</v>
      </c>
      <c r="K1009" s="41">
        <f t="shared" si="288"/>
        <v>1989738841303364</v>
      </c>
      <c r="L1009" s="48">
        <f t="shared" si="288"/>
        <v>2010183801285.2429</v>
      </c>
      <c r="N1009" s="41">
        <f t="shared" ref="N1009:V1009" si="289">SUM(N9:N1008)</f>
        <v>1289101896.8099976</v>
      </c>
      <c r="O1009" s="41">
        <f t="shared" si="289"/>
        <v>509049591486012.75</v>
      </c>
      <c r="P1009" s="41">
        <f t="shared" si="289"/>
        <v>7.7462755143642426E-7</v>
      </c>
      <c r="Q1009" s="41">
        <f t="shared" si="289"/>
        <v>1480689249817349.3</v>
      </c>
      <c r="R1009" s="41">
        <f t="shared" si="289"/>
        <v>2.0000000000000022</v>
      </c>
      <c r="S1009" s="41">
        <f t="shared" si="289"/>
        <v>2.689847869151385E-3</v>
      </c>
      <c r="T1009" s="13">
        <f t="shared" si="289"/>
        <v>1184831715.8313875</v>
      </c>
      <c r="U1009" s="13">
        <f t="shared" si="289"/>
        <v>1393372077.7886083</v>
      </c>
      <c r="V1009" s="13">
        <f t="shared" si="289"/>
        <v>3679343240.5318251</v>
      </c>
      <c r="W1009" s="41">
        <f>SUM(W9:W1008)</f>
        <v>3681732289.081614</v>
      </c>
    </row>
    <row r="1010" spans="2:23" ht="16.2" thickBot="1" x14ac:dyDescent="0.35">
      <c r="B1010" s="14"/>
      <c r="C1010" s="15" t="s">
        <v>86</v>
      </c>
      <c r="D1010" s="16" t="s">
        <v>87</v>
      </c>
      <c r="E1010" s="16" t="s">
        <v>88</v>
      </c>
      <c r="F1010" s="16" t="s">
        <v>89</v>
      </c>
      <c r="G1010" s="16" t="s">
        <v>90</v>
      </c>
      <c r="H1010" s="16" t="s">
        <v>91</v>
      </c>
      <c r="I1010" s="16" t="s">
        <v>92</v>
      </c>
      <c r="J1010" s="16" t="s">
        <v>93</v>
      </c>
      <c r="K1010" s="16" t="s">
        <v>94</v>
      </c>
      <c r="L1010" s="17" t="s">
        <v>95</v>
      </c>
      <c r="N1010" s="18" t="s">
        <v>96</v>
      </c>
      <c r="O1010" s="17" t="s">
        <v>97</v>
      </c>
      <c r="P1010" s="18" t="s">
        <v>98</v>
      </c>
      <c r="Q1010" s="18" t="s">
        <v>99</v>
      </c>
      <c r="R1010" s="19"/>
      <c r="S1010" s="1"/>
      <c r="T1010" s="30"/>
      <c r="U1010" s="31"/>
      <c r="V1010" s="31"/>
      <c r="W1010" s="19"/>
    </row>
  </sheetData>
  <mergeCells count="45">
    <mergeCell ref="T7:U7"/>
    <mergeCell ref="V7:W7"/>
    <mergeCell ref="A1:M5"/>
    <mergeCell ref="Y7:AB7"/>
    <mergeCell ref="AC7:AF7"/>
    <mergeCell ref="Y8:AB8"/>
    <mergeCell ref="AC8:AF8"/>
    <mergeCell ref="Y9:AB9"/>
    <mergeCell ref="AC9:AF9"/>
    <mergeCell ref="Y10:AB10"/>
    <mergeCell ref="AC10:AF10"/>
    <mergeCell ref="Y11:AB11"/>
    <mergeCell ref="AC11:AF11"/>
    <mergeCell ref="Y12:AB12"/>
    <mergeCell ref="AC12:AF12"/>
    <mergeCell ref="Y13:AB13"/>
    <mergeCell ref="AC13:AF13"/>
    <mergeCell ref="Y14:AB14"/>
    <mergeCell ref="AC14:AF14"/>
    <mergeCell ref="Y15:AB15"/>
    <mergeCell ref="AC15:AF15"/>
    <mergeCell ref="Y16:AB16"/>
    <mergeCell ref="AC16:AF16"/>
    <mergeCell ref="Y17:AB17"/>
    <mergeCell ref="AC17:AF17"/>
    <mergeCell ref="Y18:AB18"/>
    <mergeCell ref="AC18:AF18"/>
    <mergeCell ref="Y19:AB19"/>
    <mergeCell ref="AC19:AF19"/>
    <mergeCell ref="Y20:AB20"/>
    <mergeCell ref="AC20:AF20"/>
    <mergeCell ref="Y21:AB21"/>
    <mergeCell ref="AC21:AF21"/>
    <mergeCell ref="Y22:AB22"/>
    <mergeCell ref="AC22:AF22"/>
    <mergeCell ref="Y26:AB26"/>
    <mergeCell ref="AC26:AF26"/>
    <mergeCell ref="Y27:AB27"/>
    <mergeCell ref="AC27:AF27"/>
    <mergeCell ref="Y23:AB23"/>
    <mergeCell ref="AC23:AF23"/>
    <mergeCell ref="Y24:AB24"/>
    <mergeCell ref="AC24:AF24"/>
    <mergeCell ref="Y25:AB25"/>
    <mergeCell ref="AC25:AF25"/>
  </mergeCells>
  <pageMargins left="0.7" right="0.7" top="0.75" bottom="0.75" header="0.3" footer="0.3"/>
  <pageSetup paperSize="9" orientation="portrait" horizontalDpi="0" verticalDpi="0" r:id="rId1"/>
  <ignoredErrors>
    <ignoredError sqref="J9:J1008"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4B6F-E8B5-4D6A-85B9-79BC08C69D3B}">
  <sheetPr>
    <tabColor rgb="FF00B050"/>
  </sheetPr>
  <dimension ref="A1:G1001"/>
  <sheetViews>
    <sheetView topLeftCell="A471" workbookViewId="0">
      <selection activeCell="I6" sqref="I6"/>
    </sheetView>
  </sheetViews>
  <sheetFormatPr baseColWidth="10" defaultRowHeight="14.4" x14ac:dyDescent="0.3"/>
  <cols>
    <col min="2" max="2" width="14.21875" bestFit="1" customWidth="1"/>
  </cols>
  <sheetData>
    <row r="1" spans="1:7" x14ac:dyDescent="0.3">
      <c r="A1" s="23" t="s">
        <v>26</v>
      </c>
      <c r="B1" s="23" t="s">
        <v>27</v>
      </c>
    </row>
    <row r="2" spans="1:7" x14ac:dyDescent="0.3">
      <c r="A2" s="2">
        <v>5530</v>
      </c>
      <c r="B2" s="4">
        <v>843767.4</v>
      </c>
      <c r="D2" s="60" t="s">
        <v>0</v>
      </c>
      <c r="E2" s="60"/>
      <c r="F2" s="60"/>
      <c r="G2" s="60"/>
    </row>
    <row r="3" spans="1:7" x14ac:dyDescent="0.3">
      <c r="A3" s="2">
        <v>994</v>
      </c>
      <c r="B3" s="4">
        <v>419358.66</v>
      </c>
      <c r="D3" s="2" t="s">
        <v>1</v>
      </c>
      <c r="E3" s="2" cm="1">
        <f t="array" ref="E3:F7">LINEST(B2:B1001,A2:A1001,1,1)</f>
        <v>253.2353465193311</v>
      </c>
      <c r="F3" s="2">
        <v>16725.709695203928</v>
      </c>
      <c r="G3" s="3" t="s">
        <v>2</v>
      </c>
    </row>
    <row r="4" spans="1:7" x14ac:dyDescent="0.3">
      <c r="A4" s="2">
        <v>6845</v>
      </c>
      <c r="B4" s="4">
        <v>1408016.5</v>
      </c>
      <c r="D4" s="2" t="s">
        <v>3</v>
      </c>
      <c r="E4" s="2">
        <v>13.671336364688749</v>
      </c>
      <c r="F4" s="2">
        <v>78753.798950770259</v>
      </c>
      <c r="G4" s="3" t="s">
        <v>4</v>
      </c>
    </row>
    <row r="5" spans="1:7" x14ac:dyDescent="0.3">
      <c r="A5" s="2">
        <v>9806</v>
      </c>
      <c r="B5" s="4">
        <v>91489.98</v>
      </c>
      <c r="D5" s="2" t="s">
        <v>5</v>
      </c>
      <c r="E5" s="2">
        <v>0.25583738977149584</v>
      </c>
      <c r="F5" s="2">
        <v>1218054.4170697946</v>
      </c>
      <c r="G5" s="3" t="s">
        <v>5</v>
      </c>
    </row>
    <row r="6" spans="1:7" ht="28.8" x14ac:dyDescent="0.3">
      <c r="A6" s="2">
        <v>3633</v>
      </c>
      <c r="B6" s="4">
        <v>927432.24</v>
      </c>
      <c r="D6" s="2" t="s">
        <v>6</v>
      </c>
      <c r="E6" s="2">
        <v>343.10473474816479</v>
      </c>
      <c r="F6" s="2">
        <v>998</v>
      </c>
      <c r="G6" s="3" t="s">
        <v>7</v>
      </c>
    </row>
    <row r="7" spans="1:7" ht="43.2" x14ac:dyDescent="0.3">
      <c r="A7" s="2">
        <v>4110</v>
      </c>
      <c r="B7" s="4">
        <v>195019.5</v>
      </c>
      <c r="D7" s="2" t="s">
        <v>8</v>
      </c>
      <c r="E7" s="2">
        <v>509049591486013.25</v>
      </c>
      <c r="F7" s="2">
        <v>1480689249817350.8</v>
      </c>
      <c r="G7" s="3" t="s">
        <v>9</v>
      </c>
    </row>
    <row r="8" spans="1:7" x14ac:dyDescent="0.3">
      <c r="A8" s="2">
        <v>4056</v>
      </c>
      <c r="B8" s="4">
        <v>618864.4800000001</v>
      </c>
    </row>
    <row r="9" spans="1:7" x14ac:dyDescent="0.3">
      <c r="A9" s="2">
        <v>8319</v>
      </c>
      <c r="B9" s="4">
        <v>3637066.8</v>
      </c>
    </row>
    <row r="10" spans="1:7" x14ac:dyDescent="0.3">
      <c r="A10" s="2">
        <v>8779</v>
      </c>
      <c r="B10" s="4">
        <v>717507.67</v>
      </c>
    </row>
    <row r="11" spans="1:7" x14ac:dyDescent="0.3">
      <c r="A11" s="2">
        <v>9347</v>
      </c>
      <c r="B11" s="4">
        <v>6086859.8700000001</v>
      </c>
    </row>
    <row r="12" spans="1:7" x14ac:dyDescent="0.3">
      <c r="A12" s="2">
        <v>966</v>
      </c>
      <c r="B12" s="4">
        <v>422335.2</v>
      </c>
    </row>
    <row r="13" spans="1:7" x14ac:dyDescent="0.3">
      <c r="A13" s="2">
        <v>6609</v>
      </c>
      <c r="B13" s="4">
        <v>1008401.2200000001</v>
      </c>
    </row>
    <row r="14" spans="1:7" x14ac:dyDescent="0.3">
      <c r="A14" s="2">
        <v>6281</v>
      </c>
      <c r="B14" s="4">
        <v>298033.45</v>
      </c>
    </row>
    <row r="15" spans="1:7" x14ac:dyDescent="0.3">
      <c r="A15" s="2">
        <v>2018</v>
      </c>
      <c r="B15" s="4">
        <v>310893.08</v>
      </c>
    </row>
    <row r="16" spans="1:7" x14ac:dyDescent="0.3">
      <c r="A16" s="2">
        <v>2888</v>
      </c>
      <c r="B16" s="4">
        <v>26945.040000000001</v>
      </c>
    </row>
    <row r="17" spans="1:2" x14ac:dyDescent="0.3">
      <c r="A17" s="2">
        <v>9989</v>
      </c>
      <c r="B17" s="4">
        <v>816400.97000000009</v>
      </c>
    </row>
    <row r="18" spans="1:2" x14ac:dyDescent="0.3">
      <c r="A18" s="2">
        <v>1451</v>
      </c>
      <c r="B18" s="4">
        <v>634377.19999999995</v>
      </c>
    </row>
    <row r="19" spans="1:2" x14ac:dyDescent="0.3">
      <c r="A19" s="2">
        <v>7436</v>
      </c>
      <c r="B19" s="4">
        <v>1134584.8800000001</v>
      </c>
    </row>
    <row r="20" spans="1:2" x14ac:dyDescent="0.3">
      <c r="A20" s="2">
        <v>5135</v>
      </c>
      <c r="B20" s="4">
        <v>3343963.35</v>
      </c>
    </row>
    <row r="21" spans="1:2" x14ac:dyDescent="0.3">
      <c r="A21" s="2">
        <v>3772</v>
      </c>
      <c r="B21" s="4">
        <v>2456364.12</v>
      </c>
    </row>
    <row r="22" spans="1:2" x14ac:dyDescent="0.3">
      <c r="A22" s="2">
        <v>9602</v>
      </c>
      <c r="B22" s="4">
        <v>784771.46000000008</v>
      </c>
    </row>
    <row r="23" spans="1:2" x14ac:dyDescent="0.3">
      <c r="A23" s="2">
        <v>912</v>
      </c>
      <c r="B23" s="4">
        <v>398726.39999999997</v>
      </c>
    </row>
    <row r="24" spans="1:2" x14ac:dyDescent="0.3">
      <c r="A24" s="2">
        <v>3019</v>
      </c>
      <c r="B24" s="4">
        <v>460639.02</v>
      </c>
    </row>
    <row r="25" spans="1:2" x14ac:dyDescent="0.3">
      <c r="A25" s="2">
        <v>3270</v>
      </c>
      <c r="B25" s="4">
        <v>357345.6</v>
      </c>
    </row>
    <row r="26" spans="1:2" x14ac:dyDescent="0.3">
      <c r="A26" s="2">
        <v>6047</v>
      </c>
      <c r="B26" s="4">
        <v>931600.82000000007</v>
      </c>
    </row>
    <row r="27" spans="1:2" x14ac:dyDescent="0.3">
      <c r="A27" s="2">
        <v>7761</v>
      </c>
      <c r="B27" s="4">
        <v>634306.53</v>
      </c>
    </row>
    <row r="28" spans="1:2" x14ac:dyDescent="0.3">
      <c r="A28" s="2">
        <v>1852</v>
      </c>
      <c r="B28" s="4">
        <v>202386.56</v>
      </c>
    </row>
    <row r="29" spans="1:2" x14ac:dyDescent="0.3">
      <c r="A29" s="2">
        <v>3797</v>
      </c>
      <c r="B29" s="4">
        <v>414936.16000000003</v>
      </c>
    </row>
    <row r="30" spans="1:2" x14ac:dyDescent="0.3">
      <c r="A30" s="2">
        <v>6098</v>
      </c>
      <c r="B30" s="4">
        <v>4075110.46</v>
      </c>
    </row>
    <row r="31" spans="1:2" x14ac:dyDescent="0.3">
      <c r="A31" s="2">
        <v>3293</v>
      </c>
      <c r="B31" s="4">
        <v>1439699.5999999999</v>
      </c>
    </row>
    <row r="32" spans="1:2" x14ac:dyDescent="0.3">
      <c r="A32" s="2">
        <v>6948</v>
      </c>
      <c r="B32" s="4">
        <v>1070408.8800000001</v>
      </c>
    </row>
    <row r="33" spans="1:2" x14ac:dyDescent="0.3">
      <c r="A33" s="2">
        <v>663</v>
      </c>
      <c r="B33" s="4">
        <v>54186.990000000005</v>
      </c>
    </row>
    <row r="34" spans="1:2" x14ac:dyDescent="0.3">
      <c r="A34" s="2">
        <v>5067</v>
      </c>
      <c r="B34" s="4">
        <v>553721.76</v>
      </c>
    </row>
    <row r="35" spans="1:2" x14ac:dyDescent="0.3">
      <c r="A35" s="2">
        <v>2822</v>
      </c>
      <c r="B35" s="4">
        <v>26329.26</v>
      </c>
    </row>
    <row r="36" spans="1:2" x14ac:dyDescent="0.3">
      <c r="A36" s="2">
        <v>3619</v>
      </c>
      <c r="B36" s="4">
        <v>395484.32</v>
      </c>
    </row>
    <row r="37" spans="1:2" x14ac:dyDescent="0.3">
      <c r="A37" s="2">
        <v>9183</v>
      </c>
      <c r="B37" s="4">
        <v>3874215.8699999996</v>
      </c>
    </row>
    <row r="38" spans="1:2" x14ac:dyDescent="0.3">
      <c r="A38" s="2">
        <v>8268</v>
      </c>
      <c r="B38" s="4">
        <v>392316.60000000003</v>
      </c>
    </row>
    <row r="39" spans="1:2" x14ac:dyDescent="0.3">
      <c r="A39" s="2">
        <v>1660</v>
      </c>
      <c r="B39" s="4">
        <v>341462</v>
      </c>
    </row>
    <row r="40" spans="1:2" x14ac:dyDescent="0.3">
      <c r="A40" s="2">
        <v>7177</v>
      </c>
      <c r="B40" s="4">
        <v>1105688.6200000001</v>
      </c>
    </row>
    <row r="41" spans="1:2" x14ac:dyDescent="0.3">
      <c r="A41" s="2">
        <v>4668</v>
      </c>
      <c r="B41" s="4">
        <v>3119484.36</v>
      </c>
    </row>
    <row r="42" spans="1:2" x14ac:dyDescent="0.3">
      <c r="A42" s="2">
        <v>1011</v>
      </c>
      <c r="B42" s="4">
        <v>9432.6299999999992</v>
      </c>
    </row>
    <row r="43" spans="1:2" x14ac:dyDescent="0.3">
      <c r="A43" s="2">
        <v>5120</v>
      </c>
      <c r="B43" s="4">
        <v>559513.59999999998</v>
      </c>
    </row>
    <row r="44" spans="1:2" x14ac:dyDescent="0.3">
      <c r="A44" s="2">
        <v>2935</v>
      </c>
      <c r="B44" s="4">
        <v>27383.55</v>
      </c>
    </row>
    <row r="45" spans="1:2" x14ac:dyDescent="0.3">
      <c r="A45" s="2">
        <v>2430</v>
      </c>
      <c r="B45" s="4">
        <v>1582440.3</v>
      </c>
    </row>
    <row r="46" spans="1:2" x14ac:dyDescent="0.3">
      <c r="A46" s="2">
        <v>8611</v>
      </c>
      <c r="B46" s="4">
        <v>1771282.7</v>
      </c>
    </row>
    <row r="47" spans="1:2" x14ac:dyDescent="0.3">
      <c r="A47" s="2">
        <v>8513</v>
      </c>
      <c r="B47" s="4">
        <v>695767.49</v>
      </c>
    </row>
    <row r="48" spans="1:2" x14ac:dyDescent="0.3">
      <c r="A48" s="2">
        <v>6205</v>
      </c>
      <c r="B48" s="4">
        <v>678082.4</v>
      </c>
    </row>
    <row r="49" spans="1:2" x14ac:dyDescent="0.3">
      <c r="A49" s="2">
        <v>7783</v>
      </c>
      <c r="B49" s="4">
        <v>369303.35000000003</v>
      </c>
    </row>
    <row r="50" spans="1:2" x14ac:dyDescent="0.3">
      <c r="A50" s="2">
        <v>6379</v>
      </c>
      <c r="B50" s="4">
        <v>2691236.31</v>
      </c>
    </row>
    <row r="51" spans="1:2" x14ac:dyDescent="0.3">
      <c r="A51" s="2">
        <v>7154</v>
      </c>
      <c r="B51" s="4">
        <v>781789.12</v>
      </c>
    </row>
    <row r="52" spans="1:2" x14ac:dyDescent="0.3">
      <c r="A52" s="2">
        <v>2299</v>
      </c>
      <c r="B52" s="4">
        <v>472904.3</v>
      </c>
    </row>
    <row r="53" spans="1:2" x14ac:dyDescent="0.3">
      <c r="A53" s="2">
        <v>6039</v>
      </c>
      <c r="B53" s="4">
        <v>930368.34</v>
      </c>
    </row>
    <row r="54" spans="1:2" x14ac:dyDescent="0.3">
      <c r="A54" s="2">
        <v>9628</v>
      </c>
      <c r="B54" s="4">
        <v>456848.60000000003</v>
      </c>
    </row>
    <row r="55" spans="1:2" x14ac:dyDescent="0.3">
      <c r="A55" s="2">
        <v>6353</v>
      </c>
      <c r="B55" s="4">
        <v>2680267.17</v>
      </c>
    </row>
    <row r="56" spans="1:2" x14ac:dyDescent="0.3">
      <c r="A56" s="2">
        <v>6531</v>
      </c>
      <c r="B56" s="4">
        <v>1006165.86</v>
      </c>
    </row>
    <row r="57" spans="1:2" x14ac:dyDescent="0.3">
      <c r="A57" s="2">
        <v>2510</v>
      </c>
      <c r="B57" s="4">
        <v>119099.5</v>
      </c>
    </row>
    <row r="58" spans="1:2" x14ac:dyDescent="0.3">
      <c r="A58" s="2">
        <v>3671</v>
      </c>
      <c r="B58" s="4">
        <v>565554.26</v>
      </c>
    </row>
    <row r="59" spans="1:2" x14ac:dyDescent="0.3">
      <c r="A59" s="2">
        <v>1424</v>
      </c>
      <c r="B59" s="4">
        <v>292916.8</v>
      </c>
    </row>
    <row r="60" spans="1:2" x14ac:dyDescent="0.3">
      <c r="A60" s="2">
        <v>4212</v>
      </c>
      <c r="B60" s="4">
        <v>460287.36</v>
      </c>
    </row>
    <row r="61" spans="1:2" x14ac:dyDescent="0.3">
      <c r="A61" s="2">
        <v>2509</v>
      </c>
      <c r="B61" s="4">
        <v>640497.52</v>
      </c>
    </row>
    <row r="62" spans="1:2" x14ac:dyDescent="0.3">
      <c r="A62" s="2">
        <v>3819</v>
      </c>
      <c r="B62" s="4">
        <v>1669666.8</v>
      </c>
    </row>
    <row r="63" spans="1:2" x14ac:dyDescent="0.3">
      <c r="A63" s="2">
        <v>7679</v>
      </c>
      <c r="B63" s="4">
        <v>627604.67000000004</v>
      </c>
    </row>
    <row r="64" spans="1:2" x14ac:dyDescent="0.3">
      <c r="A64" s="2">
        <v>656</v>
      </c>
      <c r="B64" s="4">
        <v>438385.12</v>
      </c>
    </row>
    <row r="65" spans="1:2" x14ac:dyDescent="0.3">
      <c r="A65" s="2">
        <v>1348</v>
      </c>
      <c r="B65" s="4">
        <v>110172.04000000001</v>
      </c>
    </row>
    <row r="66" spans="1:2" x14ac:dyDescent="0.3">
      <c r="A66" s="2">
        <v>5386</v>
      </c>
      <c r="B66" s="4">
        <v>2272299.54</v>
      </c>
    </row>
    <row r="67" spans="1:2" x14ac:dyDescent="0.3">
      <c r="A67" s="2">
        <v>431</v>
      </c>
      <c r="B67" s="4">
        <v>66399.86</v>
      </c>
    </row>
    <row r="68" spans="1:2" x14ac:dyDescent="0.3">
      <c r="A68" s="2">
        <v>1174</v>
      </c>
      <c r="B68" s="4">
        <v>10953.42</v>
      </c>
    </row>
    <row r="69" spans="1:2" x14ac:dyDescent="0.3">
      <c r="A69" s="2">
        <v>4340</v>
      </c>
      <c r="B69" s="4">
        <v>1107915.2</v>
      </c>
    </row>
    <row r="70" spans="1:2" x14ac:dyDescent="0.3">
      <c r="A70" s="2">
        <v>3684</v>
      </c>
      <c r="B70" s="4">
        <v>301093.32</v>
      </c>
    </row>
    <row r="71" spans="1:2" x14ac:dyDescent="0.3">
      <c r="A71" s="2">
        <v>4991</v>
      </c>
      <c r="B71" s="4">
        <v>407914.43</v>
      </c>
    </row>
    <row r="72" spans="1:2" x14ac:dyDescent="0.3">
      <c r="A72" s="2">
        <v>1080</v>
      </c>
      <c r="B72" s="4">
        <v>721731.6</v>
      </c>
    </row>
    <row r="73" spans="1:2" x14ac:dyDescent="0.3">
      <c r="A73" s="2">
        <v>6798</v>
      </c>
      <c r="B73" s="4">
        <v>2868008.2199999997</v>
      </c>
    </row>
    <row r="74" spans="1:2" x14ac:dyDescent="0.3">
      <c r="A74" s="2">
        <v>4025</v>
      </c>
      <c r="B74" s="4">
        <v>2689786.75</v>
      </c>
    </row>
    <row r="75" spans="1:2" x14ac:dyDescent="0.3">
      <c r="A75" s="2">
        <v>6674</v>
      </c>
      <c r="B75" s="4">
        <v>4346175.54</v>
      </c>
    </row>
    <row r="76" spans="1:2" x14ac:dyDescent="0.3">
      <c r="A76" s="2">
        <v>5685</v>
      </c>
      <c r="B76" s="4">
        <v>53041.05</v>
      </c>
    </row>
    <row r="77" spans="1:2" x14ac:dyDescent="0.3">
      <c r="A77" s="2">
        <v>4033</v>
      </c>
      <c r="B77" s="4">
        <v>621323.98</v>
      </c>
    </row>
    <row r="78" spans="1:2" x14ac:dyDescent="0.3">
      <c r="A78" s="2">
        <v>1723</v>
      </c>
      <c r="B78" s="4">
        <v>81756.350000000006</v>
      </c>
    </row>
    <row r="79" spans="1:2" x14ac:dyDescent="0.3">
      <c r="A79" s="2">
        <v>790</v>
      </c>
      <c r="B79" s="4">
        <v>345388</v>
      </c>
    </row>
    <row r="80" spans="1:2" x14ac:dyDescent="0.3">
      <c r="A80" s="2">
        <v>303</v>
      </c>
      <c r="B80" s="4">
        <v>62327.1</v>
      </c>
    </row>
    <row r="81" spans="1:2" x14ac:dyDescent="0.3">
      <c r="A81" s="2">
        <v>1359</v>
      </c>
      <c r="B81" s="4">
        <v>111071.07</v>
      </c>
    </row>
    <row r="82" spans="1:2" x14ac:dyDescent="0.3">
      <c r="A82" s="2">
        <v>2089</v>
      </c>
      <c r="B82" s="4">
        <v>1396016.03</v>
      </c>
    </row>
    <row r="83" spans="1:2" x14ac:dyDescent="0.3">
      <c r="A83" s="2">
        <v>2653</v>
      </c>
      <c r="B83" s="4">
        <v>677257.84</v>
      </c>
    </row>
    <row r="84" spans="1:2" x14ac:dyDescent="0.3">
      <c r="A84" s="2">
        <v>245</v>
      </c>
      <c r="B84" s="4">
        <v>159546.45000000001</v>
      </c>
    </row>
    <row r="85" spans="1:2" x14ac:dyDescent="0.3">
      <c r="A85" s="2">
        <v>4087</v>
      </c>
      <c r="B85" s="4">
        <v>1724264.43</v>
      </c>
    </row>
    <row r="86" spans="1:2" x14ac:dyDescent="0.3">
      <c r="A86" s="2">
        <v>435</v>
      </c>
      <c r="B86" s="4">
        <v>111046.8</v>
      </c>
    </row>
    <row r="87" spans="1:2" x14ac:dyDescent="0.3">
      <c r="A87" s="2">
        <v>7575</v>
      </c>
      <c r="B87" s="4">
        <v>3311790</v>
      </c>
    </row>
    <row r="88" spans="1:2" x14ac:dyDescent="0.3">
      <c r="A88" s="2">
        <v>824</v>
      </c>
      <c r="B88" s="4">
        <v>67345.52</v>
      </c>
    </row>
    <row r="89" spans="1:2" x14ac:dyDescent="0.3">
      <c r="A89" s="2">
        <v>7531</v>
      </c>
      <c r="B89" s="4">
        <v>4904262.5100000007</v>
      </c>
    </row>
    <row r="90" spans="1:2" x14ac:dyDescent="0.3">
      <c r="A90" s="2">
        <v>2075</v>
      </c>
      <c r="B90" s="4">
        <v>907190</v>
      </c>
    </row>
    <row r="91" spans="1:2" x14ac:dyDescent="0.3">
      <c r="A91" s="2">
        <v>869</v>
      </c>
      <c r="B91" s="4">
        <v>132592.02000000002</v>
      </c>
    </row>
    <row r="92" spans="1:2" x14ac:dyDescent="0.3">
      <c r="A92" s="2">
        <v>7353</v>
      </c>
      <c r="B92" s="4">
        <v>4913789.3099999996</v>
      </c>
    </row>
    <row r="93" spans="1:2" x14ac:dyDescent="0.3">
      <c r="A93" s="2">
        <v>7003</v>
      </c>
      <c r="B93" s="4">
        <v>2954495.67</v>
      </c>
    </row>
    <row r="94" spans="1:2" x14ac:dyDescent="0.3">
      <c r="A94" s="2">
        <v>2322</v>
      </c>
      <c r="B94" s="4">
        <v>1512109.62</v>
      </c>
    </row>
    <row r="95" spans="1:2" x14ac:dyDescent="0.3">
      <c r="A95" s="2">
        <v>7846</v>
      </c>
      <c r="B95" s="4">
        <v>73203.180000000008</v>
      </c>
    </row>
    <row r="96" spans="1:2" x14ac:dyDescent="0.3">
      <c r="A96" s="2">
        <v>5145</v>
      </c>
      <c r="B96" s="4">
        <v>244130.25000000003</v>
      </c>
    </row>
    <row r="97" spans="1:2" x14ac:dyDescent="0.3">
      <c r="A97" s="2">
        <v>7815</v>
      </c>
      <c r="B97" s="4">
        <v>370821.75</v>
      </c>
    </row>
    <row r="98" spans="1:2" x14ac:dyDescent="0.3">
      <c r="A98" s="2">
        <v>6486</v>
      </c>
      <c r="B98" s="4">
        <v>1655746.08</v>
      </c>
    </row>
    <row r="99" spans="1:2" x14ac:dyDescent="0.3">
      <c r="A99" s="2">
        <v>3821</v>
      </c>
      <c r="B99" s="4">
        <v>2553459.67</v>
      </c>
    </row>
    <row r="100" spans="1:2" x14ac:dyDescent="0.3">
      <c r="A100" s="2">
        <v>9511</v>
      </c>
      <c r="B100" s="4">
        <v>777334.03</v>
      </c>
    </row>
    <row r="101" spans="1:2" x14ac:dyDescent="0.3">
      <c r="A101" s="2">
        <v>5279</v>
      </c>
      <c r="B101" s="4">
        <v>805469.82000000007</v>
      </c>
    </row>
    <row r="102" spans="1:2" x14ac:dyDescent="0.3">
      <c r="A102" s="2">
        <v>9882</v>
      </c>
      <c r="B102" s="4">
        <v>2032727.4</v>
      </c>
    </row>
    <row r="103" spans="1:2" x14ac:dyDescent="0.3">
      <c r="A103" s="2">
        <v>4104</v>
      </c>
      <c r="B103" s="4">
        <v>632262.24</v>
      </c>
    </row>
    <row r="104" spans="1:2" x14ac:dyDescent="0.3">
      <c r="A104" s="2">
        <v>5764</v>
      </c>
      <c r="B104" s="4">
        <v>879471.12000000011</v>
      </c>
    </row>
    <row r="105" spans="1:2" x14ac:dyDescent="0.3">
      <c r="A105" s="2">
        <v>4709</v>
      </c>
      <c r="B105" s="4">
        <v>3146883.4299999997</v>
      </c>
    </row>
    <row r="106" spans="1:2" x14ac:dyDescent="0.3">
      <c r="A106" s="2">
        <v>7821</v>
      </c>
      <c r="B106" s="4">
        <v>371106.45</v>
      </c>
    </row>
    <row r="107" spans="1:2" x14ac:dyDescent="0.3">
      <c r="A107" s="2">
        <v>4009</v>
      </c>
      <c r="B107" s="4">
        <v>617626.54</v>
      </c>
    </row>
    <row r="108" spans="1:2" x14ac:dyDescent="0.3">
      <c r="A108" s="2">
        <v>9217</v>
      </c>
      <c r="B108" s="4">
        <v>2352915.7600000002</v>
      </c>
    </row>
    <row r="109" spans="1:2" x14ac:dyDescent="0.3">
      <c r="A109" s="2">
        <v>1417</v>
      </c>
      <c r="B109" s="4">
        <v>597818.13</v>
      </c>
    </row>
    <row r="110" spans="1:2" x14ac:dyDescent="0.3">
      <c r="A110" s="2">
        <v>5616</v>
      </c>
      <c r="B110" s="4">
        <v>3753004.32</v>
      </c>
    </row>
    <row r="111" spans="1:2" x14ac:dyDescent="0.3">
      <c r="A111" s="2">
        <v>8848</v>
      </c>
      <c r="B111" s="4">
        <v>2258717.44</v>
      </c>
    </row>
    <row r="112" spans="1:2" x14ac:dyDescent="0.3">
      <c r="A112" s="2">
        <v>5182</v>
      </c>
      <c r="B112" s="4">
        <v>2265570.4</v>
      </c>
    </row>
    <row r="113" spans="1:2" x14ac:dyDescent="0.3">
      <c r="A113" s="2">
        <v>716</v>
      </c>
      <c r="B113" s="4">
        <v>302073.24</v>
      </c>
    </row>
    <row r="114" spans="1:2" x14ac:dyDescent="0.3">
      <c r="A114" s="2">
        <v>8579</v>
      </c>
      <c r="B114" s="4">
        <v>701161.67</v>
      </c>
    </row>
    <row r="115" spans="1:2" x14ac:dyDescent="0.3">
      <c r="A115" s="2">
        <v>3934</v>
      </c>
      <c r="B115" s="4">
        <v>1659715.26</v>
      </c>
    </row>
    <row r="116" spans="1:2" x14ac:dyDescent="0.3">
      <c r="A116" s="2">
        <v>8972</v>
      </c>
      <c r="B116" s="4">
        <v>5995718.4399999995</v>
      </c>
    </row>
    <row r="117" spans="1:2" x14ac:dyDescent="0.3">
      <c r="A117" s="2">
        <v>7917</v>
      </c>
      <c r="B117" s="4">
        <v>2021051.76</v>
      </c>
    </row>
    <row r="118" spans="1:2" x14ac:dyDescent="0.3">
      <c r="A118" s="2">
        <v>2024</v>
      </c>
      <c r="B118" s="4">
        <v>96038.8</v>
      </c>
    </row>
    <row r="119" spans="1:2" x14ac:dyDescent="0.3">
      <c r="A119" s="2">
        <v>4578</v>
      </c>
      <c r="B119" s="4">
        <v>941694.6</v>
      </c>
    </row>
    <row r="120" spans="1:2" x14ac:dyDescent="0.3">
      <c r="A120" s="2">
        <v>5899</v>
      </c>
      <c r="B120" s="4">
        <v>482125.27</v>
      </c>
    </row>
    <row r="121" spans="1:2" x14ac:dyDescent="0.3">
      <c r="A121" s="2">
        <v>8333</v>
      </c>
      <c r="B121" s="4">
        <v>77746.89</v>
      </c>
    </row>
    <row r="122" spans="1:2" x14ac:dyDescent="0.3">
      <c r="A122" s="2">
        <v>1261</v>
      </c>
      <c r="B122" s="4">
        <v>192403.38</v>
      </c>
    </row>
    <row r="123" spans="1:2" x14ac:dyDescent="0.3">
      <c r="A123" s="2">
        <v>6095</v>
      </c>
      <c r="B123" s="4">
        <v>289207.75</v>
      </c>
    </row>
    <row r="124" spans="1:2" x14ac:dyDescent="0.3">
      <c r="A124" s="2">
        <v>1276</v>
      </c>
      <c r="B124" s="4">
        <v>11905.08</v>
      </c>
    </row>
    <row r="125" spans="1:2" x14ac:dyDescent="0.3">
      <c r="A125" s="2">
        <v>7277</v>
      </c>
      <c r="B125" s="4">
        <v>67894.41</v>
      </c>
    </row>
    <row r="126" spans="1:2" x14ac:dyDescent="0.3">
      <c r="A126" s="2">
        <v>1605</v>
      </c>
      <c r="B126" s="4">
        <v>677133.45</v>
      </c>
    </row>
    <row r="127" spans="1:2" x14ac:dyDescent="0.3">
      <c r="A127" s="2">
        <v>3795</v>
      </c>
      <c r="B127" s="4">
        <v>35407.35</v>
      </c>
    </row>
    <row r="128" spans="1:2" x14ac:dyDescent="0.3">
      <c r="A128" s="2">
        <v>415</v>
      </c>
      <c r="B128" s="4">
        <v>19691.75</v>
      </c>
    </row>
    <row r="129" spans="1:2" x14ac:dyDescent="0.3">
      <c r="A129" s="2">
        <v>62</v>
      </c>
      <c r="B129" s="4">
        <v>26157.18</v>
      </c>
    </row>
    <row r="130" spans="1:2" x14ac:dyDescent="0.3">
      <c r="A130" s="2">
        <v>8367</v>
      </c>
      <c r="B130" s="4">
        <v>1289020.02</v>
      </c>
    </row>
    <row r="131" spans="1:2" x14ac:dyDescent="0.3">
      <c r="A131" s="2">
        <v>2992</v>
      </c>
      <c r="B131" s="4">
        <v>460947.52</v>
      </c>
    </row>
    <row r="132" spans="1:2" x14ac:dyDescent="0.3">
      <c r="A132" s="2">
        <v>8628</v>
      </c>
      <c r="B132" s="4">
        <v>5765833.5599999996</v>
      </c>
    </row>
    <row r="133" spans="1:2" x14ac:dyDescent="0.3">
      <c r="A133" s="2">
        <v>1999</v>
      </c>
      <c r="B133" s="4">
        <v>510304.72000000003</v>
      </c>
    </row>
    <row r="134" spans="1:2" x14ac:dyDescent="0.3">
      <c r="A134" s="2">
        <v>6861</v>
      </c>
      <c r="B134" s="4">
        <v>4467951.8100000005</v>
      </c>
    </row>
    <row r="135" spans="1:2" x14ac:dyDescent="0.3">
      <c r="A135" s="2">
        <v>8998</v>
      </c>
      <c r="B135" s="4">
        <v>1386231.8800000001</v>
      </c>
    </row>
    <row r="136" spans="1:2" x14ac:dyDescent="0.3">
      <c r="A136" s="2">
        <v>1229</v>
      </c>
      <c r="B136" s="4">
        <v>134305.12</v>
      </c>
    </row>
    <row r="137" spans="1:2" x14ac:dyDescent="0.3">
      <c r="A137" s="2">
        <v>8402</v>
      </c>
      <c r="B137" s="4">
        <v>1728291.4</v>
      </c>
    </row>
    <row r="138" spans="1:2" x14ac:dyDescent="0.3">
      <c r="A138" s="2">
        <v>2397</v>
      </c>
      <c r="B138" s="4">
        <v>113737.65000000001</v>
      </c>
    </row>
    <row r="139" spans="1:2" x14ac:dyDescent="0.3">
      <c r="A139" s="2">
        <v>7126</v>
      </c>
      <c r="B139" s="4">
        <v>582407.98</v>
      </c>
    </row>
    <row r="140" spans="1:2" x14ac:dyDescent="0.3">
      <c r="A140" s="2">
        <v>3530</v>
      </c>
      <c r="B140" s="4">
        <v>1489271.7</v>
      </c>
    </row>
    <row r="141" spans="1:2" x14ac:dyDescent="0.3">
      <c r="A141" s="2">
        <v>4583</v>
      </c>
      <c r="B141" s="4">
        <v>217463.35</v>
      </c>
    </row>
    <row r="142" spans="1:2" x14ac:dyDescent="0.3">
      <c r="A142" s="2">
        <v>290</v>
      </c>
      <c r="B142" s="4">
        <v>126788</v>
      </c>
    </row>
    <row r="143" spans="1:2" x14ac:dyDescent="0.3">
      <c r="A143" s="2">
        <v>2687</v>
      </c>
      <c r="B143" s="4">
        <v>552715.9</v>
      </c>
    </row>
    <row r="144" spans="1:2" x14ac:dyDescent="0.3">
      <c r="A144" s="2">
        <v>842</v>
      </c>
      <c r="B144" s="4">
        <v>173199.4</v>
      </c>
    </row>
    <row r="145" spans="1:2" x14ac:dyDescent="0.3">
      <c r="A145" s="2">
        <v>5854</v>
      </c>
      <c r="B145" s="4">
        <v>639725.12</v>
      </c>
    </row>
    <row r="146" spans="1:2" x14ac:dyDescent="0.3">
      <c r="A146" s="2">
        <v>5851</v>
      </c>
      <c r="B146" s="4">
        <v>54589.83</v>
      </c>
    </row>
    <row r="147" spans="1:2" x14ac:dyDescent="0.3">
      <c r="A147" s="2">
        <v>996</v>
      </c>
      <c r="B147" s="4">
        <v>9292.68</v>
      </c>
    </row>
    <row r="148" spans="1:2" x14ac:dyDescent="0.3">
      <c r="A148" s="2">
        <v>8480</v>
      </c>
      <c r="B148" s="4">
        <v>693070.4</v>
      </c>
    </row>
    <row r="149" spans="1:2" x14ac:dyDescent="0.3">
      <c r="A149" s="2">
        <v>7527</v>
      </c>
      <c r="B149" s="4">
        <v>1148469.6600000001</v>
      </c>
    </row>
    <row r="150" spans="1:2" x14ac:dyDescent="0.3">
      <c r="A150" s="2">
        <v>4393</v>
      </c>
      <c r="B150" s="4">
        <v>359039.89</v>
      </c>
    </row>
    <row r="151" spans="1:2" x14ac:dyDescent="0.3">
      <c r="A151" s="2">
        <v>7363</v>
      </c>
      <c r="B151" s="4">
        <v>68696.789999999994</v>
      </c>
    </row>
    <row r="152" spans="1:2" x14ac:dyDescent="0.3">
      <c r="A152" s="2">
        <v>1755</v>
      </c>
      <c r="B152" s="4">
        <v>1142873.55</v>
      </c>
    </row>
    <row r="153" spans="1:2" x14ac:dyDescent="0.3">
      <c r="A153" s="2">
        <v>4917</v>
      </c>
      <c r="B153" s="4">
        <v>45875.61</v>
      </c>
    </row>
    <row r="154" spans="1:2" x14ac:dyDescent="0.3">
      <c r="A154" s="2">
        <v>1229</v>
      </c>
      <c r="B154" s="4">
        <v>11466.57</v>
      </c>
    </row>
    <row r="155" spans="1:2" x14ac:dyDescent="0.3">
      <c r="A155" s="2">
        <v>7102</v>
      </c>
      <c r="B155" s="4">
        <v>66261.66</v>
      </c>
    </row>
    <row r="156" spans="1:2" x14ac:dyDescent="0.3">
      <c r="A156" s="2">
        <v>5979</v>
      </c>
      <c r="B156" s="4">
        <v>3995586.33</v>
      </c>
    </row>
    <row r="157" spans="1:2" x14ac:dyDescent="0.3">
      <c r="A157" s="2">
        <v>3333</v>
      </c>
      <c r="B157" s="4">
        <v>2170482.9300000002</v>
      </c>
    </row>
    <row r="158" spans="1:2" x14ac:dyDescent="0.3">
      <c r="A158" s="2">
        <v>1670</v>
      </c>
      <c r="B158" s="4">
        <v>1087520.7</v>
      </c>
    </row>
    <row r="159" spans="1:2" x14ac:dyDescent="0.3">
      <c r="A159" s="2">
        <v>5525</v>
      </c>
      <c r="B159" s="4">
        <v>451558.25</v>
      </c>
    </row>
    <row r="160" spans="1:2" x14ac:dyDescent="0.3">
      <c r="A160" s="2">
        <v>6466</v>
      </c>
      <c r="B160" s="4">
        <v>4321033.82</v>
      </c>
    </row>
    <row r="161" spans="1:2" x14ac:dyDescent="0.3">
      <c r="A161" s="2">
        <v>8091</v>
      </c>
      <c r="B161" s="4">
        <v>5268940.1100000003</v>
      </c>
    </row>
    <row r="162" spans="1:2" x14ac:dyDescent="0.3">
      <c r="A162" s="2">
        <v>1030</v>
      </c>
      <c r="B162" s="4">
        <v>670746.30000000005</v>
      </c>
    </row>
    <row r="163" spans="1:2" x14ac:dyDescent="0.3">
      <c r="A163" s="2">
        <v>7945</v>
      </c>
      <c r="B163" s="4">
        <v>1224006.7</v>
      </c>
    </row>
    <row r="164" spans="1:2" x14ac:dyDescent="0.3">
      <c r="A164" s="2">
        <v>8527</v>
      </c>
      <c r="B164" s="4">
        <v>3597456.03</v>
      </c>
    </row>
    <row r="165" spans="1:2" x14ac:dyDescent="0.3">
      <c r="A165" s="2">
        <v>4501</v>
      </c>
      <c r="B165" s="4">
        <v>2931096.21</v>
      </c>
    </row>
    <row r="166" spans="1:2" x14ac:dyDescent="0.3">
      <c r="A166" s="2">
        <v>4621</v>
      </c>
      <c r="B166" s="4">
        <v>1949553.69</v>
      </c>
    </row>
    <row r="167" spans="1:2" x14ac:dyDescent="0.3">
      <c r="A167" s="2">
        <v>9673</v>
      </c>
      <c r="B167" s="4">
        <v>1057065.44</v>
      </c>
    </row>
    <row r="168" spans="1:2" x14ac:dyDescent="0.3">
      <c r="A168" s="2">
        <v>7476</v>
      </c>
      <c r="B168" s="4">
        <v>3154049.64</v>
      </c>
    </row>
    <row r="169" spans="1:2" x14ac:dyDescent="0.3">
      <c r="A169" s="2">
        <v>7876</v>
      </c>
      <c r="B169" s="4">
        <v>1201720.08</v>
      </c>
    </row>
    <row r="170" spans="1:2" x14ac:dyDescent="0.3">
      <c r="A170" s="2">
        <v>7755</v>
      </c>
      <c r="B170" s="4">
        <v>847466.4</v>
      </c>
    </row>
    <row r="171" spans="1:2" x14ac:dyDescent="0.3">
      <c r="A171" s="2">
        <v>6024</v>
      </c>
      <c r="B171" s="4">
        <v>1239136.8</v>
      </c>
    </row>
    <row r="172" spans="1:2" x14ac:dyDescent="0.3">
      <c r="A172" s="2">
        <v>8624</v>
      </c>
      <c r="B172" s="4">
        <v>1315849.9200000002</v>
      </c>
    </row>
    <row r="173" spans="1:2" x14ac:dyDescent="0.3">
      <c r="A173" s="2">
        <v>3529</v>
      </c>
      <c r="B173" s="4">
        <v>2358324.83</v>
      </c>
    </row>
    <row r="174" spans="1:2" x14ac:dyDescent="0.3">
      <c r="A174" s="2">
        <v>5745</v>
      </c>
      <c r="B174" s="4">
        <v>3741201.45</v>
      </c>
    </row>
    <row r="175" spans="1:2" x14ac:dyDescent="0.3">
      <c r="A175" s="2">
        <v>2308</v>
      </c>
      <c r="B175" s="4">
        <v>188632.84</v>
      </c>
    </row>
    <row r="176" spans="1:2" x14ac:dyDescent="0.3">
      <c r="A176" s="2">
        <v>7284</v>
      </c>
      <c r="B176" s="4">
        <v>795995.52</v>
      </c>
    </row>
    <row r="177" spans="1:2" x14ac:dyDescent="0.3">
      <c r="A177" s="2">
        <v>6773</v>
      </c>
      <c r="B177" s="4">
        <v>1043448.38</v>
      </c>
    </row>
    <row r="178" spans="1:2" x14ac:dyDescent="0.3">
      <c r="A178" s="2">
        <v>3904</v>
      </c>
      <c r="B178" s="4">
        <v>595672.32000000007</v>
      </c>
    </row>
    <row r="179" spans="1:2" x14ac:dyDescent="0.3">
      <c r="A179" s="2">
        <v>3839</v>
      </c>
      <c r="B179" s="4">
        <v>2499995.19</v>
      </c>
    </row>
    <row r="180" spans="1:2" x14ac:dyDescent="0.3">
      <c r="A180" s="2">
        <v>8769</v>
      </c>
      <c r="B180" s="4">
        <v>5710460.4900000002</v>
      </c>
    </row>
    <row r="181" spans="1:2" x14ac:dyDescent="0.3">
      <c r="A181" s="2">
        <v>2919</v>
      </c>
      <c r="B181" s="4">
        <v>138506.55000000002</v>
      </c>
    </row>
    <row r="182" spans="1:2" x14ac:dyDescent="0.3">
      <c r="A182" s="2">
        <v>7544</v>
      </c>
      <c r="B182" s="4">
        <v>1551800.7999999998</v>
      </c>
    </row>
    <row r="183" spans="1:2" x14ac:dyDescent="0.3">
      <c r="A183" s="2">
        <v>5929</v>
      </c>
      <c r="B183" s="4">
        <v>647921.12</v>
      </c>
    </row>
    <row r="184" spans="1:2" x14ac:dyDescent="0.3">
      <c r="A184" s="2">
        <v>8392</v>
      </c>
      <c r="B184" s="4">
        <v>1726234.4</v>
      </c>
    </row>
    <row r="185" spans="1:2" x14ac:dyDescent="0.3">
      <c r="A185" s="2">
        <v>7281</v>
      </c>
      <c r="B185" s="4">
        <v>4865673.87</v>
      </c>
    </row>
    <row r="186" spans="1:2" x14ac:dyDescent="0.3">
      <c r="A186" s="2">
        <v>1977</v>
      </c>
      <c r="B186" s="4">
        <v>1287442.1700000002</v>
      </c>
    </row>
    <row r="187" spans="1:2" x14ac:dyDescent="0.3">
      <c r="A187" s="2">
        <v>3890</v>
      </c>
      <c r="B187" s="4">
        <v>184580.5</v>
      </c>
    </row>
    <row r="188" spans="1:2" x14ac:dyDescent="0.3">
      <c r="A188" s="2">
        <v>1464</v>
      </c>
      <c r="B188" s="4">
        <v>69466.8</v>
      </c>
    </row>
    <row r="189" spans="1:2" x14ac:dyDescent="0.3">
      <c r="A189" s="2">
        <v>5171</v>
      </c>
      <c r="B189" s="4">
        <v>788991.18</v>
      </c>
    </row>
    <row r="190" spans="1:2" x14ac:dyDescent="0.3">
      <c r="A190" s="2">
        <v>2516</v>
      </c>
      <c r="B190" s="4">
        <v>517541.19999999995</v>
      </c>
    </row>
    <row r="191" spans="1:2" x14ac:dyDescent="0.3">
      <c r="A191" s="2">
        <v>3036</v>
      </c>
      <c r="B191" s="4">
        <v>1327339.2</v>
      </c>
    </row>
    <row r="192" spans="1:2" x14ac:dyDescent="0.3">
      <c r="A192" s="2">
        <v>3298</v>
      </c>
      <c r="B192" s="4">
        <v>30770.34</v>
      </c>
    </row>
    <row r="193" spans="1:2" x14ac:dyDescent="0.3">
      <c r="A193" s="2">
        <v>1901</v>
      </c>
      <c r="B193" s="4">
        <v>155368.73000000001</v>
      </c>
    </row>
    <row r="194" spans="1:2" x14ac:dyDescent="0.3">
      <c r="A194" s="2">
        <v>4474</v>
      </c>
      <c r="B194" s="4">
        <v>689264.44000000006</v>
      </c>
    </row>
    <row r="195" spans="1:2" x14ac:dyDescent="0.3">
      <c r="A195" s="2">
        <v>8678</v>
      </c>
      <c r="B195" s="4">
        <v>3661161.42</v>
      </c>
    </row>
    <row r="196" spans="1:2" x14ac:dyDescent="0.3">
      <c r="A196" s="2">
        <v>9207</v>
      </c>
      <c r="B196" s="4">
        <v>85901.31</v>
      </c>
    </row>
    <row r="197" spans="1:2" x14ac:dyDescent="0.3">
      <c r="A197" s="2">
        <v>2783</v>
      </c>
      <c r="B197" s="4">
        <v>1216727.5999999999</v>
      </c>
    </row>
    <row r="198" spans="1:2" x14ac:dyDescent="0.3">
      <c r="A198" s="2">
        <v>3162</v>
      </c>
      <c r="B198" s="4">
        <v>487137.72000000003</v>
      </c>
    </row>
    <row r="199" spans="1:2" x14ac:dyDescent="0.3">
      <c r="A199" s="2">
        <v>6130</v>
      </c>
      <c r="B199" s="4">
        <v>3991917.3000000003</v>
      </c>
    </row>
    <row r="200" spans="1:2" x14ac:dyDescent="0.3">
      <c r="A200" s="2">
        <v>4503</v>
      </c>
      <c r="B200" s="4">
        <v>926267.1</v>
      </c>
    </row>
    <row r="201" spans="1:2" x14ac:dyDescent="0.3">
      <c r="A201" s="2">
        <v>3131</v>
      </c>
      <c r="B201" s="4">
        <v>477727.98000000004</v>
      </c>
    </row>
    <row r="202" spans="1:2" x14ac:dyDescent="0.3">
      <c r="A202" s="2">
        <v>3894</v>
      </c>
      <c r="B202" s="4">
        <v>599909.64</v>
      </c>
    </row>
    <row r="203" spans="1:2" x14ac:dyDescent="0.3">
      <c r="A203" s="2">
        <v>703</v>
      </c>
      <c r="B203" s="4">
        <v>33357.35</v>
      </c>
    </row>
    <row r="204" spans="1:2" x14ac:dyDescent="0.3">
      <c r="A204" s="2">
        <v>4499</v>
      </c>
      <c r="B204" s="4">
        <v>1148504.72</v>
      </c>
    </row>
    <row r="205" spans="1:2" x14ac:dyDescent="0.3">
      <c r="A205" s="2">
        <v>8257</v>
      </c>
      <c r="B205" s="4">
        <v>902324.96</v>
      </c>
    </row>
    <row r="206" spans="1:2" x14ac:dyDescent="0.3">
      <c r="A206" s="2">
        <v>1982</v>
      </c>
      <c r="B206" s="4">
        <v>836185.98</v>
      </c>
    </row>
    <row r="207" spans="1:2" x14ac:dyDescent="0.3">
      <c r="A207" s="2">
        <v>7710</v>
      </c>
      <c r="B207" s="4">
        <v>71934.3</v>
      </c>
    </row>
    <row r="208" spans="1:2" x14ac:dyDescent="0.3">
      <c r="A208" s="2">
        <v>4507</v>
      </c>
      <c r="B208" s="4">
        <v>42050.31</v>
      </c>
    </row>
    <row r="209" spans="1:2" x14ac:dyDescent="0.3">
      <c r="A209" s="2">
        <v>3474</v>
      </c>
      <c r="B209" s="4">
        <v>1518832.8</v>
      </c>
    </row>
    <row r="210" spans="1:2" x14ac:dyDescent="0.3">
      <c r="A210" s="2">
        <v>2739</v>
      </c>
      <c r="B210" s="4">
        <v>563412.29999999993</v>
      </c>
    </row>
    <row r="211" spans="1:2" x14ac:dyDescent="0.3">
      <c r="A211" s="2">
        <v>2463</v>
      </c>
      <c r="B211" s="4">
        <v>269156.64</v>
      </c>
    </row>
    <row r="212" spans="1:2" x14ac:dyDescent="0.3">
      <c r="A212" s="2">
        <v>9840</v>
      </c>
      <c r="B212" s="4">
        <v>2511955.2000000002</v>
      </c>
    </row>
    <row r="213" spans="1:2" x14ac:dyDescent="0.3">
      <c r="A213" s="2">
        <v>4093</v>
      </c>
      <c r="B213" s="4">
        <v>38187.69</v>
      </c>
    </row>
    <row r="214" spans="1:2" x14ac:dyDescent="0.3">
      <c r="A214" s="2">
        <v>1476</v>
      </c>
      <c r="B214" s="4">
        <v>227392.56</v>
      </c>
    </row>
    <row r="215" spans="1:2" x14ac:dyDescent="0.3">
      <c r="A215" s="2">
        <v>276</v>
      </c>
      <c r="B215" s="4">
        <v>22557.48</v>
      </c>
    </row>
    <row r="216" spans="1:2" x14ac:dyDescent="0.3">
      <c r="A216" s="2">
        <v>5810</v>
      </c>
      <c r="B216" s="4">
        <v>2451180.9</v>
      </c>
    </row>
    <row r="217" spans="1:2" x14ac:dyDescent="0.3">
      <c r="A217" s="2">
        <v>5427</v>
      </c>
      <c r="B217" s="4">
        <v>836083.62</v>
      </c>
    </row>
    <row r="218" spans="1:2" x14ac:dyDescent="0.3">
      <c r="A218" s="2">
        <v>3507</v>
      </c>
      <c r="B218" s="4">
        <v>2283793.4700000002</v>
      </c>
    </row>
    <row r="219" spans="1:2" x14ac:dyDescent="0.3">
      <c r="A219" s="2">
        <v>6460</v>
      </c>
      <c r="B219" s="4">
        <v>306527</v>
      </c>
    </row>
    <row r="220" spans="1:2" x14ac:dyDescent="0.3">
      <c r="A220" s="2">
        <v>7730</v>
      </c>
      <c r="B220" s="4">
        <v>1973314.4</v>
      </c>
    </row>
    <row r="221" spans="1:2" x14ac:dyDescent="0.3">
      <c r="A221" s="2">
        <v>2789</v>
      </c>
      <c r="B221" s="4">
        <v>1176651.21</v>
      </c>
    </row>
    <row r="222" spans="1:2" x14ac:dyDescent="0.3">
      <c r="A222" s="2">
        <v>4144</v>
      </c>
      <c r="B222" s="4">
        <v>338689.12</v>
      </c>
    </row>
    <row r="223" spans="1:2" x14ac:dyDescent="0.3">
      <c r="A223" s="2">
        <v>6329</v>
      </c>
      <c r="B223" s="4">
        <v>1615667.12</v>
      </c>
    </row>
    <row r="224" spans="1:2" x14ac:dyDescent="0.3">
      <c r="A224" s="2">
        <v>912</v>
      </c>
      <c r="B224" s="4">
        <v>609462.24</v>
      </c>
    </row>
    <row r="225" spans="1:2" x14ac:dyDescent="0.3">
      <c r="A225" s="2">
        <v>1492</v>
      </c>
      <c r="B225" s="4">
        <v>306904.39999999997</v>
      </c>
    </row>
    <row r="226" spans="1:2" x14ac:dyDescent="0.3">
      <c r="A226" s="2">
        <v>8699</v>
      </c>
      <c r="B226" s="4">
        <v>1789384.2999999998</v>
      </c>
    </row>
    <row r="227" spans="1:2" x14ac:dyDescent="0.3">
      <c r="A227" s="2">
        <v>5193</v>
      </c>
      <c r="B227" s="4">
        <v>1068200.0999999999</v>
      </c>
    </row>
    <row r="228" spans="1:2" x14ac:dyDescent="0.3">
      <c r="A228" s="2">
        <v>668</v>
      </c>
      <c r="B228" s="4">
        <v>446404.36</v>
      </c>
    </row>
    <row r="229" spans="1:2" x14ac:dyDescent="0.3">
      <c r="A229" s="2">
        <v>6847</v>
      </c>
      <c r="B229" s="4">
        <v>2993508.4</v>
      </c>
    </row>
    <row r="230" spans="1:2" x14ac:dyDescent="0.3">
      <c r="A230" s="2">
        <v>2485</v>
      </c>
      <c r="B230" s="4">
        <v>511164.5</v>
      </c>
    </row>
    <row r="231" spans="1:2" x14ac:dyDescent="0.3">
      <c r="A231" s="2">
        <v>8367</v>
      </c>
      <c r="B231" s="4">
        <v>1289020.02</v>
      </c>
    </row>
    <row r="232" spans="1:2" x14ac:dyDescent="0.3">
      <c r="A232" s="2">
        <v>2312</v>
      </c>
      <c r="B232" s="4">
        <v>1505597.52</v>
      </c>
    </row>
    <row r="233" spans="1:2" x14ac:dyDescent="0.3">
      <c r="A233" s="2">
        <v>4168</v>
      </c>
      <c r="B233" s="4">
        <v>1822249.5999999999</v>
      </c>
    </row>
    <row r="234" spans="1:2" x14ac:dyDescent="0.3">
      <c r="A234" s="2">
        <v>815</v>
      </c>
      <c r="B234" s="4">
        <v>89063.2</v>
      </c>
    </row>
    <row r="235" spans="1:2" x14ac:dyDescent="0.3">
      <c r="A235" s="2">
        <v>1163</v>
      </c>
      <c r="B235" s="4">
        <v>296890.64</v>
      </c>
    </row>
    <row r="236" spans="1:2" x14ac:dyDescent="0.3">
      <c r="A236" s="2">
        <v>1156</v>
      </c>
      <c r="B236" s="4">
        <v>54852.200000000004</v>
      </c>
    </row>
    <row r="237" spans="1:2" x14ac:dyDescent="0.3">
      <c r="A237" s="2">
        <v>8767</v>
      </c>
      <c r="B237" s="4">
        <v>1803371.9</v>
      </c>
    </row>
    <row r="238" spans="1:2" x14ac:dyDescent="0.3">
      <c r="A238" s="2">
        <v>9000</v>
      </c>
      <c r="B238" s="4">
        <v>5860890</v>
      </c>
    </row>
    <row r="239" spans="1:2" x14ac:dyDescent="0.3">
      <c r="A239" s="2">
        <v>8893</v>
      </c>
      <c r="B239" s="4">
        <v>1370055.58</v>
      </c>
    </row>
    <row r="240" spans="1:2" x14ac:dyDescent="0.3">
      <c r="A240" s="2">
        <v>2512</v>
      </c>
      <c r="B240" s="4">
        <v>1059787.68</v>
      </c>
    </row>
    <row r="241" spans="1:2" x14ac:dyDescent="0.3">
      <c r="A241" s="2">
        <v>5955</v>
      </c>
      <c r="B241" s="4">
        <v>917427.3</v>
      </c>
    </row>
    <row r="242" spans="1:2" x14ac:dyDescent="0.3">
      <c r="A242" s="2">
        <v>2354</v>
      </c>
      <c r="B242" s="4">
        <v>21962.82</v>
      </c>
    </row>
    <row r="243" spans="1:2" x14ac:dyDescent="0.3">
      <c r="A243" s="2">
        <v>6869</v>
      </c>
      <c r="B243" s="4">
        <v>2897962.4099999997</v>
      </c>
    </row>
    <row r="244" spans="1:2" x14ac:dyDescent="0.3">
      <c r="A244" s="2">
        <v>1692</v>
      </c>
      <c r="B244" s="4">
        <v>260669.52</v>
      </c>
    </row>
    <row r="245" spans="1:2" x14ac:dyDescent="0.3">
      <c r="A245" s="2">
        <v>1047</v>
      </c>
      <c r="B245" s="4">
        <v>49680.15</v>
      </c>
    </row>
    <row r="246" spans="1:2" x14ac:dyDescent="0.3">
      <c r="A246" s="2">
        <v>6189</v>
      </c>
      <c r="B246" s="4">
        <v>4030338.6900000004</v>
      </c>
    </row>
    <row r="247" spans="1:2" x14ac:dyDescent="0.3">
      <c r="A247" s="2">
        <v>404</v>
      </c>
      <c r="B247" s="4">
        <v>269981.08</v>
      </c>
    </row>
    <row r="248" spans="1:2" x14ac:dyDescent="0.3">
      <c r="A248" s="2">
        <v>4010</v>
      </c>
      <c r="B248" s="4">
        <v>438212.8</v>
      </c>
    </row>
    <row r="249" spans="1:2" x14ac:dyDescent="0.3">
      <c r="A249" s="2">
        <v>9354</v>
      </c>
      <c r="B249" s="4">
        <v>87272.82</v>
      </c>
    </row>
    <row r="250" spans="1:2" x14ac:dyDescent="0.3">
      <c r="A250" s="2">
        <v>5818</v>
      </c>
      <c r="B250" s="4">
        <v>54281.94</v>
      </c>
    </row>
    <row r="251" spans="1:2" x14ac:dyDescent="0.3">
      <c r="A251" s="2">
        <v>4811</v>
      </c>
      <c r="B251" s="4">
        <v>2103369.1999999997</v>
      </c>
    </row>
    <row r="252" spans="1:2" x14ac:dyDescent="0.3">
      <c r="A252" s="2">
        <v>4777</v>
      </c>
      <c r="B252" s="4">
        <v>728874.66</v>
      </c>
    </row>
    <row r="253" spans="1:2" x14ac:dyDescent="0.3">
      <c r="A253" s="2">
        <v>6189</v>
      </c>
      <c r="B253" s="4">
        <v>2611077.21</v>
      </c>
    </row>
    <row r="254" spans="1:2" x14ac:dyDescent="0.3">
      <c r="A254" s="2">
        <v>6552</v>
      </c>
      <c r="B254" s="4">
        <v>310892.40000000002</v>
      </c>
    </row>
    <row r="255" spans="1:2" x14ac:dyDescent="0.3">
      <c r="A255" s="2">
        <v>5402</v>
      </c>
      <c r="B255" s="4">
        <v>2361754.4</v>
      </c>
    </row>
    <row r="256" spans="1:2" x14ac:dyDescent="0.3">
      <c r="A256" s="2">
        <v>9307</v>
      </c>
      <c r="B256" s="4">
        <v>1420062.06</v>
      </c>
    </row>
    <row r="257" spans="1:2" x14ac:dyDescent="0.3">
      <c r="A257" s="2">
        <v>6864</v>
      </c>
      <c r="B257" s="4">
        <v>1047309.1200000001</v>
      </c>
    </row>
    <row r="258" spans="1:2" x14ac:dyDescent="0.3">
      <c r="A258" s="2">
        <v>3705</v>
      </c>
      <c r="B258" s="4">
        <v>302809.65000000002</v>
      </c>
    </row>
    <row r="259" spans="1:2" x14ac:dyDescent="0.3">
      <c r="A259" s="2">
        <v>7490</v>
      </c>
      <c r="B259" s="4">
        <v>355400.5</v>
      </c>
    </row>
    <row r="260" spans="1:2" x14ac:dyDescent="0.3">
      <c r="A260" s="2">
        <v>2911</v>
      </c>
      <c r="B260" s="4">
        <v>743120.08</v>
      </c>
    </row>
    <row r="261" spans="1:2" x14ac:dyDescent="0.3">
      <c r="A261" s="2">
        <v>6692</v>
      </c>
      <c r="B261" s="4">
        <v>2823287.88</v>
      </c>
    </row>
    <row r="262" spans="1:2" x14ac:dyDescent="0.3">
      <c r="A262" s="2">
        <v>2589</v>
      </c>
      <c r="B262" s="4">
        <v>1092273.21</v>
      </c>
    </row>
    <row r="263" spans="1:2" x14ac:dyDescent="0.3">
      <c r="A263" s="2">
        <v>6386</v>
      </c>
      <c r="B263" s="4">
        <v>521927.78</v>
      </c>
    </row>
    <row r="264" spans="1:2" x14ac:dyDescent="0.3">
      <c r="A264" s="2">
        <v>903</v>
      </c>
      <c r="B264" s="4">
        <v>380966.67</v>
      </c>
    </row>
    <row r="265" spans="1:2" x14ac:dyDescent="0.3">
      <c r="A265" s="2">
        <v>986</v>
      </c>
      <c r="B265" s="4">
        <v>107750.08</v>
      </c>
    </row>
    <row r="266" spans="1:2" x14ac:dyDescent="0.3">
      <c r="A266" s="2">
        <v>8516</v>
      </c>
      <c r="B266" s="4">
        <v>404084.2</v>
      </c>
    </row>
    <row r="267" spans="1:2" x14ac:dyDescent="0.3">
      <c r="A267" s="2">
        <v>7405</v>
      </c>
      <c r="B267" s="4">
        <v>4822210.05</v>
      </c>
    </row>
    <row r="268" spans="1:2" x14ac:dyDescent="0.3">
      <c r="A268" s="2">
        <v>8594</v>
      </c>
      <c r="B268" s="4">
        <v>5743112.3799999999</v>
      </c>
    </row>
    <row r="269" spans="1:2" x14ac:dyDescent="0.3">
      <c r="A269" s="2">
        <v>5057</v>
      </c>
      <c r="B269" s="4">
        <v>552628.96</v>
      </c>
    </row>
    <row r="270" spans="1:2" x14ac:dyDescent="0.3">
      <c r="A270" s="2">
        <v>6799</v>
      </c>
      <c r="B270" s="4">
        <v>1398554.2999999998</v>
      </c>
    </row>
    <row r="271" spans="1:2" x14ac:dyDescent="0.3">
      <c r="A271" s="2">
        <v>5857</v>
      </c>
      <c r="B271" s="4">
        <v>3914057.3899999997</v>
      </c>
    </row>
    <row r="272" spans="1:2" x14ac:dyDescent="0.3">
      <c r="A272" s="2">
        <v>1297</v>
      </c>
      <c r="B272" s="4">
        <v>106003.81000000001</v>
      </c>
    </row>
    <row r="273" spans="1:2" x14ac:dyDescent="0.3">
      <c r="A273" s="2">
        <v>4219</v>
      </c>
      <c r="B273" s="4">
        <v>461052.32</v>
      </c>
    </row>
    <row r="274" spans="1:2" x14ac:dyDescent="0.3">
      <c r="A274" s="2">
        <v>2751</v>
      </c>
      <c r="B274" s="4">
        <v>1202737.2</v>
      </c>
    </row>
    <row r="275" spans="1:2" x14ac:dyDescent="0.3">
      <c r="A275" s="2">
        <v>7056</v>
      </c>
      <c r="B275" s="4">
        <v>4594937.7600000007</v>
      </c>
    </row>
    <row r="276" spans="1:2" x14ac:dyDescent="0.3">
      <c r="A276" s="2">
        <v>4325</v>
      </c>
      <c r="B276" s="4">
        <v>1824674.25</v>
      </c>
    </row>
    <row r="277" spans="1:2" x14ac:dyDescent="0.3">
      <c r="A277" s="2">
        <v>3783</v>
      </c>
      <c r="B277" s="4">
        <v>179503.35</v>
      </c>
    </row>
    <row r="278" spans="1:2" x14ac:dyDescent="0.3">
      <c r="A278" s="2">
        <v>1684</v>
      </c>
      <c r="B278" s="4">
        <v>259437.04</v>
      </c>
    </row>
    <row r="279" spans="1:2" x14ac:dyDescent="0.3">
      <c r="A279" s="2">
        <v>6314</v>
      </c>
      <c r="B279" s="4">
        <v>1298789.7999999998</v>
      </c>
    </row>
    <row r="280" spans="1:2" x14ac:dyDescent="0.3">
      <c r="A280" s="2">
        <v>2991</v>
      </c>
      <c r="B280" s="4">
        <v>326856.48</v>
      </c>
    </row>
    <row r="281" spans="1:2" x14ac:dyDescent="0.3">
      <c r="A281" s="2">
        <v>9063</v>
      </c>
      <c r="B281" s="4">
        <v>740718.99</v>
      </c>
    </row>
    <row r="282" spans="1:2" x14ac:dyDescent="0.3">
      <c r="A282" s="2">
        <v>8910</v>
      </c>
      <c r="B282" s="4">
        <v>1359487.8</v>
      </c>
    </row>
    <row r="283" spans="1:2" x14ac:dyDescent="0.3">
      <c r="A283" s="2">
        <v>8943</v>
      </c>
      <c r="B283" s="4">
        <v>977291.04</v>
      </c>
    </row>
    <row r="284" spans="1:2" x14ac:dyDescent="0.3">
      <c r="A284" s="2">
        <v>2606</v>
      </c>
      <c r="B284" s="4">
        <v>1697053.26</v>
      </c>
    </row>
    <row r="285" spans="1:2" x14ac:dyDescent="0.3">
      <c r="A285" s="2">
        <v>5370</v>
      </c>
      <c r="B285" s="4">
        <v>819354.60000000009</v>
      </c>
    </row>
    <row r="286" spans="1:2" x14ac:dyDescent="0.3">
      <c r="A286" s="2">
        <v>9742</v>
      </c>
      <c r="B286" s="4">
        <v>2486937.7600000002</v>
      </c>
    </row>
    <row r="287" spans="1:2" x14ac:dyDescent="0.3">
      <c r="A287" s="2">
        <v>257</v>
      </c>
      <c r="B287" s="4">
        <v>171745.38999999998</v>
      </c>
    </row>
    <row r="288" spans="1:2" x14ac:dyDescent="0.3">
      <c r="A288" s="2">
        <v>8483</v>
      </c>
      <c r="B288" s="4">
        <v>927022.24</v>
      </c>
    </row>
    <row r="289" spans="1:2" x14ac:dyDescent="0.3">
      <c r="A289" s="2">
        <v>8018</v>
      </c>
      <c r="B289" s="4">
        <v>380454.10000000003</v>
      </c>
    </row>
    <row r="290" spans="1:2" x14ac:dyDescent="0.3">
      <c r="A290" s="2">
        <v>9493</v>
      </c>
      <c r="B290" s="4">
        <v>450442.85000000003</v>
      </c>
    </row>
    <row r="291" spans="1:2" x14ac:dyDescent="0.3">
      <c r="A291" s="2">
        <v>5567</v>
      </c>
      <c r="B291" s="4">
        <v>1145131.8999999999</v>
      </c>
    </row>
    <row r="292" spans="1:2" x14ac:dyDescent="0.3">
      <c r="A292" s="2">
        <v>5935</v>
      </c>
      <c r="B292" s="4">
        <v>1220829.5</v>
      </c>
    </row>
    <row r="293" spans="1:2" x14ac:dyDescent="0.3">
      <c r="A293" s="2">
        <v>2319</v>
      </c>
      <c r="B293" s="4">
        <v>1013866.7999999999</v>
      </c>
    </row>
    <row r="294" spans="1:2" x14ac:dyDescent="0.3">
      <c r="A294" s="2">
        <v>3474</v>
      </c>
      <c r="B294" s="4">
        <v>530062.92000000004</v>
      </c>
    </row>
    <row r="295" spans="1:2" x14ac:dyDescent="0.3">
      <c r="A295" s="2">
        <v>187</v>
      </c>
      <c r="B295" s="4">
        <v>81756.399999999994</v>
      </c>
    </row>
    <row r="296" spans="1:2" x14ac:dyDescent="0.3">
      <c r="A296" s="2">
        <v>274</v>
      </c>
      <c r="B296" s="4">
        <v>178431.54</v>
      </c>
    </row>
    <row r="297" spans="1:2" x14ac:dyDescent="0.3">
      <c r="A297" s="2">
        <v>3585</v>
      </c>
      <c r="B297" s="4">
        <v>2395747.9499999997</v>
      </c>
    </row>
    <row r="298" spans="1:2" x14ac:dyDescent="0.3">
      <c r="A298" s="2">
        <v>6999</v>
      </c>
      <c r="B298" s="4">
        <v>1786704.72</v>
      </c>
    </row>
    <row r="299" spans="1:2" x14ac:dyDescent="0.3">
      <c r="A299" s="2">
        <v>9428</v>
      </c>
      <c r="B299" s="4">
        <v>4121921.6</v>
      </c>
    </row>
    <row r="300" spans="1:2" x14ac:dyDescent="0.3">
      <c r="A300" s="2">
        <v>6813</v>
      </c>
      <c r="B300" s="4">
        <v>2978643.6</v>
      </c>
    </row>
    <row r="301" spans="1:2" x14ac:dyDescent="0.3">
      <c r="A301" s="2">
        <v>7129</v>
      </c>
      <c r="B301" s="4">
        <v>4764096.83</v>
      </c>
    </row>
    <row r="302" spans="1:2" x14ac:dyDescent="0.3">
      <c r="A302" s="2">
        <v>5380</v>
      </c>
      <c r="B302" s="4">
        <v>439707.4</v>
      </c>
    </row>
    <row r="303" spans="1:2" x14ac:dyDescent="0.3">
      <c r="A303" s="2">
        <v>8602</v>
      </c>
      <c r="B303" s="4">
        <v>80256.66</v>
      </c>
    </row>
    <row r="304" spans="1:2" x14ac:dyDescent="0.3">
      <c r="A304" s="2">
        <v>864</v>
      </c>
      <c r="B304" s="4">
        <v>562645.44000000006</v>
      </c>
    </row>
    <row r="305" spans="1:2" x14ac:dyDescent="0.3">
      <c r="A305" s="2">
        <v>8263</v>
      </c>
      <c r="B305" s="4">
        <v>3486077.07</v>
      </c>
    </row>
    <row r="306" spans="1:2" x14ac:dyDescent="0.3">
      <c r="A306" s="2">
        <v>3929</v>
      </c>
      <c r="B306" s="4">
        <v>599486.82000000007</v>
      </c>
    </row>
    <row r="307" spans="1:2" x14ac:dyDescent="0.3">
      <c r="A307" s="2">
        <v>3024</v>
      </c>
      <c r="B307" s="4">
        <v>330462.72000000003</v>
      </c>
    </row>
    <row r="308" spans="1:2" x14ac:dyDescent="0.3">
      <c r="A308" s="2">
        <v>7740</v>
      </c>
      <c r="B308" s="4">
        <v>3265428.6</v>
      </c>
    </row>
    <row r="309" spans="1:2" x14ac:dyDescent="0.3">
      <c r="A309" s="2">
        <v>2300</v>
      </c>
      <c r="B309" s="4">
        <v>1005560</v>
      </c>
    </row>
    <row r="310" spans="1:2" x14ac:dyDescent="0.3">
      <c r="A310" s="2">
        <v>7960</v>
      </c>
      <c r="B310" s="4">
        <v>2032028.8</v>
      </c>
    </row>
    <row r="311" spans="1:2" x14ac:dyDescent="0.3">
      <c r="A311" s="2">
        <v>8005</v>
      </c>
      <c r="B311" s="4">
        <v>874786.4</v>
      </c>
    </row>
    <row r="312" spans="1:2" x14ac:dyDescent="0.3">
      <c r="A312" s="2">
        <v>2753</v>
      </c>
      <c r="B312" s="4">
        <v>225002.69</v>
      </c>
    </row>
    <row r="313" spans="1:2" x14ac:dyDescent="0.3">
      <c r="A313" s="2">
        <v>4552</v>
      </c>
      <c r="B313" s="4">
        <v>936346.39999999991</v>
      </c>
    </row>
    <row r="314" spans="1:2" x14ac:dyDescent="0.3">
      <c r="A314" s="2">
        <v>2783</v>
      </c>
      <c r="B314" s="4">
        <v>25965.39</v>
      </c>
    </row>
    <row r="315" spans="1:2" x14ac:dyDescent="0.3">
      <c r="A315" s="2">
        <v>8857</v>
      </c>
      <c r="B315" s="4">
        <v>723882.61</v>
      </c>
    </row>
    <row r="316" spans="1:2" x14ac:dyDescent="0.3">
      <c r="A316" s="2">
        <v>1215</v>
      </c>
      <c r="B316" s="4">
        <v>185384.7</v>
      </c>
    </row>
    <row r="317" spans="1:2" x14ac:dyDescent="0.3">
      <c r="A317" s="2">
        <v>333</v>
      </c>
      <c r="B317" s="4">
        <v>216852.93000000002</v>
      </c>
    </row>
    <row r="318" spans="1:2" x14ac:dyDescent="0.3">
      <c r="A318" s="2">
        <v>3713</v>
      </c>
      <c r="B318" s="4">
        <v>566529.54</v>
      </c>
    </row>
    <row r="319" spans="1:2" x14ac:dyDescent="0.3">
      <c r="A319" s="2">
        <v>893</v>
      </c>
      <c r="B319" s="4">
        <v>581530.53</v>
      </c>
    </row>
    <row r="320" spans="1:2" x14ac:dyDescent="0.3">
      <c r="A320" s="2">
        <v>8440</v>
      </c>
      <c r="B320" s="4">
        <v>689801.20000000007</v>
      </c>
    </row>
    <row r="321" spans="1:2" x14ac:dyDescent="0.3">
      <c r="A321" s="2">
        <v>4953</v>
      </c>
      <c r="B321" s="4">
        <v>763059.18</v>
      </c>
    </row>
    <row r="322" spans="1:2" x14ac:dyDescent="0.3">
      <c r="A322" s="2">
        <v>6061</v>
      </c>
      <c r="B322" s="4">
        <v>1547252.08</v>
      </c>
    </row>
    <row r="323" spans="1:2" x14ac:dyDescent="0.3">
      <c r="A323" s="2">
        <v>9426</v>
      </c>
      <c r="B323" s="4">
        <v>3976735.1399999997</v>
      </c>
    </row>
    <row r="324" spans="1:2" x14ac:dyDescent="0.3">
      <c r="A324" s="2">
        <v>9740</v>
      </c>
      <c r="B324" s="4">
        <v>462163</v>
      </c>
    </row>
    <row r="325" spans="1:2" x14ac:dyDescent="0.3">
      <c r="A325" s="2">
        <v>3726</v>
      </c>
      <c r="B325" s="4">
        <v>766438.2</v>
      </c>
    </row>
    <row r="326" spans="1:2" x14ac:dyDescent="0.3">
      <c r="A326" s="2">
        <v>5140</v>
      </c>
      <c r="B326" s="4">
        <v>243893.00000000003</v>
      </c>
    </row>
    <row r="327" spans="1:2" x14ac:dyDescent="0.3">
      <c r="A327" s="2">
        <v>9768</v>
      </c>
      <c r="B327" s="4">
        <v>2493575.04</v>
      </c>
    </row>
    <row r="328" spans="1:2" x14ac:dyDescent="0.3">
      <c r="A328" s="2">
        <v>427</v>
      </c>
      <c r="B328" s="4">
        <v>186684.4</v>
      </c>
    </row>
    <row r="329" spans="1:2" x14ac:dyDescent="0.3">
      <c r="A329" s="2">
        <v>1965</v>
      </c>
      <c r="B329" s="4">
        <v>299819.7</v>
      </c>
    </row>
    <row r="330" spans="1:2" x14ac:dyDescent="0.3">
      <c r="A330" s="2">
        <v>6263</v>
      </c>
      <c r="B330" s="4">
        <v>684420.64</v>
      </c>
    </row>
    <row r="331" spans="1:2" x14ac:dyDescent="0.3">
      <c r="A331" s="2">
        <v>7232</v>
      </c>
      <c r="B331" s="4">
        <v>3161830.4</v>
      </c>
    </row>
    <row r="332" spans="1:2" x14ac:dyDescent="0.3">
      <c r="A332" s="2">
        <v>5813</v>
      </c>
      <c r="B332" s="4">
        <v>2452446.5699999998</v>
      </c>
    </row>
    <row r="333" spans="1:2" x14ac:dyDescent="0.3">
      <c r="A333" s="2">
        <v>4982</v>
      </c>
      <c r="B333" s="4">
        <v>236395.90000000002</v>
      </c>
    </row>
    <row r="334" spans="1:2" x14ac:dyDescent="0.3">
      <c r="A334" s="2">
        <v>4742</v>
      </c>
      <c r="B334" s="4">
        <v>723534.3600000001</v>
      </c>
    </row>
    <row r="335" spans="1:2" x14ac:dyDescent="0.3">
      <c r="A335" s="2">
        <v>7129</v>
      </c>
      <c r="B335" s="4">
        <v>3116798.8</v>
      </c>
    </row>
    <row r="336" spans="1:2" x14ac:dyDescent="0.3">
      <c r="A336" s="2">
        <v>1212</v>
      </c>
      <c r="B336" s="4">
        <v>249308.4</v>
      </c>
    </row>
    <row r="337" spans="1:2" x14ac:dyDescent="0.3">
      <c r="A337" s="2">
        <v>8088</v>
      </c>
      <c r="B337" s="4">
        <v>3412246.32</v>
      </c>
    </row>
    <row r="338" spans="1:2" x14ac:dyDescent="0.3">
      <c r="A338" s="2">
        <v>5889</v>
      </c>
      <c r="B338" s="4">
        <v>907259.34</v>
      </c>
    </row>
    <row r="339" spans="1:2" x14ac:dyDescent="0.3">
      <c r="A339" s="2">
        <v>4773</v>
      </c>
      <c r="B339" s="4">
        <v>735328.38</v>
      </c>
    </row>
    <row r="340" spans="1:2" x14ac:dyDescent="0.3">
      <c r="A340" s="2">
        <v>1935</v>
      </c>
      <c r="B340" s="4">
        <v>18053.55</v>
      </c>
    </row>
    <row r="341" spans="1:2" x14ac:dyDescent="0.3">
      <c r="A341" s="2">
        <v>6598</v>
      </c>
      <c r="B341" s="4">
        <v>721029.44000000006</v>
      </c>
    </row>
    <row r="342" spans="1:2" x14ac:dyDescent="0.3">
      <c r="A342" s="2">
        <v>5017</v>
      </c>
      <c r="B342" s="4">
        <v>2116622.13</v>
      </c>
    </row>
    <row r="343" spans="1:2" x14ac:dyDescent="0.3">
      <c r="A343" s="2">
        <v>5477</v>
      </c>
      <c r="B343" s="4">
        <v>598526.56000000006</v>
      </c>
    </row>
    <row r="344" spans="1:2" x14ac:dyDescent="0.3">
      <c r="A344" s="2">
        <v>3296</v>
      </c>
      <c r="B344" s="4">
        <v>1441011.2</v>
      </c>
    </row>
    <row r="345" spans="1:2" x14ac:dyDescent="0.3">
      <c r="A345" s="2">
        <v>5823</v>
      </c>
      <c r="B345" s="4">
        <v>1486495.44</v>
      </c>
    </row>
    <row r="346" spans="1:2" x14ac:dyDescent="0.3">
      <c r="A346" s="2">
        <v>7438</v>
      </c>
      <c r="B346" s="4">
        <v>3138017.82</v>
      </c>
    </row>
    <row r="347" spans="1:2" x14ac:dyDescent="0.3">
      <c r="A347" s="2">
        <v>4552</v>
      </c>
      <c r="B347" s="4">
        <v>497442.56</v>
      </c>
    </row>
    <row r="348" spans="1:2" x14ac:dyDescent="0.3">
      <c r="A348" s="2">
        <v>606</v>
      </c>
      <c r="B348" s="4">
        <v>124654.2</v>
      </c>
    </row>
    <row r="349" spans="1:2" x14ac:dyDescent="0.3">
      <c r="A349" s="2">
        <v>1076</v>
      </c>
      <c r="B349" s="4">
        <v>165768.56</v>
      </c>
    </row>
    <row r="350" spans="1:2" x14ac:dyDescent="0.3">
      <c r="A350" s="2">
        <v>8465</v>
      </c>
      <c r="B350" s="4">
        <v>3571298.85</v>
      </c>
    </row>
    <row r="351" spans="1:2" x14ac:dyDescent="0.3">
      <c r="A351" s="2">
        <v>7311</v>
      </c>
      <c r="B351" s="4">
        <v>3084437.79</v>
      </c>
    </row>
    <row r="352" spans="1:2" x14ac:dyDescent="0.3">
      <c r="A352" s="2">
        <v>9179</v>
      </c>
      <c r="B352" s="4">
        <v>4013058.8</v>
      </c>
    </row>
    <row r="353" spans="1:2" x14ac:dyDescent="0.3">
      <c r="A353" s="2">
        <v>7669</v>
      </c>
      <c r="B353" s="4">
        <v>1957742.32</v>
      </c>
    </row>
    <row r="354" spans="1:2" x14ac:dyDescent="0.3">
      <c r="A354" s="2">
        <v>3411</v>
      </c>
      <c r="B354" s="4">
        <v>161851.95000000001</v>
      </c>
    </row>
    <row r="355" spans="1:2" x14ac:dyDescent="0.3">
      <c r="A355" s="2">
        <v>9066</v>
      </c>
      <c r="B355" s="4">
        <v>84585.78</v>
      </c>
    </row>
    <row r="356" spans="1:2" x14ac:dyDescent="0.3">
      <c r="A356" s="2">
        <v>4326</v>
      </c>
      <c r="B356" s="4">
        <v>353563.98000000004</v>
      </c>
    </row>
    <row r="357" spans="1:2" x14ac:dyDescent="0.3">
      <c r="A357" s="2">
        <v>915</v>
      </c>
      <c r="B357" s="4">
        <v>8536.9500000000007</v>
      </c>
    </row>
    <row r="358" spans="1:2" x14ac:dyDescent="0.3">
      <c r="A358" s="2">
        <v>7588</v>
      </c>
      <c r="B358" s="4">
        <v>829216.64</v>
      </c>
    </row>
    <row r="359" spans="1:2" x14ac:dyDescent="0.3">
      <c r="A359" s="2">
        <v>5131</v>
      </c>
      <c r="B359" s="4">
        <v>1055446.7</v>
      </c>
    </row>
    <row r="360" spans="1:2" x14ac:dyDescent="0.3">
      <c r="A360" s="2">
        <v>1361</v>
      </c>
      <c r="B360" s="4">
        <v>909515.47</v>
      </c>
    </row>
    <row r="361" spans="1:2" x14ac:dyDescent="0.3">
      <c r="A361" s="2">
        <v>6127</v>
      </c>
      <c r="B361" s="4">
        <v>943925.62</v>
      </c>
    </row>
    <row r="362" spans="1:2" x14ac:dyDescent="0.3">
      <c r="A362" s="2">
        <v>6308</v>
      </c>
      <c r="B362" s="4">
        <v>971810.48</v>
      </c>
    </row>
    <row r="363" spans="1:2" x14ac:dyDescent="0.3">
      <c r="A363" s="2">
        <v>817</v>
      </c>
      <c r="B363" s="4">
        <v>532038.57000000007</v>
      </c>
    </row>
    <row r="364" spans="1:2" x14ac:dyDescent="0.3">
      <c r="A364" s="2">
        <v>5595</v>
      </c>
      <c r="B364" s="4">
        <v>457279.35000000003</v>
      </c>
    </row>
    <row r="365" spans="1:2" x14ac:dyDescent="0.3">
      <c r="A365" s="2">
        <v>8616</v>
      </c>
      <c r="B365" s="4">
        <v>3635004.2399999998</v>
      </c>
    </row>
    <row r="366" spans="1:2" x14ac:dyDescent="0.3">
      <c r="A366" s="2">
        <v>4885</v>
      </c>
      <c r="B366" s="4">
        <v>231793.25</v>
      </c>
    </row>
    <row r="367" spans="1:2" x14ac:dyDescent="0.3">
      <c r="A367" s="2">
        <v>1437</v>
      </c>
      <c r="B367" s="4">
        <v>935788.77</v>
      </c>
    </row>
    <row r="368" spans="1:2" x14ac:dyDescent="0.3">
      <c r="A368" s="2">
        <v>2341</v>
      </c>
      <c r="B368" s="4">
        <v>191329.93000000002</v>
      </c>
    </row>
    <row r="369" spans="1:2" x14ac:dyDescent="0.3">
      <c r="A369" s="2">
        <v>3695</v>
      </c>
      <c r="B369" s="4">
        <v>563783.10000000009</v>
      </c>
    </row>
    <row r="370" spans="1:2" x14ac:dyDescent="0.3">
      <c r="A370" s="2">
        <v>8629</v>
      </c>
      <c r="B370" s="4">
        <v>5766501.8300000001</v>
      </c>
    </row>
    <row r="371" spans="1:2" x14ac:dyDescent="0.3">
      <c r="A371" s="2">
        <v>2304</v>
      </c>
      <c r="B371" s="4">
        <v>1007308.7999999999</v>
      </c>
    </row>
    <row r="372" spans="1:2" x14ac:dyDescent="0.3">
      <c r="A372" s="2">
        <v>6912</v>
      </c>
      <c r="B372" s="4">
        <v>1054632.9600000002</v>
      </c>
    </row>
    <row r="373" spans="1:2" x14ac:dyDescent="0.3">
      <c r="A373" s="2">
        <v>6678</v>
      </c>
      <c r="B373" s="4">
        <v>4462707.0599999996</v>
      </c>
    </row>
    <row r="374" spans="1:2" x14ac:dyDescent="0.3">
      <c r="A374" s="2">
        <v>2855</v>
      </c>
      <c r="B374" s="4">
        <v>311994.40000000002</v>
      </c>
    </row>
    <row r="375" spans="1:2" x14ac:dyDescent="0.3">
      <c r="A375" s="2">
        <v>8730</v>
      </c>
      <c r="B375" s="4">
        <v>1795761</v>
      </c>
    </row>
    <row r="376" spans="1:2" x14ac:dyDescent="0.3">
      <c r="A376" s="2">
        <v>4621</v>
      </c>
      <c r="B376" s="4">
        <v>377674.33</v>
      </c>
    </row>
    <row r="377" spans="1:2" x14ac:dyDescent="0.3">
      <c r="A377" s="2">
        <v>2875</v>
      </c>
      <c r="B377" s="4">
        <v>591387.5</v>
      </c>
    </row>
    <row r="378" spans="1:2" x14ac:dyDescent="0.3">
      <c r="A378" s="2">
        <v>2874</v>
      </c>
      <c r="B378" s="4">
        <v>1212511.8599999999</v>
      </c>
    </row>
    <row r="379" spans="1:2" x14ac:dyDescent="0.3">
      <c r="A379" s="2">
        <v>6028</v>
      </c>
      <c r="B379" s="4">
        <v>2635441.6</v>
      </c>
    </row>
    <row r="380" spans="1:2" x14ac:dyDescent="0.3">
      <c r="A380" s="2">
        <v>779</v>
      </c>
      <c r="B380" s="4">
        <v>160240.29999999999</v>
      </c>
    </row>
    <row r="381" spans="1:2" x14ac:dyDescent="0.3">
      <c r="A381" s="2">
        <v>7601</v>
      </c>
      <c r="B381" s="4">
        <v>3206785.8899999997</v>
      </c>
    </row>
    <row r="382" spans="1:2" x14ac:dyDescent="0.3">
      <c r="A382" s="2">
        <v>3999</v>
      </c>
      <c r="B382" s="4">
        <v>1020864.72</v>
      </c>
    </row>
    <row r="383" spans="1:2" x14ac:dyDescent="0.3">
      <c r="A383" s="2">
        <v>9509</v>
      </c>
      <c r="B383" s="4">
        <v>1450883.2200000002</v>
      </c>
    </row>
    <row r="384" spans="1:2" x14ac:dyDescent="0.3">
      <c r="A384" s="2">
        <v>699</v>
      </c>
      <c r="B384" s="4">
        <v>294901.11</v>
      </c>
    </row>
    <row r="385" spans="1:2" x14ac:dyDescent="0.3">
      <c r="A385" s="2">
        <v>6167</v>
      </c>
      <c r="B385" s="4">
        <v>1574311.76</v>
      </c>
    </row>
    <row r="386" spans="1:2" x14ac:dyDescent="0.3">
      <c r="A386" s="2">
        <v>1543</v>
      </c>
      <c r="B386" s="4">
        <v>126109.39</v>
      </c>
    </row>
    <row r="387" spans="1:2" x14ac:dyDescent="0.3">
      <c r="A387" s="2">
        <v>4487</v>
      </c>
      <c r="B387" s="4">
        <v>41863.71</v>
      </c>
    </row>
    <row r="388" spans="1:2" x14ac:dyDescent="0.3">
      <c r="A388" s="2">
        <v>9694</v>
      </c>
      <c r="B388" s="4">
        <v>1994055.7999999998</v>
      </c>
    </row>
    <row r="389" spans="1:2" x14ac:dyDescent="0.3">
      <c r="A389" s="2">
        <v>3885</v>
      </c>
      <c r="B389" s="4">
        <v>592773.30000000005</v>
      </c>
    </row>
    <row r="390" spans="1:2" x14ac:dyDescent="0.3">
      <c r="A390" s="2">
        <v>817</v>
      </c>
      <c r="B390" s="4">
        <v>532038.57000000007</v>
      </c>
    </row>
    <row r="391" spans="1:2" x14ac:dyDescent="0.3">
      <c r="A391" s="2">
        <v>6275</v>
      </c>
      <c r="B391" s="4">
        <v>512855.75</v>
      </c>
    </row>
    <row r="392" spans="1:2" x14ac:dyDescent="0.3">
      <c r="A392" s="2">
        <v>3076</v>
      </c>
      <c r="B392" s="4">
        <v>785241.28</v>
      </c>
    </row>
    <row r="393" spans="1:2" x14ac:dyDescent="0.3">
      <c r="A393" s="2">
        <v>6069</v>
      </c>
      <c r="B393" s="4">
        <v>2653366.7999999998</v>
      </c>
    </row>
    <row r="394" spans="1:2" x14ac:dyDescent="0.3">
      <c r="A394" s="2">
        <v>7135</v>
      </c>
      <c r="B394" s="4">
        <v>779712.8</v>
      </c>
    </row>
    <row r="395" spans="1:2" x14ac:dyDescent="0.3">
      <c r="A395" s="2">
        <v>184</v>
      </c>
      <c r="B395" s="4">
        <v>37848.799999999996</v>
      </c>
    </row>
    <row r="396" spans="1:2" x14ac:dyDescent="0.3">
      <c r="A396" s="2">
        <v>6158</v>
      </c>
      <c r="B396" s="4">
        <v>2597998.62</v>
      </c>
    </row>
    <row r="397" spans="1:2" x14ac:dyDescent="0.3">
      <c r="A397" s="2">
        <v>8031</v>
      </c>
      <c r="B397" s="4">
        <v>1237255.8600000001</v>
      </c>
    </row>
    <row r="398" spans="1:2" x14ac:dyDescent="0.3">
      <c r="A398" s="2">
        <v>5809</v>
      </c>
      <c r="B398" s="4">
        <v>634807.52</v>
      </c>
    </row>
    <row r="399" spans="1:2" x14ac:dyDescent="0.3">
      <c r="A399" s="2">
        <v>1527</v>
      </c>
      <c r="B399" s="4">
        <v>72456.150000000009</v>
      </c>
    </row>
    <row r="400" spans="1:2" x14ac:dyDescent="0.3">
      <c r="A400" s="2">
        <v>4252</v>
      </c>
      <c r="B400" s="4">
        <v>648770.16</v>
      </c>
    </row>
    <row r="401" spans="1:2" x14ac:dyDescent="0.3">
      <c r="A401" s="2">
        <v>5083</v>
      </c>
      <c r="B401" s="4">
        <v>3310100.43</v>
      </c>
    </row>
    <row r="402" spans="1:2" x14ac:dyDescent="0.3">
      <c r="A402" s="2">
        <v>2151</v>
      </c>
      <c r="B402" s="4">
        <v>235061.28</v>
      </c>
    </row>
    <row r="403" spans="1:2" x14ac:dyDescent="0.3">
      <c r="A403" s="2">
        <v>5616</v>
      </c>
      <c r="B403" s="4">
        <v>865200.96</v>
      </c>
    </row>
    <row r="404" spans="1:2" x14ac:dyDescent="0.3">
      <c r="A404" s="2">
        <v>2671</v>
      </c>
      <c r="B404" s="4">
        <v>24920.43</v>
      </c>
    </row>
    <row r="405" spans="1:2" x14ac:dyDescent="0.3">
      <c r="A405" s="2">
        <v>2538</v>
      </c>
      <c r="B405" s="4">
        <v>387248.04000000004</v>
      </c>
    </row>
    <row r="406" spans="1:2" x14ac:dyDescent="0.3">
      <c r="A406" s="2">
        <v>1474</v>
      </c>
      <c r="B406" s="4">
        <v>224902.92</v>
      </c>
    </row>
    <row r="407" spans="1:2" x14ac:dyDescent="0.3">
      <c r="A407" s="2">
        <v>7765</v>
      </c>
      <c r="B407" s="4">
        <v>5189116.55</v>
      </c>
    </row>
    <row r="408" spans="1:2" x14ac:dyDescent="0.3">
      <c r="A408" s="2">
        <v>6727</v>
      </c>
      <c r="B408" s="4">
        <v>1026405.66</v>
      </c>
    </row>
    <row r="409" spans="1:2" x14ac:dyDescent="0.3">
      <c r="A409" s="2">
        <v>5709</v>
      </c>
      <c r="B409" s="4">
        <v>466596.57</v>
      </c>
    </row>
    <row r="410" spans="1:2" x14ac:dyDescent="0.3">
      <c r="A410" s="2">
        <v>9091</v>
      </c>
      <c r="B410" s="4">
        <v>84819.03</v>
      </c>
    </row>
    <row r="411" spans="1:2" x14ac:dyDescent="0.3">
      <c r="A411" s="2">
        <v>3285</v>
      </c>
      <c r="B411" s="4">
        <v>155873.25</v>
      </c>
    </row>
    <row r="412" spans="1:2" x14ac:dyDescent="0.3">
      <c r="A412" s="2">
        <v>1732</v>
      </c>
      <c r="B412" s="4">
        <v>82183.400000000009</v>
      </c>
    </row>
    <row r="413" spans="1:2" x14ac:dyDescent="0.3">
      <c r="A413" s="2">
        <v>9907</v>
      </c>
      <c r="B413" s="4">
        <v>2529058.96</v>
      </c>
    </row>
    <row r="414" spans="1:2" x14ac:dyDescent="0.3">
      <c r="A414" s="2">
        <v>314</v>
      </c>
      <c r="B414" s="4">
        <v>2929.62</v>
      </c>
    </row>
    <row r="415" spans="1:2" x14ac:dyDescent="0.3">
      <c r="A415" s="2">
        <v>7489</v>
      </c>
      <c r="B415" s="4">
        <v>3159534.21</v>
      </c>
    </row>
    <row r="416" spans="1:2" x14ac:dyDescent="0.3">
      <c r="A416" s="2">
        <v>3000</v>
      </c>
      <c r="B416" s="4">
        <v>2004810</v>
      </c>
    </row>
    <row r="417" spans="1:2" x14ac:dyDescent="0.3">
      <c r="A417" s="2">
        <v>445</v>
      </c>
      <c r="B417" s="4">
        <v>4151.8500000000004</v>
      </c>
    </row>
    <row r="418" spans="1:2" x14ac:dyDescent="0.3">
      <c r="A418" s="2">
        <v>455</v>
      </c>
      <c r="B418" s="4">
        <v>93593.5</v>
      </c>
    </row>
    <row r="419" spans="1:2" x14ac:dyDescent="0.3">
      <c r="A419" s="2">
        <v>5690</v>
      </c>
      <c r="B419" s="4">
        <v>465043.7</v>
      </c>
    </row>
    <row r="420" spans="1:2" x14ac:dyDescent="0.3">
      <c r="A420" s="2">
        <v>5843</v>
      </c>
      <c r="B420" s="4">
        <v>900172.58</v>
      </c>
    </row>
    <row r="421" spans="1:2" x14ac:dyDescent="0.3">
      <c r="A421" s="2">
        <v>2637</v>
      </c>
      <c r="B421" s="4">
        <v>215522.01</v>
      </c>
    </row>
    <row r="422" spans="1:2" x14ac:dyDescent="0.3">
      <c r="A422" s="2">
        <v>4827</v>
      </c>
      <c r="B422" s="4">
        <v>229041.15000000002</v>
      </c>
    </row>
    <row r="423" spans="1:2" x14ac:dyDescent="0.3">
      <c r="A423" s="2">
        <v>3200</v>
      </c>
      <c r="B423" s="4">
        <v>492992</v>
      </c>
    </row>
    <row r="424" spans="1:2" x14ac:dyDescent="0.3">
      <c r="A424" s="2">
        <v>5572</v>
      </c>
      <c r="B424" s="4">
        <v>1146160.3999999999</v>
      </c>
    </row>
    <row r="425" spans="1:2" x14ac:dyDescent="0.3">
      <c r="A425" s="2">
        <v>1793</v>
      </c>
      <c r="B425" s="4">
        <v>16728.689999999999</v>
      </c>
    </row>
    <row r="426" spans="1:2" x14ac:dyDescent="0.3">
      <c r="A426" s="2">
        <v>8743</v>
      </c>
      <c r="B426" s="4">
        <v>414855.35000000003</v>
      </c>
    </row>
    <row r="427" spans="1:2" x14ac:dyDescent="0.3">
      <c r="A427" s="2">
        <v>5331</v>
      </c>
      <c r="B427" s="4">
        <v>252955.95</v>
      </c>
    </row>
    <row r="428" spans="1:2" x14ac:dyDescent="0.3">
      <c r="A428" s="2">
        <v>7502</v>
      </c>
      <c r="B428" s="4">
        <v>69993.66</v>
      </c>
    </row>
    <row r="429" spans="1:2" x14ac:dyDescent="0.3">
      <c r="A429" s="2">
        <v>3228</v>
      </c>
      <c r="B429" s="4">
        <v>2102105.88</v>
      </c>
    </row>
    <row r="430" spans="1:2" x14ac:dyDescent="0.3">
      <c r="A430" s="2">
        <v>7514</v>
      </c>
      <c r="B430" s="4">
        <v>4893191.9400000004</v>
      </c>
    </row>
    <row r="431" spans="1:2" x14ac:dyDescent="0.3">
      <c r="A431" s="2">
        <v>7397</v>
      </c>
      <c r="B431" s="4">
        <v>808344.16</v>
      </c>
    </row>
    <row r="432" spans="1:2" x14ac:dyDescent="0.3">
      <c r="A432" s="2">
        <v>6944</v>
      </c>
      <c r="B432" s="4">
        <v>329492.80000000005</v>
      </c>
    </row>
    <row r="433" spans="1:2" x14ac:dyDescent="0.3">
      <c r="A433" s="2">
        <v>2253</v>
      </c>
      <c r="B433" s="4">
        <v>347097.18</v>
      </c>
    </row>
    <row r="434" spans="1:2" x14ac:dyDescent="0.3">
      <c r="A434" s="2">
        <v>6454</v>
      </c>
      <c r="B434" s="4">
        <v>527485.42000000004</v>
      </c>
    </row>
    <row r="435" spans="1:2" x14ac:dyDescent="0.3">
      <c r="A435" s="2">
        <v>4709</v>
      </c>
      <c r="B435" s="4">
        <v>718499.22000000009</v>
      </c>
    </row>
    <row r="436" spans="1:2" x14ac:dyDescent="0.3">
      <c r="A436" s="2">
        <v>9210</v>
      </c>
      <c r="B436" s="4">
        <v>1418892.6</v>
      </c>
    </row>
    <row r="437" spans="1:2" x14ac:dyDescent="0.3">
      <c r="A437" s="2">
        <v>4180</v>
      </c>
      <c r="B437" s="4">
        <v>38999.4</v>
      </c>
    </row>
    <row r="438" spans="1:2" x14ac:dyDescent="0.3">
      <c r="A438" s="2">
        <v>875</v>
      </c>
      <c r="B438" s="4">
        <v>584736.25</v>
      </c>
    </row>
    <row r="439" spans="1:2" x14ac:dyDescent="0.3">
      <c r="A439" s="2">
        <v>2580</v>
      </c>
      <c r="B439" s="4">
        <v>1088476.2</v>
      </c>
    </row>
    <row r="440" spans="1:2" x14ac:dyDescent="0.3">
      <c r="A440" s="2">
        <v>9614</v>
      </c>
      <c r="B440" s="4">
        <v>1466904.12</v>
      </c>
    </row>
    <row r="441" spans="1:2" x14ac:dyDescent="0.3">
      <c r="A441" s="2">
        <v>4323</v>
      </c>
      <c r="B441" s="4">
        <v>666001.38</v>
      </c>
    </row>
    <row r="442" spans="1:2" x14ac:dyDescent="0.3">
      <c r="A442" s="2">
        <v>6090</v>
      </c>
      <c r="B442" s="4">
        <v>929212.20000000007</v>
      </c>
    </row>
    <row r="443" spans="1:2" x14ac:dyDescent="0.3">
      <c r="A443" s="2">
        <v>6323</v>
      </c>
      <c r="B443" s="4">
        <v>1614135.44</v>
      </c>
    </row>
    <row r="444" spans="1:2" x14ac:dyDescent="0.3">
      <c r="A444" s="2">
        <v>3467</v>
      </c>
      <c r="B444" s="4">
        <v>1462692.63</v>
      </c>
    </row>
    <row r="445" spans="1:2" x14ac:dyDescent="0.3">
      <c r="A445" s="2">
        <v>7994</v>
      </c>
      <c r="B445" s="4">
        <v>873584.32000000007</v>
      </c>
    </row>
    <row r="446" spans="1:2" x14ac:dyDescent="0.3">
      <c r="A446" s="2">
        <v>7410</v>
      </c>
      <c r="B446" s="4">
        <v>1141584.6000000001</v>
      </c>
    </row>
    <row r="447" spans="1:2" x14ac:dyDescent="0.3">
      <c r="A447" s="2">
        <v>1250</v>
      </c>
      <c r="B447" s="4">
        <v>527362.5</v>
      </c>
    </row>
    <row r="448" spans="1:2" x14ac:dyDescent="0.3">
      <c r="A448" s="2">
        <v>6083</v>
      </c>
      <c r="B448" s="4">
        <v>497163.59</v>
      </c>
    </row>
    <row r="449" spans="1:2" x14ac:dyDescent="0.3">
      <c r="A449" s="2">
        <v>505</v>
      </c>
      <c r="B449" s="4">
        <v>77052.900000000009</v>
      </c>
    </row>
    <row r="450" spans="1:2" x14ac:dyDescent="0.3">
      <c r="A450" s="2">
        <v>149</v>
      </c>
      <c r="B450" s="4">
        <v>22954.94</v>
      </c>
    </row>
    <row r="451" spans="1:2" x14ac:dyDescent="0.3">
      <c r="A451" s="2">
        <v>2674</v>
      </c>
      <c r="B451" s="4">
        <v>1169072.8</v>
      </c>
    </row>
    <row r="452" spans="1:2" x14ac:dyDescent="0.3">
      <c r="A452" s="2">
        <v>2773</v>
      </c>
      <c r="B452" s="4">
        <v>427208.38</v>
      </c>
    </row>
    <row r="453" spans="1:2" x14ac:dyDescent="0.3">
      <c r="A453" s="2">
        <v>7169</v>
      </c>
      <c r="B453" s="4">
        <v>783428.32000000007</v>
      </c>
    </row>
    <row r="454" spans="1:2" x14ac:dyDescent="0.3">
      <c r="A454" s="2">
        <v>9619</v>
      </c>
      <c r="B454" s="4">
        <v>4205426.8</v>
      </c>
    </row>
    <row r="455" spans="1:2" x14ac:dyDescent="0.3">
      <c r="A455" s="2">
        <v>5906</v>
      </c>
      <c r="B455" s="4">
        <v>909878.36</v>
      </c>
    </row>
    <row r="456" spans="1:2" x14ac:dyDescent="0.3">
      <c r="A456" s="2">
        <v>8850</v>
      </c>
      <c r="B456" s="4">
        <v>2259228</v>
      </c>
    </row>
    <row r="457" spans="1:2" x14ac:dyDescent="0.3">
      <c r="A457" s="2">
        <v>3299</v>
      </c>
      <c r="B457" s="4">
        <v>2204622.73</v>
      </c>
    </row>
    <row r="458" spans="1:2" x14ac:dyDescent="0.3">
      <c r="A458" s="2">
        <v>1132</v>
      </c>
      <c r="B458" s="4">
        <v>53713.4</v>
      </c>
    </row>
    <row r="459" spans="1:2" x14ac:dyDescent="0.3">
      <c r="A459" s="2">
        <v>6261</v>
      </c>
      <c r="B459" s="4">
        <v>2737309.1999999997</v>
      </c>
    </row>
    <row r="460" spans="1:2" x14ac:dyDescent="0.3">
      <c r="A460" s="2">
        <v>9627</v>
      </c>
      <c r="B460" s="4">
        <v>1052038.56</v>
      </c>
    </row>
    <row r="461" spans="1:2" x14ac:dyDescent="0.3">
      <c r="A461" s="2">
        <v>4206</v>
      </c>
      <c r="B461" s="4">
        <v>199574.7</v>
      </c>
    </row>
    <row r="462" spans="1:2" x14ac:dyDescent="0.3">
      <c r="A462" s="2">
        <v>1</v>
      </c>
      <c r="B462" s="4">
        <v>47.45</v>
      </c>
    </row>
    <row r="463" spans="1:2" x14ac:dyDescent="0.3">
      <c r="A463" s="2">
        <v>9049</v>
      </c>
      <c r="B463" s="4">
        <v>1380696.4200000002</v>
      </c>
    </row>
    <row r="464" spans="1:2" x14ac:dyDescent="0.3">
      <c r="A464" s="2">
        <v>417</v>
      </c>
      <c r="B464" s="4">
        <v>45569.760000000002</v>
      </c>
    </row>
    <row r="465" spans="1:2" x14ac:dyDescent="0.3">
      <c r="A465" s="2">
        <v>5203</v>
      </c>
      <c r="B465" s="4">
        <v>425241.19</v>
      </c>
    </row>
    <row r="466" spans="1:2" x14ac:dyDescent="0.3">
      <c r="A466" s="2">
        <v>1539</v>
      </c>
      <c r="B466" s="4">
        <v>237098.34</v>
      </c>
    </row>
    <row r="467" spans="1:2" x14ac:dyDescent="0.3">
      <c r="A467" s="2">
        <v>9584</v>
      </c>
      <c r="B467" s="4">
        <v>783300.32000000007</v>
      </c>
    </row>
    <row r="468" spans="1:2" x14ac:dyDescent="0.3">
      <c r="A468" s="2">
        <v>6531</v>
      </c>
      <c r="B468" s="4">
        <v>1006165.86</v>
      </c>
    </row>
    <row r="469" spans="1:2" x14ac:dyDescent="0.3">
      <c r="A469" s="2">
        <v>1604</v>
      </c>
      <c r="B469" s="4">
        <v>409469.12</v>
      </c>
    </row>
    <row r="470" spans="1:2" x14ac:dyDescent="0.3">
      <c r="A470" s="2">
        <v>1057</v>
      </c>
      <c r="B470" s="4">
        <v>162841.42000000001</v>
      </c>
    </row>
    <row r="471" spans="1:2" x14ac:dyDescent="0.3">
      <c r="A471" s="2">
        <v>3178</v>
      </c>
      <c r="B471" s="4">
        <v>2123762.06</v>
      </c>
    </row>
    <row r="472" spans="1:2" x14ac:dyDescent="0.3">
      <c r="A472" s="2">
        <v>3282</v>
      </c>
      <c r="B472" s="4">
        <v>2193262.14</v>
      </c>
    </row>
    <row r="473" spans="1:2" x14ac:dyDescent="0.3">
      <c r="A473" s="2">
        <v>8719</v>
      </c>
      <c r="B473" s="4">
        <v>1343249.1400000001</v>
      </c>
    </row>
    <row r="474" spans="1:2" x14ac:dyDescent="0.3">
      <c r="A474" s="2">
        <v>3869</v>
      </c>
      <c r="B474" s="4">
        <v>36097.769999999997</v>
      </c>
    </row>
    <row r="475" spans="1:2" x14ac:dyDescent="0.3">
      <c r="A475" s="2">
        <v>5143</v>
      </c>
      <c r="B475" s="4">
        <v>792330.58</v>
      </c>
    </row>
    <row r="476" spans="1:2" x14ac:dyDescent="0.3">
      <c r="A476" s="2">
        <v>5983</v>
      </c>
      <c r="B476" s="4">
        <v>283893.35000000003</v>
      </c>
    </row>
    <row r="477" spans="1:2" x14ac:dyDescent="0.3">
      <c r="A477" s="2">
        <v>1863</v>
      </c>
      <c r="B477" s="4">
        <v>284256.54000000004</v>
      </c>
    </row>
    <row r="478" spans="1:2" x14ac:dyDescent="0.3">
      <c r="A478" s="2">
        <v>5287</v>
      </c>
      <c r="B478" s="4">
        <v>2311476.4</v>
      </c>
    </row>
    <row r="479" spans="1:2" x14ac:dyDescent="0.3">
      <c r="A479" s="2">
        <v>793</v>
      </c>
      <c r="B479" s="4">
        <v>86659.040000000008</v>
      </c>
    </row>
    <row r="480" spans="1:2" x14ac:dyDescent="0.3">
      <c r="A480" s="2">
        <v>9946</v>
      </c>
      <c r="B480" s="4">
        <v>1532280.76</v>
      </c>
    </row>
    <row r="481" spans="1:2" x14ac:dyDescent="0.3">
      <c r="A481" s="2">
        <v>6347</v>
      </c>
      <c r="B481" s="4">
        <v>4241509.6899999995</v>
      </c>
    </row>
    <row r="482" spans="1:2" x14ac:dyDescent="0.3">
      <c r="A482" s="2">
        <v>624</v>
      </c>
      <c r="B482" s="4">
        <v>406355.04000000004</v>
      </c>
    </row>
    <row r="483" spans="1:2" x14ac:dyDescent="0.3">
      <c r="A483" s="2">
        <v>5439</v>
      </c>
      <c r="B483" s="4">
        <v>1118802.3</v>
      </c>
    </row>
    <row r="484" spans="1:2" x14ac:dyDescent="0.3">
      <c r="A484" s="2">
        <v>484</v>
      </c>
      <c r="B484" s="4">
        <v>4515.72</v>
      </c>
    </row>
    <row r="485" spans="1:2" x14ac:dyDescent="0.3">
      <c r="A485" s="2">
        <v>7483</v>
      </c>
      <c r="B485" s="4">
        <v>1539253.0999999999</v>
      </c>
    </row>
    <row r="486" spans="1:2" x14ac:dyDescent="0.3">
      <c r="A486" s="2">
        <v>5191</v>
      </c>
      <c r="B486" s="4">
        <v>48432.03</v>
      </c>
    </row>
    <row r="487" spans="1:2" x14ac:dyDescent="0.3">
      <c r="A487" s="2">
        <v>4394</v>
      </c>
      <c r="B487" s="4">
        <v>2936378.38</v>
      </c>
    </row>
    <row r="488" spans="1:2" x14ac:dyDescent="0.3">
      <c r="A488" s="2">
        <v>2909</v>
      </c>
      <c r="B488" s="4">
        <v>317895.52</v>
      </c>
    </row>
    <row r="489" spans="1:2" x14ac:dyDescent="0.3">
      <c r="A489" s="2">
        <v>585</v>
      </c>
      <c r="B489" s="4">
        <v>90125.1</v>
      </c>
    </row>
    <row r="490" spans="1:2" x14ac:dyDescent="0.3">
      <c r="A490" s="2">
        <v>4302</v>
      </c>
      <c r="B490" s="4">
        <v>470122.56</v>
      </c>
    </row>
    <row r="491" spans="1:2" x14ac:dyDescent="0.3">
      <c r="A491" s="2">
        <v>2971</v>
      </c>
      <c r="B491" s="4">
        <v>242819.83000000002</v>
      </c>
    </row>
    <row r="492" spans="1:2" x14ac:dyDescent="0.3">
      <c r="A492" s="2">
        <v>2534</v>
      </c>
      <c r="B492" s="4">
        <v>646879.52</v>
      </c>
    </row>
    <row r="493" spans="1:2" x14ac:dyDescent="0.3">
      <c r="A493" s="2">
        <v>965</v>
      </c>
      <c r="B493" s="4">
        <v>78869.45</v>
      </c>
    </row>
    <row r="494" spans="1:2" x14ac:dyDescent="0.3">
      <c r="A494" s="2">
        <v>3269</v>
      </c>
      <c r="B494" s="4">
        <v>1429206.8</v>
      </c>
    </row>
    <row r="495" spans="1:2" x14ac:dyDescent="0.3">
      <c r="A495" s="2">
        <v>6482</v>
      </c>
      <c r="B495" s="4">
        <v>60477.06</v>
      </c>
    </row>
    <row r="496" spans="1:2" x14ac:dyDescent="0.3">
      <c r="A496" s="2">
        <v>4671</v>
      </c>
      <c r="B496" s="4">
        <v>3041801.91</v>
      </c>
    </row>
    <row r="497" spans="1:2" x14ac:dyDescent="0.3">
      <c r="A497" s="2">
        <v>3935</v>
      </c>
      <c r="B497" s="4">
        <v>809429.5</v>
      </c>
    </row>
    <row r="498" spans="1:2" x14ac:dyDescent="0.3">
      <c r="A498" s="2">
        <v>7404</v>
      </c>
      <c r="B498" s="4">
        <v>1129702.32</v>
      </c>
    </row>
    <row r="499" spans="1:2" x14ac:dyDescent="0.3">
      <c r="A499" s="2">
        <v>239</v>
      </c>
      <c r="B499" s="4">
        <v>159716.53</v>
      </c>
    </row>
    <row r="500" spans="1:2" x14ac:dyDescent="0.3">
      <c r="A500" s="2">
        <v>4633</v>
      </c>
      <c r="B500" s="4">
        <v>953008.1</v>
      </c>
    </row>
    <row r="501" spans="1:2" x14ac:dyDescent="0.3">
      <c r="A501" s="2">
        <v>4808</v>
      </c>
      <c r="B501" s="4">
        <v>989005.6</v>
      </c>
    </row>
    <row r="502" spans="1:2" x14ac:dyDescent="0.3">
      <c r="A502" s="2">
        <v>2021</v>
      </c>
      <c r="B502" s="4">
        <v>308364.18000000005</v>
      </c>
    </row>
    <row r="503" spans="1:2" x14ac:dyDescent="0.3">
      <c r="A503" s="2">
        <v>9556</v>
      </c>
      <c r="B503" s="4">
        <v>4177883.1999999997</v>
      </c>
    </row>
    <row r="504" spans="1:2" x14ac:dyDescent="0.3">
      <c r="A504" s="2">
        <v>7732</v>
      </c>
      <c r="B504" s="4">
        <v>72139.56</v>
      </c>
    </row>
    <row r="505" spans="1:2" x14ac:dyDescent="0.3">
      <c r="A505" s="2">
        <v>8896</v>
      </c>
      <c r="B505" s="4">
        <v>5944929.9199999999</v>
      </c>
    </row>
    <row r="506" spans="1:2" x14ac:dyDescent="0.3">
      <c r="A506" s="2">
        <v>2430</v>
      </c>
      <c r="B506" s="4">
        <v>1582440.3</v>
      </c>
    </row>
    <row r="507" spans="1:2" x14ac:dyDescent="0.3">
      <c r="A507" s="2">
        <v>9744</v>
      </c>
      <c r="B507" s="4">
        <v>2487448.3199999998</v>
      </c>
    </row>
    <row r="508" spans="1:2" x14ac:dyDescent="0.3">
      <c r="A508" s="2">
        <v>9280</v>
      </c>
      <c r="B508" s="4">
        <v>1908896</v>
      </c>
    </row>
    <row r="509" spans="1:2" x14ac:dyDescent="0.3">
      <c r="A509" s="2">
        <v>1513</v>
      </c>
      <c r="B509" s="4">
        <v>14116.29</v>
      </c>
    </row>
    <row r="510" spans="1:2" x14ac:dyDescent="0.3">
      <c r="A510" s="2">
        <v>3946</v>
      </c>
      <c r="B510" s="4">
        <v>602080.68000000005</v>
      </c>
    </row>
    <row r="511" spans="1:2" x14ac:dyDescent="0.3">
      <c r="A511" s="2">
        <v>6116</v>
      </c>
      <c r="B511" s="4">
        <v>57062.28</v>
      </c>
    </row>
    <row r="512" spans="1:2" x14ac:dyDescent="0.3">
      <c r="A512" s="2">
        <v>4591</v>
      </c>
      <c r="B512" s="4">
        <v>217842.95</v>
      </c>
    </row>
    <row r="513" spans="1:2" x14ac:dyDescent="0.3">
      <c r="A513" s="2">
        <v>7969</v>
      </c>
      <c r="B513" s="4">
        <v>1215910.02</v>
      </c>
    </row>
    <row r="514" spans="1:2" x14ac:dyDescent="0.3">
      <c r="A514" s="2">
        <v>1880</v>
      </c>
      <c r="B514" s="4">
        <v>289632.8</v>
      </c>
    </row>
    <row r="515" spans="1:2" x14ac:dyDescent="0.3">
      <c r="A515" s="2">
        <v>3985</v>
      </c>
      <c r="B515" s="4">
        <v>613929.1</v>
      </c>
    </row>
    <row r="516" spans="1:2" x14ac:dyDescent="0.3">
      <c r="A516" s="2">
        <v>8977</v>
      </c>
      <c r="B516" s="4">
        <v>425958.65</v>
      </c>
    </row>
    <row r="517" spans="1:2" x14ac:dyDescent="0.3">
      <c r="A517" s="2">
        <v>3578</v>
      </c>
      <c r="B517" s="4">
        <v>545931.24</v>
      </c>
    </row>
    <row r="518" spans="1:2" x14ac:dyDescent="0.3">
      <c r="A518" s="2">
        <v>1545</v>
      </c>
      <c r="B518" s="4">
        <v>317806.5</v>
      </c>
    </row>
    <row r="519" spans="1:2" x14ac:dyDescent="0.3">
      <c r="A519" s="2">
        <v>8663</v>
      </c>
      <c r="B519" s="4">
        <v>80825.789999999994</v>
      </c>
    </row>
    <row r="520" spans="1:2" x14ac:dyDescent="0.3">
      <c r="A520" s="2">
        <v>7749</v>
      </c>
      <c r="B520" s="4">
        <v>72298.17</v>
      </c>
    </row>
    <row r="521" spans="1:2" x14ac:dyDescent="0.3">
      <c r="A521" s="2">
        <v>3653</v>
      </c>
      <c r="B521" s="4">
        <v>562781.18000000005</v>
      </c>
    </row>
    <row r="522" spans="1:2" x14ac:dyDescent="0.3">
      <c r="A522" s="2">
        <v>8254</v>
      </c>
      <c r="B522" s="4">
        <v>1271611.24</v>
      </c>
    </row>
    <row r="523" spans="1:2" x14ac:dyDescent="0.3">
      <c r="A523" s="2">
        <v>5463</v>
      </c>
      <c r="B523" s="4">
        <v>3557560.23</v>
      </c>
    </row>
    <row r="524" spans="1:2" x14ac:dyDescent="0.3">
      <c r="A524" s="2">
        <v>6222</v>
      </c>
      <c r="B524" s="4">
        <v>2720258.4</v>
      </c>
    </row>
    <row r="525" spans="1:2" x14ac:dyDescent="0.3">
      <c r="A525" s="2">
        <v>3506</v>
      </c>
      <c r="B525" s="4">
        <v>2342954.62</v>
      </c>
    </row>
    <row r="526" spans="1:2" x14ac:dyDescent="0.3">
      <c r="A526" s="2">
        <v>7318</v>
      </c>
      <c r="B526" s="4">
        <v>68276.94</v>
      </c>
    </row>
    <row r="527" spans="1:2" x14ac:dyDescent="0.3">
      <c r="A527" s="2">
        <v>9696</v>
      </c>
      <c r="B527" s="4">
        <v>460075.2</v>
      </c>
    </row>
    <row r="528" spans="1:2" x14ac:dyDescent="0.3">
      <c r="A528" s="2">
        <v>9707</v>
      </c>
      <c r="B528" s="4">
        <v>1481094.06</v>
      </c>
    </row>
    <row r="529" spans="1:2" x14ac:dyDescent="0.3">
      <c r="A529" s="2">
        <v>8448</v>
      </c>
      <c r="B529" s="4">
        <v>400857.60000000003</v>
      </c>
    </row>
    <row r="530" spans="1:2" x14ac:dyDescent="0.3">
      <c r="A530" s="2">
        <v>4051</v>
      </c>
      <c r="B530" s="4">
        <v>833290.7</v>
      </c>
    </row>
    <row r="531" spans="1:2" x14ac:dyDescent="0.3">
      <c r="A531" s="2">
        <v>6676</v>
      </c>
      <c r="B531" s="4">
        <v>1704249.28</v>
      </c>
    </row>
    <row r="532" spans="1:2" x14ac:dyDescent="0.3">
      <c r="A532" s="2">
        <v>3516</v>
      </c>
      <c r="B532" s="4">
        <v>2349637.3199999998</v>
      </c>
    </row>
    <row r="533" spans="1:2" x14ac:dyDescent="0.3">
      <c r="A533" s="2">
        <v>3794</v>
      </c>
      <c r="B533" s="4">
        <v>2470690.7400000002</v>
      </c>
    </row>
    <row r="534" spans="1:2" x14ac:dyDescent="0.3">
      <c r="A534" s="2">
        <v>3765</v>
      </c>
      <c r="B534" s="4">
        <v>774460.5</v>
      </c>
    </row>
    <row r="535" spans="1:2" x14ac:dyDescent="0.3">
      <c r="A535" s="2">
        <v>1715</v>
      </c>
      <c r="B535" s="4">
        <v>81376.75</v>
      </c>
    </row>
    <row r="536" spans="1:2" x14ac:dyDescent="0.3">
      <c r="A536" s="2">
        <v>2963</v>
      </c>
      <c r="B536" s="4">
        <v>1980084.01</v>
      </c>
    </row>
    <row r="537" spans="1:2" x14ac:dyDescent="0.3">
      <c r="A537" s="2">
        <v>4855</v>
      </c>
      <c r="B537" s="4">
        <v>747961.3</v>
      </c>
    </row>
    <row r="538" spans="1:2" x14ac:dyDescent="0.3">
      <c r="A538" s="2">
        <v>1772</v>
      </c>
      <c r="B538" s="4">
        <v>1153944.1200000001</v>
      </c>
    </row>
    <row r="539" spans="1:2" x14ac:dyDescent="0.3">
      <c r="A539" s="2">
        <v>126</v>
      </c>
      <c r="B539" s="4">
        <v>5978.7000000000007</v>
      </c>
    </row>
    <row r="540" spans="1:2" x14ac:dyDescent="0.3">
      <c r="A540" s="2">
        <v>3359</v>
      </c>
      <c r="B540" s="4">
        <v>690946.29999999993</v>
      </c>
    </row>
    <row r="541" spans="1:2" x14ac:dyDescent="0.3">
      <c r="A541" s="2">
        <v>6944</v>
      </c>
      <c r="B541" s="4">
        <v>329492.80000000005</v>
      </c>
    </row>
    <row r="542" spans="1:2" x14ac:dyDescent="0.3">
      <c r="A542" s="2">
        <v>3386</v>
      </c>
      <c r="B542" s="4">
        <v>521647.16000000003</v>
      </c>
    </row>
    <row r="543" spans="1:2" x14ac:dyDescent="0.3">
      <c r="A543" s="2">
        <v>7221</v>
      </c>
      <c r="B543" s="4">
        <v>3157021.1999999997</v>
      </c>
    </row>
    <row r="544" spans="1:2" x14ac:dyDescent="0.3">
      <c r="A544" s="2">
        <v>17</v>
      </c>
      <c r="B544" s="4">
        <v>158.61000000000001</v>
      </c>
    </row>
    <row r="545" spans="1:2" x14ac:dyDescent="0.3">
      <c r="A545" s="2">
        <v>5373</v>
      </c>
      <c r="B545" s="4">
        <v>827764.38</v>
      </c>
    </row>
    <row r="546" spans="1:2" x14ac:dyDescent="0.3">
      <c r="A546" s="2">
        <v>3918</v>
      </c>
      <c r="B546" s="4">
        <v>1000187.04</v>
      </c>
    </row>
    <row r="547" spans="1:2" x14ac:dyDescent="0.3">
      <c r="A547" s="2">
        <v>8313</v>
      </c>
      <c r="B547" s="4">
        <v>1268397.54</v>
      </c>
    </row>
    <row r="548" spans="1:2" x14ac:dyDescent="0.3">
      <c r="A548" s="2">
        <v>8251</v>
      </c>
      <c r="B548" s="4">
        <v>1271149.06</v>
      </c>
    </row>
    <row r="549" spans="1:2" x14ac:dyDescent="0.3">
      <c r="A549" s="2">
        <v>5455</v>
      </c>
      <c r="B549" s="4">
        <v>832323.9</v>
      </c>
    </row>
    <row r="550" spans="1:2" x14ac:dyDescent="0.3">
      <c r="A550" s="2">
        <v>8680</v>
      </c>
      <c r="B550" s="4">
        <v>948550.4</v>
      </c>
    </row>
    <row r="551" spans="1:2" x14ac:dyDescent="0.3">
      <c r="A551" s="2">
        <v>8713</v>
      </c>
      <c r="B551" s="4">
        <v>3809323.6</v>
      </c>
    </row>
    <row r="552" spans="1:2" x14ac:dyDescent="0.3">
      <c r="A552" s="2">
        <v>3371</v>
      </c>
      <c r="B552" s="4">
        <v>1422191.19</v>
      </c>
    </row>
    <row r="553" spans="1:2" x14ac:dyDescent="0.3">
      <c r="A553" s="2">
        <v>2502</v>
      </c>
      <c r="B553" s="4">
        <v>1672011.54</v>
      </c>
    </row>
    <row r="554" spans="1:2" x14ac:dyDescent="0.3">
      <c r="A554" s="2">
        <v>2986</v>
      </c>
      <c r="B554" s="4">
        <v>1995454.22</v>
      </c>
    </row>
    <row r="555" spans="1:2" x14ac:dyDescent="0.3">
      <c r="A555" s="2">
        <v>3735</v>
      </c>
      <c r="B555" s="4">
        <v>1575759.15</v>
      </c>
    </row>
    <row r="556" spans="1:2" x14ac:dyDescent="0.3">
      <c r="A556" s="2">
        <v>691</v>
      </c>
      <c r="B556" s="4">
        <v>176398.48</v>
      </c>
    </row>
    <row r="557" spans="1:2" x14ac:dyDescent="0.3">
      <c r="A557" s="2">
        <v>1827</v>
      </c>
      <c r="B557" s="4">
        <v>86691.150000000009</v>
      </c>
    </row>
    <row r="558" spans="1:2" x14ac:dyDescent="0.3">
      <c r="A558" s="2">
        <v>2149</v>
      </c>
      <c r="B558" s="4">
        <v>442049.3</v>
      </c>
    </row>
    <row r="559" spans="1:2" x14ac:dyDescent="0.3">
      <c r="A559" s="2">
        <v>8692</v>
      </c>
      <c r="B559" s="4">
        <v>412435.4</v>
      </c>
    </row>
    <row r="560" spans="1:2" x14ac:dyDescent="0.3">
      <c r="A560" s="2">
        <v>5523</v>
      </c>
      <c r="B560" s="4">
        <v>1136081.0999999999</v>
      </c>
    </row>
    <row r="561" spans="1:2" x14ac:dyDescent="0.3">
      <c r="A561" s="2">
        <v>8743</v>
      </c>
      <c r="B561" s="4">
        <v>2231913.04</v>
      </c>
    </row>
    <row r="562" spans="1:2" x14ac:dyDescent="0.3">
      <c r="A562" s="2">
        <v>1479</v>
      </c>
      <c r="B562" s="4">
        <v>646618.79999999993</v>
      </c>
    </row>
    <row r="563" spans="1:2" x14ac:dyDescent="0.3">
      <c r="A563" s="2">
        <v>8894</v>
      </c>
      <c r="B563" s="4">
        <v>5943593.3799999999</v>
      </c>
    </row>
    <row r="564" spans="1:2" x14ac:dyDescent="0.3">
      <c r="A564" s="2">
        <v>3180</v>
      </c>
      <c r="B564" s="4">
        <v>811790.4</v>
      </c>
    </row>
    <row r="565" spans="1:2" x14ac:dyDescent="0.3">
      <c r="A565" s="2">
        <v>8561</v>
      </c>
      <c r="B565" s="4">
        <v>1760997.7</v>
      </c>
    </row>
    <row r="566" spans="1:2" x14ac:dyDescent="0.3">
      <c r="A566" s="2">
        <v>6291</v>
      </c>
      <c r="B566" s="4">
        <v>1294058.7</v>
      </c>
    </row>
    <row r="567" spans="1:2" x14ac:dyDescent="0.3">
      <c r="A567" s="2">
        <v>9656</v>
      </c>
      <c r="B567" s="4">
        <v>2464983.6800000002</v>
      </c>
    </row>
    <row r="568" spans="1:2" x14ac:dyDescent="0.3">
      <c r="A568" s="2">
        <v>8975</v>
      </c>
      <c r="B568" s="4">
        <v>1369405.5</v>
      </c>
    </row>
    <row r="569" spans="1:2" x14ac:dyDescent="0.3">
      <c r="A569" s="2">
        <v>6595</v>
      </c>
      <c r="B569" s="4">
        <v>61531.35</v>
      </c>
    </row>
    <row r="570" spans="1:2" x14ac:dyDescent="0.3">
      <c r="A570" s="2">
        <v>1896</v>
      </c>
      <c r="B570" s="4">
        <v>828931.2</v>
      </c>
    </row>
    <row r="571" spans="1:2" x14ac:dyDescent="0.3">
      <c r="A571" s="2">
        <v>6290</v>
      </c>
      <c r="B571" s="4">
        <v>2749988</v>
      </c>
    </row>
    <row r="572" spans="1:2" x14ac:dyDescent="0.3">
      <c r="A572" s="2">
        <v>8219</v>
      </c>
      <c r="B572" s="4">
        <v>389991.55000000005</v>
      </c>
    </row>
    <row r="573" spans="1:2" x14ac:dyDescent="0.3">
      <c r="A573" s="2">
        <v>8156</v>
      </c>
      <c r="B573" s="4">
        <v>1244442.4800000002</v>
      </c>
    </row>
    <row r="574" spans="1:2" x14ac:dyDescent="0.3">
      <c r="A574" s="2">
        <v>3607</v>
      </c>
      <c r="B574" s="4">
        <v>294800.11</v>
      </c>
    </row>
    <row r="575" spans="1:2" x14ac:dyDescent="0.3">
      <c r="A575" s="2">
        <v>4107</v>
      </c>
      <c r="B575" s="4">
        <v>38318.31</v>
      </c>
    </row>
    <row r="576" spans="1:2" x14ac:dyDescent="0.3">
      <c r="A576" s="2">
        <v>6225</v>
      </c>
      <c r="B576" s="4">
        <v>4053782.25</v>
      </c>
    </row>
    <row r="577" spans="1:2" x14ac:dyDescent="0.3">
      <c r="A577" s="2">
        <v>8558</v>
      </c>
      <c r="B577" s="4">
        <v>1760380.5999999999</v>
      </c>
    </row>
    <row r="578" spans="1:2" x14ac:dyDescent="0.3">
      <c r="A578" s="2">
        <v>6736</v>
      </c>
      <c r="B578" s="4">
        <v>2841851.04</v>
      </c>
    </row>
    <row r="579" spans="1:2" x14ac:dyDescent="0.3">
      <c r="A579" s="2">
        <v>8421</v>
      </c>
      <c r="B579" s="4">
        <v>5627501.6699999999</v>
      </c>
    </row>
    <row r="580" spans="1:2" x14ac:dyDescent="0.3">
      <c r="A580" s="2">
        <v>8306</v>
      </c>
      <c r="B580" s="4">
        <v>678849.38</v>
      </c>
    </row>
    <row r="581" spans="1:2" x14ac:dyDescent="0.3">
      <c r="A581" s="2">
        <v>3112</v>
      </c>
      <c r="B581" s="4">
        <v>640138.39999999991</v>
      </c>
    </row>
    <row r="582" spans="1:2" x14ac:dyDescent="0.3">
      <c r="A582" s="2">
        <v>6597</v>
      </c>
      <c r="B582" s="4">
        <v>2884208.4</v>
      </c>
    </row>
    <row r="583" spans="1:2" x14ac:dyDescent="0.3">
      <c r="A583" s="2">
        <v>4545</v>
      </c>
      <c r="B583" s="4">
        <v>2959749.45</v>
      </c>
    </row>
    <row r="584" spans="1:2" x14ac:dyDescent="0.3">
      <c r="A584" s="2">
        <v>9774</v>
      </c>
      <c r="B584" s="4">
        <v>798829.02</v>
      </c>
    </row>
    <row r="585" spans="1:2" x14ac:dyDescent="0.3">
      <c r="A585" s="2">
        <v>7132</v>
      </c>
      <c r="B585" s="4">
        <v>3118110.4</v>
      </c>
    </row>
    <row r="586" spans="1:2" x14ac:dyDescent="0.3">
      <c r="A586" s="2">
        <v>8501</v>
      </c>
      <c r="B586" s="4">
        <v>1297082.58</v>
      </c>
    </row>
    <row r="587" spans="1:2" x14ac:dyDescent="0.3">
      <c r="A587" s="2">
        <v>7789</v>
      </c>
      <c r="B587" s="4">
        <v>369588.05000000005</v>
      </c>
    </row>
    <row r="588" spans="1:2" x14ac:dyDescent="0.3">
      <c r="A588" s="2">
        <v>5941</v>
      </c>
      <c r="B588" s="4">
        <v>649232.48</v>
      </c>
    </row>
    <row r="589" spans="1:2" x14ac:dyDescent="0.3">
      <c r="A589" s="2">
        <v>5930</v>
      </c>
      <c r="B589" s="4">
        <v>484658.9</v>
      </c>
    </row>
    <row r="590" spans="1:2" x14ac:dyDescent="0.3">
      <c r="A590" s="2">
        <v>7760</v>
      </c>
      <c r="B590" s="4">
        <v>848012.80000000005</v>
      </c>
    </row>
    <row r="591" spans="1:2" x14ac:dyDescent="0.3">
      <c r="A591" s="2">
        <v>3468</v>
      </c>
      <c r="B591" s="4">
        <v>32356.44</v>
      </c>
    </row>
    <row r="592" spans="1:2" x14ac:dyDescent="0.3">
      <c r="A592" s="2">
        <v>2121</v>
      </c>
      <c r="B592" s="4">
        <v>927301.2</v>
      </c>
    </row>
    <row r="593" spans="1:2" x14ac:dyDescent="0.3">
      <c r="A593" s="2">
        <v>4818</v>
      </c>
      <c r="B593" s="4">
        <v>3137529.7800000003</v>
      </c>
    </row>
    <row r="594" spans="1:2" x14ac:dyDescent="0.3">
      <c r="A594" s="2">
        <v>9689</v>
      </c>
      <c r="B594" s="4">
        <v>2473407.92</v>
      </c>
    </row>
    <row r="595" spans="1:2" x14ac:dyDescent="0.3">
      <c r="A595" s="2">
        <v>6894</v>
      </c>
      <c r="B595" s="4">
        <v>4607053.38</v>
      </c>
    </row>
    <row r="596" spans="1:2" x14ac:dyDescent="0.3">
      <c r="A596" s="2">
        <v>3626</v>
      </c>
      <c r="B596" s="4">
        <v>745868.2</v>
      </c>
    </row>
    <row r="597" spans="1:2" x14ac:dyDescent="0.3">
      <c r="A597" s="2">
        <v>9109</v>
      </c>
      <c r="B597" s="4">
        <v>2325345.52</v>
      </c>
    </row>
    <row r="598" spans="1:2" x14ac:dyDescent="0.3">
      <c r="A598" s="2">
        <v>9598</v>
      </c>
      <c r="B598" s="4">
        <v>2450177.44</v>
      </c>
    </row>
    <row r="599" spans="1:2" x14ac:dyDescent="0.3">
      <c r="A599" s="2">
        <v>3378</v>
      </c>
      <c r="B599" s="4">
        <v>2199787.3800000004</v>
      </c>
    </row>
    <row r="600" spans="1:2" x14ac:dyDescent="0.3">
      <c r="A600" s="2">
        <v>5768</v>
      </c>
      <c r="B600" s="4">
        <v>880081.44000000006</v>
      </c>
    </row>
    <row r="601" spans="1:2" x14ac:dyDescent="0.3">
      <c r="A601" s="2">
        <v>4115</v>
      </c>
      <c r="B601" s="4">
        <v>1736077.3499999999</v>
      </c>
    </row>
    <row r="602" spans="1:2" x14ac:dyDescent="0.3">
      <c r="A602" s="2">
        <v>2801</v>
      </c>
      <c r="B602" s="4">
        <v>306093.28000000003</v>
      </c>
    </row>
    <row r="603" spans="1:2" x14ac:dyDescent="0.3">
      <c r="A603" s="2">
        <v>8234</v>
      </c>
      <c r="B603" s="4">
        <v>5502535.1799999997</v>
      </c>
    </row>
    <row r="604" spans="1:2" x14ac:dyDescent="0.3">
      <c r="A604" s="2">
        <v>3860</v>
      </c>
      <c r="B604" s="4">
        <v>1628495.4</v>
      </c>
    </row>
    <row r="605" spans="1:2" x14ac:dyDescent="0.3">
      <c r="A605" s="2">
        <v>5150</v>
      </c>
      <c r="B605" s="4">
        <v>1059355</v>
      </c>
    </row>
    <row r="606" spans="1:2" x14ac:dyDescent="0.3">
      <c r="A606" s="2">
        <v>4609</v>
      </c>
      <c r="B606" s="4">
        <v>376693.57</v>
      </c>
    </row>
    <row r="607" spans="1:2" x14ac:dyDescent="0.3">
      <c r="A607" s="2">
        <v>6775</v>
      </c>
      <c r="B607" s="4">
        <v>740372</v>
      </c>
    </row>
    <row r="608" spans="1:2" x14ac:dyDescent="0.3">
      <c r="A608" s="2">
        <v>3213</v>
      </c>
      <c r="B608" s="4">
        <v>494994.78</v>
      </c>
    </row>
    <row r="609" spans="1:2" x14ac:dyDescent="0.3">
      <c r="A609" s="2">
        <v>7524</v>
      </c>
      <c r="B609" s="4">
        <v>1547686.7999999998</v>
      </c>
    </row>
    <row r="610" spans="1:2" x14ac:dyDescent="0.3">
      <c r="A610" s="2">
        <v>336</v>
      </c>
      <c r="B610" s="4">
        <v>36718.080000000002</v>
      </c>
    </row>
    <row r="611" spans="1:2" x14ac:dyDescent="0.3">
      <c r="A611" s="2">
        <v>4311</v>
      </c>
      <c r="B611" s="4">
        <v>471106.08</v>
      </c>
    </row>
    <row r="612" spans="1:2" x14ac:dyDescent="0.3">
      <c r="A612" s="2">
        <v>9142</v>
      </c>
      <c r="B612" s="4">
        <v>747175.66</v>
      </c>
    </row>
    <row r="613" spans="1:2" x14ac:dyDescent="0.3">
      <c r="A613" s="2">
        <v>6551</v>
      </c>
      <c r="B613" s="4">
        <v>4377836.7699999996</v>
      </c>
    </row>
    <row r="614" spans="1:2" x14ac:dyDescent="0.3">
      <c r="A614" s="2">
        <v>5294</v>
      </c>
      <c r="B614" s="4">
        <v>3447505.74</v>
      </c>
    </row>
    <row r="615" spans="1:2" x14ac:dyDescent="0.3">
      <c r="A615" s="2">
        <v>6157</v>
      </c>
      <c r="B615" s="4">
        <v>292149.65000000002</v>
      </c>
    </row>
    <row r="616" spans="1:2" x14ac:dyDescent="0.3">
      <c r="A616" s="2">
        <v>6958</v>
      </c>
      <c r="B616" s="4">
        <v>2935510.62</v>
      </c>
    </row>
    <row r="617" spans="1:2" x14ac:dyDescent="0.3">
      <c r="A617" s="2">
        <v>7544</v>
      </c>
      <c r="B617" s="4">
        <v>1551800.7999999998</v>
      </c>
    </row>
    <row r="618" spans="1:2" x14ac:dyDescent="0.3">
      <c r="A618" s="2">
        <v>4796</v>
      </c>
      <c r="B618" s="4">
        <v>731773.68</v>
      </c>
    </row>
    <row r="619" spans="1:2" x14ac:dyDescent="0.3">
      <c r="A619" s="2">
        <v>7625</v>
      </c>
      <c r="B619" s="4">
        <v>623191.25</v>
      </c>
    </row>
    <row r="620" spans="1:2" x14ac:dyDescent="0.3">
      <c r="A620" s="2">
        <v>1973</v>
      </c>
      <c r="B620" s="4">
        <v>18408.09</v>
      </c>
    </row>
    <row r="621" spans="1:2" x14ac:dyDescent="0.3">
      <c r="A621" s="2">
        <v>5814</v>
      </c>
      <c r="B621" s="4">
        <v>2452868.46</v>
      </c>
    </row>
    <row r="622" spans="1:2" x14ac:dyDescent="0.3">
      <c r="A622" s="2">
        <v>4153</v>
      </c>
      <c r="B622" s="4">
        <v>1815691.5999999999</v>
      </c>
    </row>
    <row r="623" spans="1:2" x14ac:dyDescent="0.3">
      <c r="A623" s="2">
        <v>4026</v>
      </c>
      <c r="B623" s="4">
        <v>614287.08000000007</v>
      </c>
    </row>
    <row r="624" spans="1:2" x14ac:dyDescent="0.3">
      <c r="A624" s="2">
        <v>9501</v>
      </c>
      <c r="B624" s="4">
        <v>2425415.2799999998</v>
      </c>
    </row>
    <row r="625" spans="1:2" x14ac:dyDescent="0.3">
      <c r="A625" s="2">
        <v>6675</v>
      </c>
      <c r="B625" s="4">
        <v>2918310</v>
      </c>
    </row>
    <row r="626" spans="1:2" x14ac:dyDescent="0.3">
      <c r="A626" s="2">
        <v>8679</v>
      </c>
      <c r="B626" s="4">
        <v>5799915.3300000001</v>
      </c>
    </row>
    <row r="627" spans="1:2" x14ac:dyDescent="0.3">
      <c r="A627" s="2">
        <v>674</v>
      </c>
      <c r="B627" s="4">
        <v>31981.300000000003</v>
      </c>
    </row>
    <row r="628" spans="1:2" x14ac:dyDescent="0.3">
      <c r="A628" s="2">
        <v>4853</v>
      </c>
      <c r="B628" s="4">
        <v>998262.1</v>
      </c>
    </row>
    <row r="629" spans="1:2" x14ac:dyDescent="0.3">
      <c r="A629" s="2">
        <v>5439</v>
      </c>
      <c r="B629" s="4">
        <v>50745.87</v>
      </c>
    </row>
    <row r="630" spans="1:2" x14ac:dyDescent="0.3">
      <c r="A630" s="2">
        <v>3686</v>
      </c>
      <c r="B630" s="4">
        <v>301256.78000000003</v>
      </c>
    </row>
    <row r="631" spans="1:2" x14ac:dyDescent="0.3">
      <c r="A631" s="2">
        <v>2882</v>
      </c>
      <c r="B631" s="4">
        <v>592827.4</v>
      </c>
    </row>
    <row r="632" spans="1:2" x14ac:dyDescent="0.3">
      <c r="A632" s="2">
        <v>3343</v>
      </c>
      <c r="B632" s="4">
        <v>273223.39</v>
      </c>
    </row>
    <row r="633" spans="1:2" x14ac:dyDescent="0.3">
      <c r="A633" s="2">
        <v>7418</v>
      </c>
      <c r="B633" s="4">
        <v>1893667.04</v>
      </c>
    </row>
    <row r="634" spans="1:2" x14ac:dyDescent="0.3">
      <c r="A634" s="2">
        <v>4487</v>
      </c>
      <c r="B634" s="4">
        <v>922975.89999999991</v>
      </c>
    </row>
    <row r="635" spans="1:2" x14ac:dyDescent="0.3">
      <c r="A635" s="2">
        <v>5960</v>
      </c>
      <c r="B635" s="4">
        <v>2514464.4</v>
      </c>
    </row>
    <row r="636" spans="1:2" x14ac:dyDescent="0.3">
      <c r="A636" s="2">
        <v>282</v>
      </c>
      <c r="B636" s="4">
        <v>13380.900000000001</v>
      </c>
    </row>
    <row r="637" spans="1:2" x14ac:dyDescent="0.3">
      <c r="A637" s="2">
        <v>7924</v>
      </c>
      <c r="B637" s="4">
        <v>5295371.4799999995</v>
      </c>
    </row>
    <row r="638" spans="1:2" x14ac:dyDescent="0.3">
      <c r="A638" s="2">
        <v>6393</v>
      </c>
      <c r="B638" s="4">
        <v>4163185.5300000003</v>
      </c>
    </row>
    <row r="639" spans="1:2" x14ac:dyDescent="0.3">
      <c r="A639" s="2">
        <v>5223</v>
      </c>
      <c r="B639" s="4">
        <v>3401269.83</v>
      </c>
    </row>
    <row r="640" spans="1:2" x14ac:dyDescent="0.3">
      <c r="A640" s="2">
        <v>983</v>
      </c>
      <c r="B640" s="4">
        <v>202203.09999999998</v>
      </c>
    </row>
    <row r="641" spans="1:2" x14ac:dyDescent="0.3">
      <c r="A641" s="2">
        <v>2271</v>
      </c>
      <c r="B641" s="4">
        <v>958112.19</v>
      </c>
    </row>
    <row r="642" spans="1:2" x14ac:dyDescent="0.3">
      <c r="A642" s="2">
        <v>4718</v>
      </c>
      <c r="B642" s="4">
        <v>719872.44000000006</v>
      </c>
    </row>
    <row r="643" spans="1:2" x14ac:dyDescent="0.3">
      <c r="A643" s="2">
        <v>5983</v>
      </c>
      <c r="B643" s="4">
        <v>2615767.6</v>
      </c>
    </row>
    <row r="644" spans="1:2" x14ac:dyDescent="0.3">
      <c r="A644" s="2">
        <v>760</v>
      </c>
      <c r="B644" s="4">
        <v>494919.60000000003</v>
      </c>
    </row>
    <row r="645" spans="1:2" x14ac:dyDescent="0.3">
      <c r="A645" s="2">
        <v>5771</v>
      </c>
      <c r="B645" s="4">
        <v>471663.83</v>
      </c>
    </row>
    <row r="646" spans="1:2" x14ac:dyDescent="0.3">
      <c r="A646" s="2">
        <v>4773</v>
      </c>
      <c r="B646" s="4">
        <v>2013680.97</v>
      </c>
    </row>
    <row r="647" spans="1:2" x14ac:dyDescent="0.3">
      <c r="A647" s="2">
        <v>3551</v>
      </c>
      <c r="B647" s="4">
        <v>388053.28</v>
      </c>
    </row>
    <row r="648" spans="1:2" x14ac:dyDescent="0.3">
      <c r="A648" s="2">
        <v>4923</v>
      </c>
      <c r="B648" s="4">
        <v>2152335.6</v>
      </c>
    </row>
    <row r="649" spans="1:2" x14ac:dyDescent="0.3">
      <c r="A649" s="2">
        <v>3737</v>
      </c>
      <c r="B649" s="4">
        <v>34866.21</v>
      </c>
    </row>
    <row r="650" spans="1:2" x14ac:dyDescent="0.3">
      <c r="A650" s="2">
        <v>1872</v>
      </c>
      <c r="B650" s="4">
        <v>152998.56</v>
      </c>
    </row>
    <row r="651" spans="1:2" x14ac:dyDescent="0.3">
      <c r="A651" s="2">
        <v>3241</v>
      </c>
      <c r="B651" s="4">
        <v>1367345.49</v>
      </c>
    </row>
    <row r="652" spans="1:2" x14ac:dyDescent="0.3">
      <c r="A652" s="2">
        <v>8786</v>
      </c>
      <c r="B652" s="4">
        <v>3706725.54</v>
      </c>
    </row>
    <row r="653" spans="1:2" x14ac:dyDescent="0.3">
      <c r="A653" s="2">
        <v>1480</v>
      </c>
      <c r="B653" s="4">
        <v>989039.6</v>
      </c>
    </row>
    <row r="654" spans="1:2" x14ac:dyDescent="0.3">
      <c r="A654" s="2">
        <v>1328</v>
      </c>
      <c r="B654" s="4">
        <v>864806.88</v>
      </c>
    </row>
    <row r="655" spans="1:2" x14ac:dyDescent="0.3">
      <c r="A655" s="2">
        <v>366</v>
      </c>
      <c r="B655" s="4">
        <v>244586.82</v>
      </c>
    </row>
    <row r="656" spans="1:2" x14ac:dyDescent="0.3">
      <c r="A656" s="2">
        <v>7661</v>
      </c>
      <c r="B656" s="4">
        <v>5119616.47</v>
      </c>
    </row>
    <row r="657" spans="1:2" x14ac:dyDescent="0.3">
      <c r="A657" s="2">
        <v>4313</v>
      </c>
      <c r="B657" s="4">
        <v>1885643.5999999999</v>
      </c>
    </row>
    <row r="658" spans="1:2" x14ac:dyDescent="0.3">
      <c r="A658" s="2">
        <v>8451</v>
      </c>
      <c r="B658" s="4">
        <v>3694777.1999999997</v>
      </c>
    </row>
    <row r="659" spans="1:2" x14ac:dyDescent="0.3">
      <c r="A659" s="2">
        <v>236</v>
      </c>
      <c r="B659" s="4">
        <v>153685.56</v>
      </c>
    </row>
    <row r="660" spans="1:2" x14ac:dyDescent="0.3">
      <c r="A660" s="2">
        <v>6861</v>
      </c>
      <c r="B660" s="4">
        <v>1046851.3800000001</v>
      </c>
    </row>
    <row r="661" spans="1:2" x14ac:dyDescent="0.3">
      <c r="A661" s="2">
        <v>7549</v>
      </c>
      <c r="B661" s="4">
        <v>824954.72</v>
      </c>
    </row>
    <row r="662" spans="1:2" x14ac:dyDescent="0.3">
      <c r="A662" s="2">
        <v>8556</v>
      </c>
      <c r="B662" s="4">
        <v>1759969.2</v>
      </c>
    </row>
    <row r="663" spans="1:2" x14ac:dyDescent="0.3">
      <c r="A663" s="2">
        <v>8166</v>
      </c>
      <c r="B663" s="4">
        <v>2084616.48</v>
      </c>
    </row>
    <row r="664" spans="1:2" x14ac:dyDescent="0.3">
      <c r="A664" s="2">
        <v>1698</v>
      </c>
      <c r="B664" s="4">
        <v>742365.6</v>
      </c>
    </row>
    <row r="665" spans="1:2" x14ac:dyDescent="0.3">
      <c r="A665" s="2">
        <v>6501</v>
      </c>
      <c r="B665" s="4">
        <v>991922.58000000007</v>
      </c>
    </row>
    <row r="666" spans="1:2" x14ac:dyDescent="0.3">
      <c r="A666" s="2">
        <v>6954</v>
      </c>
      <c r="B666" s="4">
        <v>64880.82</v>
      </c>
    </row>
    <row r="667" spans="1:2" x14ac:dyDescent="0.3">
      <c r="A667" s="2">
        <v>9468</v>
      </c>
      <c r="B667" s="4">
        <v>6327180.3599999994</v>
      </c>
    </row>
    <row r="668" spans="1:2" x14ac:dyDescent="0.3">
      <c r="A668" s="2">
        <v>7485</v>
      </c>
      <c r="B668" s="4">
        <v>1539664.5</v>
      </c>
    </row>
    <row r="669" spans="1:2" x14ac:dyDescent="0.3">
      <c r="A669" s="2">
        <v>6480</v>
      </c>
      <c r="B669" s="4">
        <v>529610.4</v>
      </c>
    </row>
    <row r="670" spans="1:2" x14ac:dyDescent="0.3">
      <c r="A670" s="2">
        <v>8958</v>
      </c>
      <c r="B670" s="4">
        <v>1842660.5999999999</v>
      </c>
    </row>
    <row r="671" spans="1:2" x14ac:dyDescent="0.3">
      <c r="A671" s="2">
        <v>9453</v>
      </c>
      <c r="B671" s="4">
        <v>3988126.17</v>
      </c>
    </row>
    <row r="672" spans="1:2" x14ac:dyDescent="0.3">
      <c r="A672" s="2">
        <v>9535</v>
      </c>
      <c r="B672" s="4">
        <v>6371954.4500000002</v>
      </c>
    </row>
    <row r="673" spans="1:2" x14ac:dyDescent="0.3">
      <c r="A673" s="2">
        <v>2800</v>
      </c>
      <c r="B673" s="4">
        <v>575960</v>
      </c>
    </row>
    <row r="674" spans="1:2" x14ac:dyDescent="0.3">
      <c r="A674" s="2">
        <v>9880</v>
      </c>
      <c r="B674" s="4">
        <v>6602507.5999999996</v>
      </c>
    </row>
    <row r="675" spans="1:2" x14ac:dyDescent="0.3">
      <c r="A675" s="2">
        <v>3435</v>
      </c>
      <c r="B675" s="4">
        <v>524112.30000000005</v>
      </c>
    </row>
    <row r="676" spans="1:2" x14ac:dyDescent="0.3">
      <c r="A676" s="2">
        <v>3158</v>
      </c>
      <c r="B676" s="4">
        <v>649600.6</v>
      </c>
    </row>
    <row r="677" spans="1:2" x14ac:dyDescent="0.3">
      <c r="A677" s="2">
        <v>773</v>
      </c>
      <c r="B677" s="4">
        <v>84473.44</v>
      </c>
    </row>
    <row r="678" spans="1:2" x14ac:dyDescent="0.3">
      <c r="A678" s="2">
        <v>5033</v>
      </c>
      <c r="B678" s="4">
        <v>775383.98</v>
      </c>
    </row>
    <row r="679" spans="1:2" x14ac:dyDescent="0.3">
      <c r="A679" s="2">
        <v>6727</v>
      </c>
      <c r="B679" s="4">
        <v>1026405.66</v>
      </c>
    </row>
    <row r="680" spans="1:2" x14ac:dyDescent="0.3">
      <c r="A680" s="2">
        <v>3669</v>
      </c>
      <c r="B680" s="4">
        <v>2451882.63</v>
      </c>
    </row>
    <row r="681" spans="1:2" x14ac:dyDescent="0.3">
      <c r="A681" s="2">
        <v>5711</v>
      </c>
      <c r="B681" s="4">
        <v>624098.07999999996</v>
      </c>
    </row>
    <row r="682" spans="1:2" x14ac:dyDescent="0.3">
      <c r="A682" s="2">
        <v>9730</v>
      </c>
      <c r="B682" s="4">
        <v>4253956</v>
      </c>
    </row>
    <row r="683" spans="1:2" x14ac:dyDescent="0.3">
      <c r="A683" s="2">
        <v>4639</v>
      </c>
      <c r="B683" s="4">
        <v>707818.62000000011</v>
      </c>
    </row>
    <row r="684" spans="1:2" x14ac:dyDescent="0.3">
      <c r="A684" s="2">
        <v>6380</v>
      </c>
      <c r="B684" s="4">
        <v>521437.4</v>
      </c>
    </row>
    <row r="685" spans="1:2" x14ac:dyDescent="0.3">
      <c r="A685" s="2">
        <v>2926</v>
      </c>
      <c r="B685" s="4">
        <v>27299.58</v>
      </c>
    </row>
    <row r="686" spans="1:2" x14ac:dyDescent="0.3">
      <c r="A686" s="2">
        <v>9283</v>
      </c>
      <c r="B686" s="4">
        <v>3916404.8699999996</v>
      </c>
    </row>
    <row r="687" spans="1:2" x14ac:dyDescent="0.3">
      <c r="A687" s="2">
        <v>2486</v>
      </c>
      <c r="B687" s="4">
        <v>379313.88</v>
      </c>
    </row>
    <row r="688" spans="1:2" x14ac:dyDescent="0.3">
      <c r="A688" s="2">
        <v>6603</v>
      </c>
      <c r="B688" s="4">
        <v>1358237.0999999999</v>
      </c>
    </row>
    <row r="689" spans="1:2" x14ac:dyDescent="0.3">
      <c r="A689" s="2">
        <v>7733</v>
      </c>
      <c r="B689" s="4">
        <v>5035806.9300000006</v>
      </c>
    </row>
    <row r="690" spans="1:2" x14ac:dyDescent="0.3">
      <c r="A690" s="2">
        <v>9004</v>
      </c>
      <c r="B690" s="4">
        <v>5863494.8400000008</v>
      </c>
    </row>
    <row r="691" spans="1:2" x14ac:dyDescent="0.3">
      <c r="A691" s="2">
        <v>5580</v>
      </c>
      <c r="B691" s="4">
        <v>52061.4</v>
      </c>
    </row>
    <row r="692" spans="1:2" x14ac:dyDescent="0.3">
      <c r="A692" s="2">
        <v>9651</v>
      </c>
      <c r="B692" s="4">
        <v>1486833.06</v>
      </c>
    </row>
    <row r="693" spans="1:2" x14ac:dyDescent="0.3">
      <c r="A693" s="2">
        <v>5441</v>
      </c>
      <c r="B693" s="4">
        <v>444692.93</v>
      </c>
    </row>
    <row r="694" spans="1:2" x14ac:dyDescent="0.3">
      <c r="A694" s="2">
        <v>4206</v>
      </c>
      <c r="B694" s="4">
        <v>647976.36</v>
      </c>
    </row>
    <row r="695" spans="1:2" x14ac:dyDescent="0.3">
      <c r="A695" s="2">
        <v>9232</v>
      </c>
      <c r="B695" s="4">
        <v>86134.56</v>
      </c>
    </row>
    <row r="696" spans="1:2" x14ac:dyDescent="0.3">
      <c r="A696" s="2">
        <v>836</v>
      </c>
      <c r="B696" s="4">
        <v>68326.28</v>
      </c>
    </row>
    <row r="697" spans="1:2" x14ac:dyDescent="0.3">
      <c r="A697" s="2">
        <v>1366</v>
      </c>
      <c r="B697" s="4">
        <v>64816.700000000004</v>
      </c>
    </row>
    <row r="698" spans="1:2" x14ac:dyDescent="0.3">
      <c r="A698" s="2">
        <v>202</v>
      </c>
      <c r="B698" s="4">
        <v>1884.66</v>
      </c>
    </row>
    <row r="699" spans="1:2" x14ac:dyDescent="0.3">
      <c r="A699" s="2">
        <v>8756</v>
      </c>
      <c r="B699" s="4">
        <v>1801109.2</v>
      </c>
    </row>
    <row r="700" spans="1:2" x14ac:dyDescent="0.3">
      <c r="A700" s="2">
        <v>5470</v>
      </c>
      <c r="B700" s="4">
        <v>1125179</v>
      </c>
    </row>
    <row r="701" spans="1:2" x14ac:dyDescent="0.3">
      <c r="A701" s="2">
        <v>818</v>
      </c>
      <c r="B701" s="4">
        <v>546644.86</v>
      </c>
    </row>
    <row r="702" spans="1:2" x14ac:dyDescent="0.3">
      <c r="A702" s="2">
        <v>2304</v>
      </c>
      <c r="B702" s="4">
        <v>972034.55999999994</v>
      </c>
    </row>
    <row r="703" spans="1:2" x14ac:dyDescent="0.3">
      <c r="A703" s="2">
        <v>9464</v>
      </c>
      <c r="B703" s="4">
        <v>1444017.12</v>
      </c>
    </row>
    <row r="704" spans="1:2" x14ac:dyDescent="0.3">
      <c r="A704" s="2">
        <v>8867</v>
      </c>
      <c r="B704" s="4">
        <v>2263567.7600000002</v>
      </c>
    </row>
    <row r="705" spans="1:2" x14ac:dyDescent="0.3">
      <c r="A705" s="2">
        <v>9110</v>
      </c>
      <c r="B705" s="4">
        <v>1873927</v>
      </c>
    </row>
    <row r="706" spans="1:2" x14ac:dyDescent="0.3">
      <c r="A706" s="2">
        <v>5824</v>
      </c>
      <c r="B706" s="4">
        <v>897245.44000000006</v>
      </c>
    </row>
    <row r="707" spans="1:2" x14ac:dyDescent="0.3">
      <c r="A707" s="2">
        <v>6669</v>
      </c>
      <c r="B707" s="4">
        <v>1017556.0200000001</v>
      </c>
    </row>
    <row r="708" spans="1:2" x14ac:dyDescent="0.3">
      <c r="A708" s="2">
        <v>6338</v>
      </c>
      <c r="B708" s="4">
        <v>2673938.8199999998</v>
      </c>
    </row>
    <row r="709" spans="1:2" x14ac:dyDescent="0.3">
      <c r="A709" s="2">
        <v>1555</v>
      </c>
      <c r="B709" s="4">
        <v>14508.15</v>
      </c>
    </row>
    <row r="710" spans="1:2" x14ac:dyDescent="0.3">
      <c r="A710" s="2">
        <v>6075</v>
      </c>
      <c r="B710" s="4">
        <v>1550826</v>
      </c>
    </row>
    <row r="711" spans="1:2" x14ac:dyDescent="0.3">
      <c r="A711" s="2">
        <v>5683</v>
      </c>
      <c r="B711" s="4">
        <v>53022.39</v>
      </c>
    </row>
    <row r="712" spans="1:2" x14ac:dyDescent="0.3">
      <c r="A712" s="2">
        <v>3197</v>
      </c>
      <c r="B712" s="4">
        <v>151697.65000000002</v>
      </c>
    </row>
    <row r="713" spans="1:2" x14ac:dyDescent="0.3">
      <c r="A713" s="2">
        <v>3466</v>
      </c>
      <c r="B713" s="4">
        <v>1462270.74</v>
      </c>
    </row>
    <row r="714" spans="1:2" x14ac:dyDescent="0.3">
      <c r="A714" s="2">
        <v>8369</v>
      </c>
      <c r="B714" s="4">
        <v>3530797.4099999997</v>
      </c>
    </row>
    <row r="715" spans="1:2" x14ac:dyDescent="0.3">
      <c r="A715" s="2">
        <v>1818</v>
      </c>
      <c r="B715" s="4">
        <v>280081.08</v>
      </c>
    </row>
    <row r="716" spans="1:2" x14ac:dyDescent="0.3">
      <c r="A716" s="2">
        <v>4756</v>
      </c>
      <c r="B716" s="4">
        <v>2006508.8399999999</v>
      </c>
    </row>
    <row r="717" spans="1:2" x14ac:dyDescent="0.3">
      <c r="A717" s="2">
        <v>154</v>
      </c>
      <c r="B717" s="4">
        <v>39313.120000000003</v>
      </c>
    </row>
    <row r="718" spans="1:2" x14ac:dyDescent="0.3">
      <c r="A718" s="2">
        <v>8020</v>
      </c>
      <c r="B718" s="4">
        <v>1235561.2</v>
      </c>
    </row>
    <row r="719" spans="1:2" x14ac:dyDescent="0.3">
      <c r="A719" s="2">
        <v>388</v>
      </c>
      <c r="B719" s="4">
        <v>59775.28</v>
      </c>
    </row>
    <row r="720" spans="1:2" x14ac:dyDescent="0.3">
      <c r="A720" s="2">
        <v>6326</v>
      </c>
      <c r="B720" s="4">
        <v>974583.56</v>
      </c>
    </row>
    <row r="721" spans="1:2" x14ac:dyDescent="0.3">
      <c r="A721" s="2">
        <v>6933</v>
      </c>
      <c r="B721" s="4">
        <v>1769856.24</v>
      </c>
    </row>
    <row r="722" spans="1:2" x14ac:dyDescent="0.3">
      <c r="A722" s="2">
        <v>339</v>
      </c>
      <c r="B722" s="4">
        <v>143020.71</v>
      </c>
    </row>
    <row r="723" spans="1:2" x14ac:dyDescent="0.3">
      <c r="A723" s="2">
        <v>6704</v>
      </c>
      <c r="B723" s="4">
        <v>4365711.84</v>
      </c>
    </row>
    <row r="724" spans="1:2" x14ac:dyDescent="0.3">
      <c r="A724" s="2">
        <v>3221</v>
      </c>
      <c r="B724" s="4">
        <v>2152497.67</v>
      </c>
    </row>
    <row r="725" spans="1:2" x14ac:dyDescent="0.3">
      <c r="A725" s="2">
        <v>9115</v>
      </c>
      <c r="B725" s="4">
        <v>996087.2</v>
      </c>
    </row>
    <row r="726" spans="1:2" x14ac:dyDescent="0.3">
      <c r="A726" s="2">
        <v>639</v>
      </c>
      <c r="B726" s="4">
        <v>98444.34</v>
      </c>
    </row>
    <row r="727" spans="1:2" x14ac:dyDescent="0.3">
      <c r="A727" s="2">
        <v>6079</v>
      </c>
      <c r="B727" s="4">
        <v>927533.82000000007</v>
      </c>
    </row>
    <row r="728" spans="1:2" x14ac:dyDescent="0.3">
      <c r="A728" s="2">
        <v>754</v>
      </c>
      <c r="B728" s="4">
        <v>82397.119999999995</v>
      </c>
    </row>
    <row r="729" spans="1:2" x14ac:dyDescent="0.3">
      <c r="A729" s="2">
        <v>2012</v>
      </c>
      <c r="B729" s="4">
        <v>309968.72000000003</v>
      </c>
    </row>
    <row r="730" spans="1:2" x14ac:dyDescent="0.3">
      <c r="A730" s="2">
        <v>4232</v>
      </c>
      <c r="B730" s="4">
        <v>1080344.96</v>
      </c>
    </row>
    <row r="731" spans="1:2" x14ac:dyDescent="0.3">
      <c r="A731" s="2">
        <v>3826</v>
      </c>
      <c r="B731" s="4">
        <v>418105.28</v>
      </c>
    </row>
    <row r="732" spans="1:2" x14ac:dyDescent="0.3">
      <c r="A732" s="2">
        <v>4236</v>
      </c>
      <c r="B732" s="4">
        <v>646328.88</v>
      </c>
    </row>
    <row r="733" spans="1:2" x14ac:dyDescent="0.3">
      <c r="A733" s="2">
        <v>936</v>
      </c>
      <c r="B733" s="4">
        <v>409219.2</v>
      </c>
    </row>
    <row r="734" spans="1:2" x14ac:dyDescent="0.3">
      <c r="A734" s="2">
        <v>6431</v>
      </c>
      <c r="B734" s="4">
        <v>702779.68</v>
      </c>
    </row>
    <row r="735" spans="1:2" x14ac:dyDescent="0.3">
      <c r="A735" s="2">
        <v>5257</v>
      </c>
      <c r="B735" s="4">
        <v>3423410.97</v>
      </c>
    </row>
    <row r="736" spans="1:2" x14ac:dyDescent="0.3">
      <c r="A736" s="2">
        <v>8981</v>
      </c>
      <c r="B736" s="4">
        <v>1847391.7</v>
      </c>
    </row>
    <row r="737" spans="1:2" x14ac:dyDescent="0.3">
      <c r="A737" s="2">
        <v>1201</v>
      </c>
      <c r="B737" s="4">
        <v>185026.06</v>
      </c>
    </row>
    <row r="738" spans="1:2" x14ac:dyDescent="0.3">
      <c r="A738" s="2">
        <v>2549</v>
      </c>
      <c r="B738" s="4">
        <v>388926.42000000004</v>
      </c>
    </row>
    <row r="739" spans="1:2" x14ac:dyDescent="0.3">
      <c r="A739" s="2">
        <v>5684</v>
      </c>
      <c r="B739" s="4">
        <v>1169198.8</v>
      </c>
    </row>
    <row r="740" spans="1:2" x14ac:dyDescent="0.3">
      <c r="A740" s="2">
        <v>300</v>
      </c>
      <c r="B740" s="4">
        <v>32784</v>
      </c>
    </row>
    <row r="741" spans="1:2" x14ac:dyDescent="0.3">
      <c r="A741" s="2">
        <v>8119</v>
      </c>
      <c r="B741" s="4">
        <v>2072618.32</v>
      </c>
    </row>
    <row r="742" spans="1:2" x14ac:dyDescent="0.3">
      <c r="A742" s="2">
        <v>7898</v>
      </c>
      <c r="B742" s="4">
        <v>5143256.58</v>
      </c>
    </row>
    <row r="743" spans="1:2" x14ac:dyDescent="0.3">
      <c r="A743" s="2">
        <v>421</v>
      </c>
      <c r="B743" s="4">
        <v>107472.88</v>
      </c>
    </row>
    <row r="744" spans="1:2" x14ac:dyDescent="0.3">
      <c r="A744" s="2">
        <v>3506</v>
      </c>
      <c r="B744" s="4">
        <v>895011.68</v>
      </c>
    </row>
    <row r="745" spans="1:2" x14ac:dyDescent="0.3">
      <c r="A745" s="2">
        <v>7002</v>
      </c>
      <c r="B745" s="4">
        <v>572273.46000000008</v>
      </c>
    </row>
    <row r="746" spans="1:2" x14ac:dyDescent="0.3">
      <c r="A746" s="2">
        <v>7790</v>
      </c>
      <c r="B746" s="4">
        <v>5205823.3</v>
      </c>
    </row>
    <row r="747" spans="1:2" x14ac:dyDescent="0.3">
      <c r="A747" s="2">
        <v>4779</v>
      </c>
      <c r="B747" s="4">
        <v>44588.07</v>
      </c>
    </row>
    <row r="748" spans="1:2" x14ac:dyDescent="0.3">
      <c r="A748" s="2">
        <v>3912</v>
      </c>
      <c r="B748" s="4">
        <v>1710326.4</v>
      </c>
    </row>
    <row r="749" spans="1:2" x14ac:dyDescent="0.3">
      <c r="A749" s="2">
        <v>3164</v>
      </c>
      <c r="B749" s="4">
        <v>650834.79999999993</v>
      </c>
    </row>
    <row r="750" spans="1:2" x14ac:dyDescent="0.3">
      <c r="A750" s="2">
        <v>7538</v>
      </c>
      <c r="B750" s="4">
        <v>357678.10000000003</v>
      </c>
    </row>
    <row r="751" spans="1:2" x14ac:dyDescent="0.3">
      <c r="A751" s="2">
        <v>4071</v>
      </c>
      <c r="B751" s="4">
        <v>1779841.2</v>
      </c>
    </row>
    <row r="752" spans="1:2" x14ac:dyDescent="0.3">
      <c r="A752" s="2">
        <v>6830</v>
      </c>
      <c r="B752" s="4">
        <v>1052229.8</v>
      </c>
    </row>
    <row r="753" spans="1:2" x14ac:dyDescent="0.3">
      <c r="A753" s="2">
        <v>1915</v>
      </c>
      <c r="B753" s="4">
        <v>90866.75</v>
      </c>
    </row>
    <row r="754" spans="1:2" x14ac:dyDescent="0.3">
      <c r="A754" s="2">
        <v>2454</v>
      </c>
      <c r="B754" s="4">
        <v>378063.24</v>
      </c>
    </row>
    <row r="755" spans="1:2" x14ac:dyDescent="0.3">
      <c r="A755" s="2">
        <v>3610</v>
      </c>
      <c r="B755" s="4">
        <v>550813.80000000005</v>
      </c>
    </row>
    <row r="756" spans="1:2" x14ac:dyDescent="0.3">
      <c r="A756" s="2">
        <v>7573</v>
      </c>
      <c r="B756" s="4">
        <v>1155488.3400000001</v>
      </c>
    </row>
    <row r="757" spans="1:2" x14ac:dyDescent="0.3">
      <c r="A757" s="2">
        <v>8569</v>
      </c>
      <c r="B757" s="4">
        <v>3746366.8</v>
      </c>
    </row>
    <row r="758" spans="1:2" x14ac:dyDescent="0.3">
      <c r="A758" s="2">
        <v>7852</v>
      </c>
      <c r="B758" s="4">
        <v>3432894.4</v>
      </c>
    </row>
    <row r="759" spans="1:2" x14ac:dyDescent="0.3">
      <c r="A759" s="2">
        <v>8707</v>
      </c>
      <c r="B759" s="4">
        <v>5818626.8899999997</v>
      </c>
    </row>
    <row r="760" spans="1:2" x14ac:dyDescent="0.3">
      <c r="A760" s="2">
        <v>1454</v>
      </c>
      <c r="B760" s="4">
        <v>158893.12</v>
      </c>
    </row>
    <row r="761" spans="1:2" x14ac:dyDescent="0.3">
      <c r="A761" s="2">
        <v>8439</v>
      </c>
      <c r="B761" s="4">
        <v>1735902.2999999998</v>
      </c>
    </row>
    <row r="762" spans="1:2" x14ac:dyDescent="0.3">
      <c r="A762" s="2">
        <v>9043</v>
      </c>
      <c r="B762" s="4">
        <v>739084.39</v>
      </c>
    </row>
    <row r="763" spans="1:2" x14ac:dyDescent="0.3">
      <c r="A763" s="2">
        <v>4677</v>
      </c>
      <c r="B763" s="4">
        <v>511102.56</v>
      </c>
    </row>
    <row r="764" spans="1:2" x14ac:dyDescent="0.3">
      <c r="A764" s="2">
        <v>3783</v>
      </c>
      <c r="B764" s="4">
        <v>2463527.4300000002</v>
      </c>
    </row>
    <row r="765" spans="1:2" x14ac:dyDescent="0.3">
      <c r="A765" s="2">
        <v>6836</v>
      </c>
      <c r="B765" s="4">
        <v>324368.2</v>
      </c>
    </row>
    <row r="766" spans="1:2" x14ac:dyDescent="0.3">
      <c r="A766" s="2">
        <v>1340</v>
      </c>
      <c r="B766" s="4">
        <v>204457.2</v>
      </c>
    </row>
    <row r="767" spans="1:2" x14ac:dyDescent="0.3">
      <c r="A767" s="2">
        <v>6830</v>
      </c>
      <c r="B767" s="4">
        <v>4447764.3</v>
      </c>
    </row>
    <row r="768" spans="1:2" x14ac:dyDescent="0.3">
      <c r="A768" s="2">
        <v>9876</v>
      </c>
      <c r="B768" s="4">
        <v>2521145.2799999998</v>
      </c>
    </row>
    <row r="769" spans="1:2" x14ac:dyDescent="0.3">
      <c r="A769" s="2">
        <v>9074</v>
      </c>
      <c r="B769" s="4">
        <v>1384510.9200000002</v>
      </c>
    </row>
    <row r="770" spans="1:2" x14ac:dyDescent="0.3">
      <c r="A770" s="2">
        <v>55</v>
      </c>
      <c r="B770" s="4">
        <v>11313.5</v>
      </c>
    </row>
    <row r="771" spans="1:2" x14ac:dyDescent="0.3">
      <c r="A771" s="2">
        <v>480</v>
      </c>
      <c r="B771" s="4">
        <v>320769.59999999998</v>
      </c>
    </row>
    <row r="772" spans="1:2" x14ac:dyDescent="0.3">
      <c r="A772" s="2">
        <v>5042</v>
      </c>
      <c r="B772" s="4">
        <v>550989.76</v>
      </c>
    </row>
    <row r="773" spans="1:2" x14ac:dyDescent="0.3">
      <c r="A773" s="2">
        <v>464</v>
      </c>
      <c r="B773" s="4">
        <v>95444.799999999988</v>
      </c>
    </row>
    <row r="774" spans="1:2" x14ac:dyDescent="0.3">
      <c r="A774" s="2">
        <v>501</v>
      </c>
      <c r="B774" s="4">
        <v>334803.27</v>
      </c>
    </row>
    <row r="775" spans="1:2" x14ac:dyDescent="0.3">
      <c r="A775" s="2">
        <v>940</v>
      </c>
      <c r="B775" s="4">
        <v>239963.2</v>
      </c>
    </row>
    <row r="776" spans="1:2" x14ac:dyDescent="0.3">
      <c r="A776" s="2">
        <v>4596</v>
      </c>
      <c r="B776" s="4">
        <v>218080.2</v>
      </c>
    </row>
    <row r="777" spans="1:2" x14ac:dyDescent="0.3">
      <c r="A777" s="2">
        <v>6320</v>
      </c>
      <c r="B777" s="4">
        <v>299884</v>
      </c>
    </row>
    <row r="778" spans="1:2" x14ac:dyDescent="0.3">
      <c r="A778" s="2">
        <v>7991</v>
      </c>
      <c r="B778" s="4">
        <v>5340145.57</v>
      </c>
    </row>
    <row r="779" spans="1:2" x14ac:dyDescent="0.3">
      <c r="A779" s="2">
        <v>3520</v>
      </c>
      <c r="B779" s="4">
        <v>2292259.2000000002</v>
      </c>
    </row>
    <row r="780" spans="1:2" x14ac:dyDescent="0.3">
      <c r="A780" s="2">
        <v>3850</v>
      </c>
      <c r="B780" s="4">
        <v>2572839.5</v>
      </c>
    </row>
    <row r="781" spans="1:2" x14ac:dyDescent="0.3">
      <c r="A781" s="2">
        <v>1954</v>
      </c>
      <c r="B781" s="4">
        <v>824373.05999999994</v>
      </c>
    </row>
    <row r="782" spans="1:2" x14ac:dyDescent="0.3">
      <c r="A782" s="2">
        <v>7837</v>
      </c>
      <c r="B782" s="4">
        <v>5103532.7700000005</v>
      </c>
    </row>
    <row r="783" spans="1:2" x14ac:dyDescent="0.3">
      <c r="A783" s="2">
        <v>3535</v>
      </c>
      <c r="B783" s="4">
        <v>1545502</v>
      </c>
    </row>
    <row r="784" spans="1:2" x14ac:dyDescent="0.3">
      <c r="A784" s="2">
        <v>8116</v>
      </c>
      <c r="B784" s="4">
        <v>3548315.1999999997</v>
      </c>
    </row>
    <row r="785" spans="1:2" x14ac:dyDescent="0.3">
      <c r="A785" s="2">
        <v>2678</v>
      </c>
      <c r="B785" s="4">
        <v>550864.6</v>
      </c>
    </row>
    <row r="786" spans="1:2" x14ac:dyDescent="0.3">
      <c r="A786" s="2">
        <v>5351</v>
      </c>
      <c r="B786" s="4">
        <v>1366003.28</v>
      </c>
    </row>
    <row r="787" spans="1:2" x14ac:dyDescent="0.3">
      <c r="A787" s="2">
        <v>6297</v>
      </c>
      <c r="B787" s="4">
        <v>514653.81</v>
      </c>
    </row>
    <row r="788" spans="1:2" x14ac:dyDescent="0.3">
      <c r="A788" s="2">
        <v>2707</v>
      </c>
      <c r="B788" s="4">
        <v>295820.96000000002</v>
      </c>
    </row>
    <row r="789" spans="1:2" x14ac:dyDescent="0.3">
      <c r="A789" s="2">
        <v>3805</v>
      </c>
      <c r="B789" s="4">
        <v>180547.25</v>
      </c>
    </row>
    <row r="790" spans="1:2" x14ac:dyDescent="0.3">
      <c r="A790" s="2">
        <v>5846</v>
      </c>
      <c r="B790" s="4">
        <v>891982.68</v>
      </c>
    </row>
    <row r="791" spans="1:2" x14ac:dyDescent="0.3">
      <c r="A791" s="2">
        <v>7117</v>
      </c>
      <c r="B791" s="4">
        <v>1085911.8600000001</v>
      </c>
    </row>
    <row r="792" spans="1:2" x14ac:dyDescent="0.3">
      <c r="A792" s="2">
        <v>2934</v>
      </c>
      <c r="B792" s="4">
        <v>1237825.26</v>
      </c>
    </row>
    <row r="793" spans="1:2" x14ac:dyDescent="0.3">
      <c r="A793" s="2">
        <v>647</v>
      </c>
      <c r="B793" s="4">
        <v>133087.9</v>
      </c>
    </row>
    <row r="794" spans="1:2" x14ac:dyDescent="0.3">
      <c r="A794" s="2">
        <v>4635</v>
      </c>
      <c r="B794" s="4">
        <v>219930.75</v>
      </c>
    </row>
    <row r="795" spans="1:2" x14ac:dyDescent="0.3">
      <c r="A795" s="2">
        <v>1309</v>
      </c>
      <c r="B795" s="4">
        <v>269261.3</v>
      </c>
    </row>
    <row r="796" spans="1:2" x14ac:dyDescent="0.3">
      <c r="A796" s="2">
        <v>4112</v>
      </c>
      <c r="B796" s="4">
        <v>627408.96000000008</v>
      </c>
    </row>
    <row r="797" spans="1:2" x14ac:dyDescent="0.3">
      <c r="A797" s="2">
        <v>8517</v>
      </c>
      <c r="B797" s="4">
        <v>404131.65</v>
      </c>
    </row>
    <row r="798" spans="1:2" x14ac:dyDescent="0.3">
      <c r="A798" s="2">
        <v>7030</v>
      </c>
      <c r="B798" s="4">
        <v>4697938.0999999996</v>
      </c>
    </row>
    <row r="799" spans="1:2" x14ac:dyDescent="0.3">
      <c r="A799" s="2">
        <v>4185</v>
      </c>
      <c r="B799" s="4">
        <v>342040.05</v>
      </c>
    </row>
    <row r="800" spans="1:2" x14ac:dyDescent="0.3">
      <c r="A800" s="2">
        <v>1552</v>
      </c>
      <c r="B800" s="4">
        <v>169602.56</v>
      </c>
    </row>
    <row r="801" spans="1:2" x14ac:dyDescent="0.3">
      <c r="A801" s="2">
        <v>2728</v>
      </c>
      <c r="B801" s="4">
        <v>1823040.56</v>
      </c>
    </row>
    <row r="802" spans="1:2" x14ac:dyDescent="0.3">
      <c r="A802" s="2">
        <v>8343</v>
      </c>
      <c r="B802" s="4">
        <v>3647559.6</v>
      </c>
    </row>
    <row r="803" spans="1:2" x14ac:dyDescent="0.3">
      <c r="A803" s="2">
        <v>1058</v>
      </c>
      <c r="B803" s="4">
        <v>86470.340000000011</v>
      </c>
    </row>
    <row r="804" spans="1:2" x14ac:dyDescent="0.3">
      <c r="A804" s="2">
        <v>566</v>
      </c>
      <c r="B804" s="4">
        <v>46259.18</v>
      </c>
    </row>
    <row r="805" spans="1:2" x14ac:dyDescent="0.3">
      <c r="A805" s="2">
        <v>8591</v>
      </c>
      <c r="B805" s="4">
        <v>3624456.9899999998</v>
      </c>
    </row>
    <row r="806" spans="1:2" x14ac:dyDescent="0.3">
      <c r="A806" s="2">
        <v>3887</v>
      </c>
      <c r="B806" s="4">
        <v>2597565.4899999998</v>
      </c>
    </row>
    <row r="807" spans="1:2" x14ac:dyDescent="0.3">
      <c r="A807" s="2">
        <v>7240</v>
      </c>
      <c r="B807" s="4">
        <v>67549.2</v>
      </c>
    </row>
    <row r="808" spans="1:2" x14ac:dyDescent="0.3">
      <c r="A808" s="2">
        <v>6468</v>
      </c>
      <c r="B808" s="4">
        <v>528629.64</v>
      </c>
    </row>
    <row r="809" spans="1:2" x14ac:dyDescent="0.3">
      <c r="A809" s="2">
        <v>1419</v>
      </c>
      <c r="B809" s="4">
        <v>115974.87000000001</v>
      </c>
    </row>
    <row r="810" spans="1:2" x14ac:dyDescent="0.3">
      <c r="A810" s="2">
        <v>8974</v>
      </c>
      <c r="B810" s="4">
        <v>5843958.54</v>
      </c>
    </row>
    <row r="811" spans="1:2" x14ac:dyDescent="0.3">
      <c r="A811" s="2">
        <v>8043</v>
      </c>
      <c r="B811" s="4">
        <v>1227200.9400000002</v>
      </c>
    </row>
    <row r="812" spans="1:2" x14ac:dyDescent="0.3">
      <c r="A812" s="2">
        <v>4569</v>
      </c>
      <c r="B812" s="4">
        <v>216799.05000000002</v>
      </c>
    </row>
    <row r="813" spans="1:2" x14ac:dyDescent="0.3">
      <c r="A813" s="2">
        <v>6526</v>
      </c>
      <c r="B813" s="4">
        <v>60887.58</v>
      </c>
    </row>
    <row r="814" spans="1:2" x14ac:dyDescent="0.3">
      <c r="A814" s="2">
        <v>8917</v>
      </c>
      <c r="B814" s="4">
        <v>728786.41</v>
      </c>
    </row>
    <row r="815" spans="1:2" x14ac:dyDescent="0.3">
      <c r="A815" s="2">
        <v>8781</v>
      </c>
      <c r="B815" s="4">
        <v>717671.13</v>
      </c>
    </row>
    <row r="816" spans="1:2" x14ac:dyDescent="0.3">
      <c r="A816" s="2">
        <v>183</v>
      </c>
      <c r="B816" s="4">
        <v>19998.240000000002</v>
      </c>
    </row>
    <row r="817" spans="1:2" x14ac:dyDescent="0.3">
      <c r="A817" s="2">
        <v>9222</v>
      </c>
      <c r="B817" s="4">
        <v>753714.06</v>
      </c>
    </row>
    <row r="818" spans="1:2" x14ac:dyDescent="0.3">
      <c r="A818" s="2">
        <v>9029</v>
      </c>
      <c r="B818" s="4">
        <v>3809244.81</v>
      </c>
    </row>
    <row r="819" spans="1:2" x14ac:dyDescent="0.3">
      <c r="A819" s="2">
        <v>4765</v>
      </c>
      <c r="B819" s="4">
        <v>3184306.55</v>
      </c>
    </row>
    <row r="820" spans="1:2" x14ac:dyDescent="0.3">
      <c r="A820" s="2">
        <v>8621</v>
      </c>
      <c r="B820" s="4">
        <v>5614081.4100000001</v>
      </c>
    </row>
    <row r="821" spans="1:2" x14ac:dyDescent="0.3">
      <c r="A821" s="2">
        <v>4822</v>
      </c>
      <c r="B821" s="4">
        <v>228803.90000000002</v>
      </c>
    </row>
    <row r="822" spans="1:2" x14ac:dyDescent="0.3">
      <c r="A822" s="2">
        <v>4622</v>
      </c>
      <c r="B822" s="4">
        <v>43123.26</v>
      </c>
    </row>
    <row r="823" spans="1:2" x14ac:dyDescent="0.3">
      <c r="A823" s="2">
        <v>1308</v>
      </c>
      <c r="B823" s="4">
        <v>12203.64</v>
      </c>
    </row>
    <row r="824" spans="1:2" x14ac:dyDescent="0.3">
      <c r="A824" s="2">
        <v>5197</v>
      </c>
      <c r="B824" s="4">
        <v>1069022.8999999999</v>
      </c>
    </row>
    <row r="825" spans="1:2" x14ac:dyDescent="0.3">
      <c r="A825" s="2">
        <v>8637</v>
      </c>
      <c r="B825" s="4">
        <v>5624500.7700000005</v>
      </c>
    </row>
    <row r="826" spans="1:2" x14ac:dyDescent="0.3">
      <c r="A826" s="2">
        <v>1008</v>
      </c>
      <c r="B826" s="4">
        <v>207345.59999999998</v>
      </c>
    </row>
    <row r="827" spans="1:2" x14ac:dyDescent="0.3">
      <c r="A827" s="2">
        <v>3723</v>
      </c>
      <c r="B827" s="4">
        <v>2487969.21</v>
      </c>
    </row>
    <row r="828" spans="1:2" x14ac:dyDescent="0.3">
      <c r="A828" s="2">
        <v>5222</v>
      </c>
      <c r="B828" s="4">
        <v>1333072.1599999999</v>
      </c>
    </row>
    <row r="829" spans="1:2" x14ac:dyDescent="0.3">
      <c r="A829" s="2">
        <v>5979</v>
      </c>
      <c r="B829" s="4">
        <v>921124.74</v>
      </c>
    </row>
    <row r="830" spans="1:2" x14ac:dyDescent="0.3">
      <c r="A830" s="2">
        <v>3501</v>
      </c>
      <c r="B830" s="4">
        <v>32664.33</v>
      </c>
    </row>
    <row r="831" spans="1:2" x14ac:dyDescent="0.3">
      <c r="A831" s="2">
        <v>7321</v>
      </c>
      <c r="B831" s="4">
        <v>1505929.7</v>
      </c>
    </row>
    <row r="832" spans="1:2" x14ac:dyDescent="0.3">
      <c r="A832" s="2">
        <v>4009</v>
      </c>
      <c r="B832" s="4">
        <v>37403.97</v>
      </c>
    </row>
    <row r="833" spans="1:2" x14ac:dyDescent="0.3">
      <c r="A833" s="2">
        <v>2163</v>
      </c>
      <c r="B833" s="4">
        <v>330030.54000000004</v>
      </c>
    </row>
    <row r="834" spans="1:2" x14ac:dyDescent="0.3">
      <c r="A834" s="2">
        <v>7411</v>
      </c>
      <c r="B834" s="4">
        <v>1891880.08</v>
      </c>
    </row>
    <row r="835" spans="1:2" x14ac:dyDescent="0.3">
      <c r="A835" s="2">
        <v>7417</v>
      </c>
      <c r="B835" s="4">
        <v>810529.76</v>
      </c>
    </row>
    <row r="836" spans="1:2" x14ac:dyDescent="0.3">
      <c r="A836" s="2">
        <v>6871</v>
      </c>
      <c r="B836" s="4">
        <v>64106.43</v>
      </c>
    </row>
    <row r="837" spans="1:2" x14ac:dyDescent="0.3">
      <c r="A837" s="2">
        <v>2498</v>
      </c>
      <c r="B837" s="4">
        <v>1092125.5999999999</v>
      </c>
    </row>
    <row r="838" spans="1:2" x14ac:dyDescent="0.3">
      <c r="A838" s="2">
        <v>8053</v>
      </c>
      <c r="B838" s="4">
        <v>3397480.17</v>
      </c>
    </row>
    <row r="839" spans="1:2" x14ac:dyDescent="0.3">
      <c r="A839" s="2">
        <v>9321</v>
      </c>
      <c r="B839" s="4">
        <v>1422198.1800000002</v>
      </c>
    </row>
    <row r="840" spans="1:2" x14ac:dyDescent="0.3">
      <c r="A840" s="2">
        <v>9121</v>
      </c>
      <c r="B840" s="4">
        <v>1876189.7</v>
      </c>
    </row>
    <row r="841" spans="1:2" x14ac:dyDescent="0.3">
      <c r="A841" s="2">
        <v>2300</v>
      </c>
      <c r="B841" s="4">
        <v>187979</v>
      </c>
    </row>
    <row r="842" spans="1:2" x14ac:dyDescent="0.3">
      <c r="A842" s="2">
        <v>738</v>
      </c>
      <c r="B842" s="4">
        <v>188396.64</v>
      </c>
    </row>
    <row r="843" spans="1:2" x14ac:dyDescent="0.3">
      <c r="A843" s="2">
        <v>8347</v>
      </c>
      <c r="B843" s="4">
        <v>682200.31</v>
      </c>
    </row>
    <row r="844" spans="1:2" x14ac:dyDescent="0.3">
      <c r="A844" s="2">
        <v>6070</v>
      </c>
      <c r="B844" s="4">
        <v>1549549.6</v>
      </c>
    </row>
    <row r="845" spans="1:2" x14ac:dyDescent="0.3">
      <c r="A845" s="2">
        <v>6879</v>
      </c>
      <c r="B845" s="4">
        <v>64181.07</v>
      </c>
    </row>
    <row r="846" spans="1:2" x14ac:dyDescent="0.3">
      <c r="A846" s="2">
        <v>779</v>
      </c>
      <c r="B846" s="4">
        <v>520582.32999999996</v>
      </c>
    </row>
    <row r="847" spans="1:2" x14ac:dyDescent="0.3">
      <c r="A847" s="2">
        <v>9807</v>
      </c>
      <c r="B847" s="4">
        <v>91499.31</v>
      </c>
    </row>
    <row r="848" spans="1:2" x14ac:dyDescent="0.3">
      <c r="A848" s="2">
        <v>3031</v>
      </c>
      <c r="B848" s="4">
        <v>1325153.2</v>
      </c>
    </row>
    <row r="849" spans="1:2" x14ac:dyDescent="0.3">
      <c r="A849" s="2">
        <v>1548</v>
      </c>
      <c r="B849" s="4">
        <v>238484.88</v>
      </c>
    </row>
    <row r="850" spans="1:2" x14ac:dyDescent="0.3">
      <c r="A850" s="2">
        <v>3489</v>
      </c>
      <c r="B850" s="4">
        <v>381277.92</v>
      </c>
    </row>
    <row r="851" spans="1:2" x14ac:dyDescent="0.3">
      <c r="A851" s="2">
        <v>9014</v>
      </c>
      <c r="B851" s="4">
        <v>2301093.92</v>
      </c>
    </row>
    <row r="852" spans="1:2" x14ac:dyDescent="0.3">
      <c r="A852" s="2">
        <v>5317</v>
      </c>
      <c r="B852" s="4">
        <v>1357323.76</v>
      </c>
    </row>
    <row r="853" spans="1:2" x14ac:dyDescent="0.3">
      <c r="A853" s="2">
        <v>1620</v>
      </c>
      <c r="B853" s="4">
        <v>15114.6</v>
      </c>
    </row>
    <row r="854" spans="1:2" x14ac:dyDescent="0.3">
      <c r="A854" s="2">
        <v>4179</v>
      </c>
      <c r="B854" s="4">
        <v>2721406.5900000003</v>
      </c>
    </row>
    <row r="855" spans="1:2" x14ac:dyDescent="0.3">
      <c r="A855" s="2">
        <v>1280</v>
      </c>
      <c r="B855" s="4">
        <v>326758.40000000002</v>
      </c>
    </row>
    <row r="856" spans="1:2" x14ac:dyDescent="0.3">
      <c r="A856" s="2">
        <v>8240</v>
      </c>
      <c r="B856" s="4">
        <v>3476373.6</v>
      </c>
    </row>
    <row r="857" spans="1:2" x14ac:dyDescent="0.3">
      <c r="A857" s="2">
        <v>2408</v>
      </c>
      <c r="B857" s="4">
        <v>614714.24</v>
      </c>
    </row>
    <row r="858" spans="1:2" x14ac:dyDescent="0.3">
      <c r="A858" s="2">
        <v>8163</v>
      </c>
      <c r="B858" s="4">
        <v>2083850.64</v>
      </c>
    </row>
    <row r="859" spans="1:2" x14ac:dyDescent="0.3">
      <c r="A859" s="2">
        <v>1917</v>
      </c>
      <c r="B859" s="4">
        <v>156676.41</v>
      </c>
    </row>
    <row r="860" spans="1:2" x14ac:dyDescent="0.3">
      <c r="A860" s="2">
        <v>7113</v>
      </c>
      <c r="B860" s="4">
        <v>337511.85000000003</v>
      </c>
    </row>
    <row r="861" spans="1:2" x14ac:dyDescent="0.3">
      <c r="A861" s="2">
        <v>9223</v>
      </c>
      <c r="B861" s="4">
        <v>437631.35000000003</v>
      </c>
    </row>
    <row r="862" spans="1:2" x14ac:dyDescent="0.3">
      <c r="A862" s="2">
        <v>753</v>
      </c>
      <c r="B862" s="4">
        <v>503207.31</v>
      </c>
    </row>
    <row r="863" spans="1:2" x14ac:dyDescent="0.3">
      <c r="A863" s="2">
        <v>6239</v>
      </c>
      <c r="B863" s="4">
        <v>296040.55000000005</v>
      </c>
    </row>
    <row r="864" spans="1:2" x14ac:dyDescent="0.3">
      <c r="A864" s="2">
        <v>7248</v>
      </c>
      <c r="B864" s="4">
        <v>592379.04</v>
      </c>
    </row>
    <row r="865" spans="1:2" x14ac:dyDescent="0.3">
      <c r="A865" s="2">
        <v>7379</v>
      </c>
      <c r="B865" s="4">
        <v>68846.070000000007</v>
      </c>
    </row>
    <row r="866" spans="1:2" x14ac:dyDescent="0.3">
      <c r="A866" s="2">
        <v>7261</v>
      </c>
      <c r="B866" s="4">
        <v>4852308.47</v>
      </c>
    </row>
    <row r="867" spans="1:2" x14ac:dyDescent="0.3">
      <c r="A867" s="2">
        <v>9557</v>
      </c>
      <c r="B867" s="4">
        <v>89166.81</v>
      </c>
    </row>
    <row r="868" spans="1:2" x14ac:dyDescent="0.3">
      <c r="A868" s="2">
        <v>3958</v>
      </c>
      <c r="B868" s="4">
        <v>2645012.66</v>
      </c>
    </row>
    <row r="869" spans="1:2" x14ac:dyDescent="0.3">
      <c r="A869" s="2">
        <v>2187</v>
      </c>
      <c r="B869" s="4">
        <v>449865.89999999997</v>
      </c>
    </row>
    <row r="870" spans="1:2" x14ac:dyDescent="0.3">
      <c r="A870" s="2">
        <v>3001</v>
      </c>
      <c r="B870" s="4">
        <v>617305.69999999995</v>
      </c>
    </row>
    <row r="871" spans="1:2" x14ac:dyDescent="0.3">
      <c r="A871" s="2">
        <v>7184</v>
      </c>
      <c r="B871" s="4">
        <v>785067.52000000002</v>
      </c>
    </row>
    <row r="872" spans="1:2" x14ac:dyDescent="0.3">
      <c r="A872" s="2">
        <v>2555</v>
      </c>
      <c r="B872" s="4">
        <v>393623.3</v>
      </c>
    </row>
    <row r="873" spans="1:2" x14ac:dyDescent="0.3">
      <c r="A873" s="2">
        <v>8961</v>
      </c>
      <c r="B873" s="4">
        <v>1367269.3800000001</v>
      </c>
    </row>
    <row r="874" spans="1:2" x14ac:dyDescent="0.3">
      <c r="A874" s="2">
        <v>3283</v>
      </c>
      <c r="B874" s="4">
        <v>505778.98</v>
      </c>
    </row>
    <row r="875" spans="1:2" x14ac:dyDescent="0.3">
      <c r="A875" s="2">
        <v>4433</v>
      </c>
      <c r="B875" s="4">
        <v>2962440.91</v>
      </c>
    </row>
    <row r="876" spans="1:2" x14ac:dyDescent="0.3">
      <c r="A876" s="2">
        <v>8351</v>
      </c>
      <c r="B876" s="4">
        <v>1274195.58</v>
      </c>
    </row>
    <row r="877" spans="1:2" x14ac:dyDescent="0.3">
      <c r="A877" s="2">
        <v>3013</v>
      </c>
      <c r="B877" s="4">
        <v>1271154.57</v>
      </c>
    </row>
    <row r="878" spans="1:2" x14ac:dyDescent="0.3">
      <c r="A878" s="2">
        <v>3422</v>
      </c>
      <c r="B878" s="4">
        <v>2228440.62</v>
      </c>
    </row>
    <row r="879" spans="1:2" x14ac:dyDescent="0.3">
      <c r="A879" s="2">
        <v>6615</v>
      </c>
      <c r="B879" s="4">
        <v>2892078</v>
      </c>
    </row>
    <row r="880" spans="1:2" x14ac:dyDescent="0.3">
      <c r="A880" s="2">
        <v>6660</v>
      </c>
      <c r="B880" s="4">
        <v>4337058.6000000006</v>
      </c>
    </row>
    <row r="881" spans="1:2" x14ac:dyDescent="0.3">
      <c r="A881" s="2">
        <v>9655</v>
      </c>
      <c r="B881" s="4">
        <v>6287432.5500000007</v>
      </c>
    </row>
    <row r="882" spans="1:2" x14ac:dyDescent="0.3">
      <c r="A882" s="2">
        <v>8729</v>
      </c>
      <c r="B882" s="4">
        <v>953905.12</v>
      </c>
    </row>
    <row r="883" spans="1:2" x14ac:dyDescent="0.3">
      <c r="A883" s="2">
        <v>9045</v>
      </c>
      <c r="B883" s="4">
        <v>739247.85000000009</v>
      </c>
    </row>
    <row r="884" spans="1:2" x14ac:dyDescent="0.3">
      <c r="A884" s="2">
        <v>2794</v>
      </c>
      <c r="B884" s="4">
        <v>26068.02</v>
      </c>
    </row>
    <row r="885" spans="1:2" x14ac:dyDescent="0.3">
      <c r="A885" s="2">
        <v>4200</v>
      </c>
      <c r="B885" s="4">
        <v>640836</v>
      </c>
    </row>
    <row r="886" spans="1:2" x14ac:dyDescent="0.3">
      <c r="A886" s="2">
        <v>4517</v>
      </c>
      <c r="B886" s="4">
        <v>1905677.13</v>
      </c>
    </row>
    <row r="887" spans="1:2" x14ac:dyDescent="0.3">
      <c r="A887" s="2">
        <v>7033</v>
      </c>
      <c r="B887" s="4">
        <v>1446688.0999999999</v>
      </c>
    </row>
    <row r="888" spans="1:2" x14ac:dyDescent="0.3">
      <c r="A888" s="2">
        <v>2065</v>
      </c>
      <c r="B888" s="4">
        <v>1379977.55</v>
      </c>
    </row>
    <row r="889" spans="1:2" x14ac:dyDescent="0.3">
      <c r="A889" s="2">
        <v>1960</v>
      </c>
      <c r="B889" s="4">
        <v>93002</v>
      </c>
    </row>
    <row r="890" spans="1:2" x14ac:dyDescent="0.3">
      <c r="A890" s="2">
        <v>6099</v>
      </c>
      <c r="B890" s="4">
        <v>666498.72</v>
      </c>
    </row>
    <row r="891" spans="1:2" x14ac:dyDescent="0.3">
      <c r="A891" s="2">
        <v>5893</v>
      </c>
      <c r="B891" s="4">
        <v>899153.94000000006</v>
      </c>
    </row>
    <row r="892" spans="1:2" x14ac:dyDescent="0.3">
      <c r="A892" s="2">
        <v>9785</v>
      </c>
      <c r="B892" s="4">
        <v>6539021.9500000002</v>
      </c>
    </row>
    <row r="893" spans="1:2" x14ac:dyDescent="0.3">
      <c r="A893" s="2">
        <v>8248</v>
      </c>
      <c r="B893" s="4">
        <v>391367.60000000003</v>
      </c>
    </row>
    <row r="894" spans="1:2" x14ac:dyDescent="0.3">
      <c r="A894" s="2">
        <v>8787</v>
      </c>
      <c r="B894" s="4">
        <v>416943.15</v>
      </c>
    </row>
    <row r="895" spans="1:2" x14ac:dyDescent="0.3">
      <c r="A895" s="2">
        <v>937</v>
      </c>
      <c r="B895" s="4">
        <v>192740.9</v>
      </c>
    </row>
    <row r="896" spans="1:2" x14ac:dyDescent="0.3">
      <c r="A896" s="2">
        <v>1268</v>
      </c>
      <c r="B896" s="4">
        <v>847366.36</v>
      </c>
    </row>
    <row r="897" spans="1:2" x14ac:dyDescent="0.3">
      <c r="A897" s="2">
        <v>8376</v>
      </c>
      <c r="B897" s="4">
        <v>2138225.2799999998</v>
      </c>
    </row>
    <row r="898" spans="1:2" x14ac:dyDescent="0.3">
      <c r="A898" s="2">
        <v>7893</v>
      </c>
      <c r="B898" s="4">
        <v>1623590.0999999999</v>
      </c>
    </row>
    <row r="899" spans="1:2" x14ac:dyDescent="0.3">
      <c r="A899" s="2">
        <v>7478</v>
      </c>
      <c r="B899" s="4">
        <v>1908983.84</v>
      </c>
    </row>
    <row r="900" spans="1:2" x14ac:dyDescent="0.3">
      <c r="A900" s="2">
        <v>1825</v>
      </c>
      <c r="B900" s="4">
        <v>278458.5</v>
      </c>
    </row>
    <row r="901" spans="1:2" x14ac:dyDescent="0.3">
      <c r="A901" s="2">
        <v>7657</v>
      </c>
      <c r="B901" s="4">
        <v>4986314.9700000007</v>
      </c>
    </row>
    <row r="902" spans="1:2" x14ac:dyDescent="0.3">
      <c r="A902" s="2">
        <v>8730</v>
      </c>
      <c r="B902" s="4">
        <v>3683099.6999999997</v>
      </c>
    </row>
    <row r="903" spans="1:2" x14ac:dyDescent="0.3">
      <c r="A903" s="2">
        <v>828</v>
      </c>
      <c r="B903" s="4">
        <v>39288.600000000006</v>
      </c>
    </row>
    <row r="904" spans="1:2" x14ac:dyDescent="0.3">
      <c r="A904" s="2">
        <v>6770</v>
      </c>
      <c r="B904" s="4">
        <v>4408691.7</v>
      </c>
    </row>
    <row r="905" spans="1:2" x14ac:dyDescent="0.3">
      <c r="A905" s="2">
        <v>1404</v>
      </c>
      <c r="B905" s="4">
        <v>216300.24</v>
      </c>
    </row>
    <row r="906" spans="1:2" x14ac:dyDescent="0.3">
      <c r="A906" s="2">
        <v>6610</v>
      </c>
      <c r="B906" s="4">
        <v>4304498.1000000006</v>
      </c>
    </row>
    <row r="907" spans="1:2" x14ac:dyDescent="0.3">
      <c r="A907" s="2">
        <v>6299</v>
      </c>
      <c r="B907" s="4">
        <v>1608008.72</v>
      </c>
    </row>
    <row r="908" spans="1:2" x14ac:dyDescent="0.3">
      <c r="A908" s="2">
        <v>1414</v>
      </c>
      <c r="B908" s="4">
        <v>596552.46</v>
      </c>
    </row>
    <row r="909" spans="1:2" x14ac:dyDescent="0.3">
      <c r="A909" s="2">
        <v>4928</v>
      </c>
      <c r="B909" s="4">
        <v>1013689.6</v>
      </c>
    </row>
    <row r="910" spans="1:2" x14ac:dyDescent="0.3">
      <c r="A910" s="2">
        <v>6846</v>
      </c>
      <c r="B910" s="4">
        <v>1408222.2</v>
      </c>
    </row>
    <row r="911" spans="1:2" x14ac:dyDescent="0.3">
      <c r="A911" s="2">
        <v>9205</v>
      </c>
      <c r="B911" s="4">
        <v>3883497.4499999997</v>
      </c>
    </row>
    <row r="912" spans="1:2" x14ac:dyDescent="0.3">
      <c r="A912" s="2">
        <v>1071</v>
      </c>
      <c r="B912" s="4">
        <v>697445.91</v>
      </c>
    </row>
    <row r="913" spans="1:2" x14ac:dyDescent="0.3">
      <c r="A913" s="2">
        <v>3543</v>
      </c>
      <c r="B913" s="4">
        <v>540590.94000000006</v>
      </c>
    </row>
    <row r="914" spans="1:2" x14ac:dyDescent="0.3">
      <c r="A914" s="2">
        <v>4751</v>
      </c>
      <c r="B914" s="4">
        <v>388299.23000000004</v>
      </c>
    </row>
    <row r="915" spans="1:2" x14ac:dyDescent="0.3">
      <c r="A915" s="2">
        <v>4857</v>
      </c>
      <c r="B915" s="4">
        <v>2049119.73</v>
      </c>
    </row>
    <row r="916" spans="1:2" x14ac:dyDescent="0.3">
      <c r="A916" s="2">
        <v>1052</v>
      </c>
      <c r="B916" s="4">
        <v>685072.92</v>
      </c>
    </row>
    <row r="917" spans="1:2" x14ac:dyDescent="0.3">
      <c r="A917" s="2">
        <v>2560</v>
      </c>
      <c r="B917" s="4">
        <v>279756.79999999999</v>
      </c>
    </row>
    <row r="918" spans="1:2" x14ac:dyDescent="0.3">
      <c r="A918" s="2">
        <v>5637</v>
      </c>
      <c r="B918" s="4">
        <v>868436.22</v>
      </c>
    </row>
    <row r="919" spans="1:2" x14ac:dyDescent="0.3">
      <c r="A919" s="2">
        <v>8568</v>
      </c>
      <c r="B919" s="4">
        <v>5579567.2800000003</v>
      </c>
    </row>
    <row r="920" spans="1:2" x14ac:dyDescent="0.3">
      <c r="A920" s="2">
        <v>6670</v>
      </c>
      <c r="B920" s="4">
        <v>545139.1</v>
      </c>
    </row>
    <row r="921" spans="1:2" x14ac:dyDescent="0.3">
      <c r="A921" s="2">
        <v>7293</v>
      </c>
      <c r="B921" s="4">
        <v>1500170.0999999999</v>
      </c>
    </row>
    <row r="922" spans="1:2" x14ac:dyDescent="0.3">
      <c r="A922" s="2">
        <v>4816</v>
      </c>
      <c r="B922" s="4">
        <v>741952.96</v>
      </c>
    </row>
    <row r="923" spans="1:2" x14ac:dyDescent="0.3">
      <c r="A923" s="2">
        <v>5651</v>
      </c>
      <c r="B923" s="4">
        <v>870593.06</v>
      </c>
    </row>
    <row r="924" spans="1:2" x14ac:dyDescent="0.3">
      <c r="A924" s="2">
        <v>3239</v>
      </c>
      <c r="B924" s="4">
        <v>30219.87</v>
      </c>
    </row>
    <row r="925" spans="1:2" x14ac:dyDescent="0.3">
      <c r="A925" s="2">
        <v>3054</v>
      </c>
      <c r="B925" s="4">
        <v>628207.79999999993</v>
      </c>
    </row>
    <row r="926" spans="1:2" x14ac:dyDescent="0.3">
      <c r="A926" s="2">
        <v>7601</v>
      </c>
      <c r="B926" s="4">
        <v>360667.45</v>
      </c>
    </row>
    <row r="927" spans="1:2" x14ac:dyDescent="0.3">
      <c r="A927" s="2">
        <v>1417</v>
      </c>
      <c r="B927" s="4">
        <v>597818.13</v>
      </c>
    </row>
    <row r="928" spans="1:2" x14ac:dyDescent="0.3">
      <c r="A928" s="2">
        <v>6069</v>
      </c>
      <c r="B928" s="4">
        <v>496019.37</v>
      </c>
    </row>
    <row r="929" spans="1:2" x14ac:dyDescent="0.3">
      <c r="A929" s="2">
        <v>5155</v>
      </c>
      <c r="B929" s="4">
        <v>1315968.3999999999</v>
      </c>
    </row>
    <row r="930" spans="1:2" x14ac:dyDescent="0.3">
      <c r="A930" s="2">
        <v>9305</v>
      </c>
      <c r="B930" s="4">
        <v>1433528.3</v>
      </c>
    </row>
    <row r="931" spans="1:2" x14ac:dyDescent="0.3">
      <c r="A931" s="2">
        <v>1181</v>
      </c>
      <c r="B931" s="4">
        <v>242931.69999999998</v>
      </c>
    </row>
    <row r="932" spans="1:2" x14ac:dyDescent="0.3">
      <c r="A932" s="2">
        <v>474</v>
      </c>
      <c r="B932" s="4">
        <v>72322.920000000013</v>
      </c>
    </row>
    <row r="933" spans="1:2" x14ac:dyDescent="0.3">
      <c r="A933" s="2">
        <v>8909</v>
      </c>
      <c r="B933" s="4">
        <v>422732.05000000005</v>
      </c>
    </row>
    <row r="934" spans="1:2" x14ac:dyDescent="0.3">
      <c r="A934" s="2">
        <v>5240</v>
      </c>
      <c r="B934" s="4">
        <v>572627.19999999995</v>
      </c>
    </row>
    <row r="935" spans="1:2" x14ac:dyDescent="0.3">
      <c r="A935" s="2">
        <v>253</v>
      </c>
      <c r="B935" s="4">
        <v>164756.13</v>
      </c>
    </row>
    <row r="936" spans="1:2" x14ac:dyDescent="0.3">
      <c r="A936" s="2">
        <v>1766</v>
      </c>
      <c r="B936" s="4">
        <v>16476.78</v>
      </c>
    </row>
    <row r="937" spans="1:2" x14ac:dyDescent="0.3">
      <c r="A937" s="2">
        <v>9628</v>
      </c>
      <c r="B937" s="4">
        <v>4209361.5999999996</v>
      </c>
    </row>
    <row r="938" spans="1:2" x14ac:dyDescent="0.3">
      <c r="A938" s="2">
        <v>718</v>
      </c>
      <c r="B938" s="4">
        <v>467568.78</v>
      </c>
    </row>
    <row r="939" spans="1:2" x14ac:dyDescent="0.3">
      <c r="A939" s="2">
        <v>3947</v>
      </c>
      <c r="B939" s="4">
        <v>2637661.69</v>
      </c>
    </row>
    <row r="940" spans="1:2" x14ac:dyDescent="0.3">
      <c r="A940" s="2">
        <v>5258</v>
      </c>
      <c r="B940" s="4">
        <v>1342262.24</v>
      </c>
    </row>
    <row r="941" spans="1:2" x14ac:dyDescent="0.3">
      <c r="A941" s="2">
        <v>2625</v>
      </c>
      <c r="B941" s="4">
        <v>670110</v>
      </c>
    </row>
    <row r="942" spans="1:2" x14ac:dyDescent="0.3">
      <c r="A942" s="2">
        <v>1052</v>
      </c>
      <c r="B942" s="4">
        <v>443828.27999999997</v>
      </c>
    </row>
    <row r="943" spans="1:2" x14ac:dyDescent="0.3">
      <c r="A943" s="2">
        <v>7575</v>
      </c>
      <c r="B943" s="4">
        <v>1933746</v>
      </c>
    </row>
    <row r="944" spans="1:2" x14ac:dyDescent="0.3">
      <c r="A944" s="2">
        <v>6263</v>
      </c>
      <c r="B944" s="4">
        <v>58433.79</v>
      </c>
    </row>
    <row r="945" spans="1:2" x14ac:dyDescent="0.3">
      <c r="A945" s="2">
        <v>3212</v>
      </c>
      <c r="B945" s="4">
        <v>1355110.68</v>
      </c>
    </row>
    <row r="946" spans="1:2" x14ac:dyDescent="0.3">
      <c r="A946" s="2">
        <v>1554</v>
      </c>
      <c r="B946" s="4">
        <v>14498.82</v>
      </c>
    </row>
    <row r="947" spans="1:2" x14ac:dyDescent="0.3">
      <c r="A947" s="2">
        <v>6450</v>
      </c>
      <c r="B947" s="4">
        <v>704856</v>
      </c>
    </row>
    <row r="948" spans="1:2" x14ac:dyDescent="0.3">
      <c r="A948" s="2">
        <v>91</v>
      </c>
      <c r="B948" s="4">
        <v>14019.460000000001</v>
      </c>
    </row>
    <row r="949" spans="1:2" x14ac:dyDescent="0.3">
      <c r="A949" s="2">
        <v>6702</v>
      </c>
      <c r="B949" s="4">
        <v>318009.90000000002</v>
      </c>
    </row>
    <row r="950" spans="1:2" x14ac:dyDescent="0.3">
      <c r="A950" s="2">
        <v>7538</v>
      </c>
      <c r="B950" s="4">
        <v>357678.10000000003</v>
      </c>
    </row>
    <row r="951" spans="1:2" x14ac:dyDescent="0.3">
      <c r="A951" s="2">
        <v>5884</v>
      </c>
      <c r="B951" s="4">
        <v>1502067.52</v>
      </c>
    </row>
    <row r="952" spans="1:2" x14ac:dyDescent="0.3">
      <c r="A952" s="2">
        <v>2058</v>
      </c>
      <c r="B952" s="4">
        <v>317055.48</v>
      </c>
    </row>
    <row r="953" spans="1:2" x14ac:dyDescent="0.3">
      <c r="A953" s="2">
        <v>8408</v>
      </c>
      <c r="B953" s="4">
        <v>687185.84000000008</v>
      </c>
    </row>
    <row r="954" spans="1:2" x14ac:dyDescent="0.3">
      <c r="A954" s="2">
        <v>4315</v>
      </c>
      <c r="B954" s="4">
        <v>2883585.05</v>
      </c>
    </row>
    <row r="955" spans="1:2" x14ac:dyDescent="0.3">
      <c r="A955" s="2">
        <v>1189</v>
      </c>
      <c r="B955" s="4">
        <v>244577.3</v>
      </c>
    </row>
    <row r="956" spans="1:2" x14ac:dyDescent="0.3">
      <c r="A956" s="2">
        <v>7473</v>
      </c>
      <c r="B956" s="4">
        <v>610768.29</v>
      </c>
    </row>
    <row r="957" spans="1:2" x14ac:dyDescent="0.3">
      <c r="A957" s="2">
        <v>3641</v>
      </c>
      <c r="B957" s="4">
        <v>2433171.0699999998</v>
      </c>
    </row>
    <row r="958" spans="1:2" x14ac:dyDescent="0.3">
      <c r="A958" s="2">
        <v>7198</v>
      </c>
      <c r="B958" s="4">
        <v>786597.44000000006</v>
      </c>
    </row>
    <row r="959" spans="1:2" x14ac:dyDescent="0.3">
      <c r="A959" s="2">
        <v>7678</v>
      </c>
      <c r="B959" s="4">
        <v>3356821.6</v>
      </c>
    </row>
    <row r="960" spans="1:2" x14ac:dyDescent="0.3">
      <c r="A960" s="2">
        <v>1651</v>
      </c>
      <c r="B960" s="4">
        <v>254353.06</v>
      </c>
    </row>
    <row r="961" spans="1:2" x14ac:dyDescent="0.3">
      <c r="A961" s="2">
        <v>7715</v>
      </c>
      <c r="B961" s="4">
        <v>1188572.8999999999</v>
      </c>
    </row>
    <row r="962" spans="1:2" x14ac:dyDescent="0.3">
      <c r="A962" s="2">
        <v>1499</v>
      </c>
      <c r="B962" s="4">
        <v>976163.79</v>
      </c>
    </row>
    <row r="963" spans="1:2" x14ac:dyDescent="0.3">
      <c r="A963" s="2">
        <v>664</v>
      </c>
      <c r="B963" s="4">
        <v>280134.95999999996</v>
      </c>
    </row>
    <row r="964" spans="1:2" x14ac:dyDescent="0.3">
      <c r="A964" s="2">
        <v>9904</v>
      </c>
      <c r="B964" s="4">
        <v>6618546.0800000001</v>
      </c>
    </row>
    <row r="965" spans="1:2" x14ac:dyDescent="0.3">
      <c r="A965" s="2">
        <v>5941</v>
      </c>
      <c r="B965" s="4">
        <v>906477.78</v>
      </c>
    </row>
    <row r="966" spans="1:2" x14ac:dyDescent="0.3">
      <c r="A966" s="2">
        <v>2531</v>
      </c>
      <c r="B966" s="4">
        <v>276587.68</v>
      </c>
    </row>
    <row r="967" spans="1:2" x14ac:dyDescent="0.3">
      <c r="A967" s="2">
        <v>5460</v>
      </c>
      <c r="B967" s="4">
        <v>2387112</v>
      </c>
    </row>
    <row r="968" spans="1:2" x14ac:dyDescent="0.3">
      <c r="A968" s="2">
        <v>7544</v>
      </c>
      <c r="B968" s="4">
        <v>357962.80000000005</v>
      </c>
    </row>
    <row r="969" spans="1:2" x14ac:dyDescent="0.3">
      <c r="A969" s="2">
        <v>3633</v>
      </c>
      <c r="B969" s="4">
        <v>559699.98</v>
      </c>
    </row>
    <row r="970" spans="1:2" x14ac:dyDescent="0.3">
      <c r="A970" s="2">
        <v>5607</v>
      </c>
      <c r="B970" s="4">
        <v>2451380.4</v>
      </c>
    </row>
    <row r="971" spans="1:2" x14ac:dyDescent="0.3">
      <c r="A971" s="2">
        <v>7376</v>
      </c>
      <c r="B971" s="4">
        <v>602840.48</v>
      </c>
    </row>
    <row r="972" spans="1:2" x14ac:dyDescent="0.3">
      <c r="A972" s="2">
        <v>9884</v>
      </c>
      <c r="B972" s="4">
        <v>92217.72</v>
      </c>
    </row>
    <row r="973" spans="1:2" x14ac:dyDescent="0.3">
      <c r="A973" s="2">
        <v>6103</v>
      </c>
      <c r="B973" s="4">
        <v>2668231.6</v>
      </c>
    </row>
    <row r="974" spans="1:2" x14ac:dyDescent="0.3">
      <c r="A974" s="2">
        <v>6039</v>
      </c>
      <c r="B974" s="4">
        <v>4035682.53</v>
      </c>
    </row>
    <row r="975" spans="1:2" x14ac:dyDescent="0.3">
      <c r="A975" s="2">
        <v>1727</v>
      </c>
      <c r="B975" s="4">
        <v>81946.150000000009</v>
      </c>
    </row>
    <row r="976" spans="1:2" x14ac:dyDescent="0.3">
      <c r="A976" s="2">
        <v>2236</v>
      </c>
      <c r="B976" s="4">
        <v>341168.88</v>
      </c>
    </row>
    <row r="977" spans="1:2" x14ac:dyDescent="0.3">
      <c r="A977" s="2">
        <v>8663</v>
      </c>
      <c r="B977" s="4">
        <v>5641432.2300000004</v>
      </c>
    </row>
    <row r="978" spans="1:2" x14ac:dyDescent="0.3">
      <c r="A978" s="2">
        <v>9139</v>
      </c>
      <c r="B978" s="4">
        <v>6107319.5300000003</v>
      </c>
    </row>
    <row r="979" spans="1:2" x14ac:dyDescent="0.3">
      <c r="A979" s="2">
        <v>3824</v>
      </c>
      <c r="B979" s="4">
        <v>35677.919999999998</v>
      </c>
    </row>
    <row r="980" spans="1:2" x14ac:dyDescent="0.3">
      <c r="A980" s="2">
        <v>9912</v>
      </c>
      <c r="B980" s="4">
        <v>2530335.36</v>
      </c>
    </row>
    <row r="981" spans="1:2" x14ac:dyDescent="0.3">
      <c r="A981" s="2">
        <v>6626</v>
      </c>
      <c r="B981" s="4">
        <v>2795443.14</v>
      </c>
    </row>
    <row r="982" spans="1:2" x14ac:dyDescent="0.3">
      <c r="A982" s="2">
        <v>220</v>
      </c>
      <c r="B982" s="4">
        <v>33893.199999999997</v>
      </c>
    </row>
    <row r="983" spans="1:2" x14ac:dyDescent="0.3">
      <c r="A983" s="2">
        <v>8981</v>
      </c>
      <c r="B983" s="4">
        <v>426148.45</v>
      </c>
    </row>
    <row r="984" spans="1:2" x14ac:dyDescent="0.3">
      <c r="A984" s="2">
        <v>8226</v>
      </c>
      <c r="B984" s="4">
        <v>390323.7</v>
      </c>
    </row>
    <row r="985" spans="1:2" x14ac:dyDescent="0.3">
      <c r="A985" s="2">
        <v>5304</v>
      </c>
      <c r="B985" s="4">
        <v>3454017.8400000003</v>
      </c>
    </row>
    <row r="986" spans="1:2" x14ac:dyDescent="0.3">
      <c r="A986" s="2">
        <v>4594</v>
      </c>
      <c r="B986" s="4">
        <v>700952.52</v>
      </c>
    </row>
    <row r="987" spans="1:2" x14ac:dyDescent="0.3">
      <c r="A987" s="2">
        <v>2509</v>
      </c>
      <c r="B987" s="4">
        <v>1096934.8</v>
      </c>
    </row>
    <row r="988" spans="1:2" x14ac:dyDescent="0.3">
      <c r="A988" s="2">
        <v>2489</v>
      </c>
      <c r="B988" s="4">
        <v>271997.92</v>
      </c>
    </row>
    <row r="989" spans="1:2" x14ac:dyDescent="0.3">
      <c r="A989" s="2">
        <v>10</v>
      </c>
      <c r="B989" s="4">
        <v>4218.8999999999996</v>
      </c>
    </row>
    <row r="990" spans="1:2" x14ac:dyDescent="0.3">
      <c r="A990" s="2">
        <v>7575</v>
      </c>
      <c r="B990" s="4">
        <v>1167004.5</v>
      </c>
    </row>
    <row r="991" spans="1:2" x14ac:dyDescent="0.3">
      <c r="A991" s="2">
        <v>9721</v>
      </c>
      <c r="B991" s="4">
        <v>4250021.2</v>
      </c>
    </row>
    <row r="992" spans="1:2" x14ac:dyDescent="0.3">
      <c r="A992" s="2">
        <v>8015</v>
      </c>
      <c r="B992" s="4">
        <v>1222928.7000000002</v>
      </c>
    </row>
    <row r="993" spans="1:2" x14ac:dyDescent="0.3">
      <c r="A993" s="2">
        <v>6056</v>
      </c>
      <c r="B993" s="4">
        <v>287357.2</v>
      </c>
    </row>
    <row r="994" spans="1:2" x14ac:dyDescent="0.3">
      <c r="A994" s="2">
        <v>4474</v>
      </c>
      <c r="B994" s="4">
        <v>41742.42</v>
      </c>
    </row>
    <row r="995" spans="1:2" x14ac:dyDescent="0.3">
      <c r="A995" s="2">
        <v>5930</v>
      </c>
      <c r="B995" s="4">
        <v>2592596</v>
      </c>
    </row>
    <row r="996" spans="1:2" x14ac:dyDescent="0.3">
      <c r="A996" s="2">
        <v>115</v>
      </c>
      <c r="B996" s="4">
        <v>1072.95</v>
      </c>
    </row>
    <row r="997" spans="1:2" x14ac:dyDescent="0.3">
      <c r="A997" s="2">
        <v>8755</v>
      </c>
      <c r="B997" s="4">
        <v>415424.75</v>
      </c>
    </row>
    <row r="998" spans="1:2" x14ac:dyDescent="0.3">
      <c r="A998" s="2">
        <v>604</v>
      </c>
      <c r="B998" s="4">
        <v>49364.920000000006</v>
      </c>
    </row>
    <row r="999" spans="1:2" x14ac:dyDescent="0.3">
      <c r="A999" s="2">
        <v>6447</v>
      </c>
      <c r="B999" s="4">
        <v>60150.51</v>
      </c>
    </row>
    <row r="1000" spans="1:2" x14ac:dyDescent="0.3">
      <c r="A1000" s="2">
        <v>4103</v>
      </c>
      <c r="B1000" s="4">
        <v>632108.18000000005</v>
      </c>
    </row>
    <row r="1001" spans="1:2" x14ac:dyDescent="0.3">
      <c r="A1001" s="2">
        <v>3420</v>
      </c>
      <c r="B1001" s="4">
        <v>373737.6</v>
      </c>
    </row>
  </sheetData>
  <mergeCells count="1">
    <mergeCell ref="D2:G2"/>
  </mergeCell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2221-F66D-4F76-84F7-1E3D992CE2AC}">
  <sheetPr>
    <tabColor rgb="FF002060"/>
  </sheetPr>
  <dimension ref="A1:O1001"/>
  <sheetViews>
    <sheetView topLeftCell="K7" zoomScale="55" zoomScaleNormal="55" workbookViewId="0">
      <selection activeCell="AP336" sqref="AP336"/>
    </sheetView>
  </sheetViews>
  <sheetFormatPr baseColWidth="10" defaultRowHeight="14.4" x14ac:dyDescent="0.3"/>
  <cols>
    <col min="2" max="2" width="17.21875" bestFit="1" customWidth="1"/>
    <col min="3" max="3" width="20.5546875" bestFit="1" customWidth="1"/>
    <col min="4" max="4" width="18" bestFit="1" customWidth="1"/>
    <col min="5" max="5" width="16.5546875" bestFit="1" customWidth="1"/>
    <col min="6" max="6" width="20" bestFit="1" customWidth="1"/>
    <col min="7" max="7" width="14.5546875" bestFit="1" customWidth="1"/>
    <col min="9" max="9" width="19.88671875" bestFit="1" customWidth="1"/>
    <col min="10" max="10" width="14.5546875" bestFit="1" customWidth="1"/>
    <col min="11" max="11" width="11.44140625" bestFit="1" customWidth="1"/>
    <col min="13" max="13" width="13" customWidth="1"/>
    <col min="14" max="14" width="14.33203125" customWidth="1"/>
  </cols>
  <sheetData>
    <row r="1" spans="1:15" ht="31.2" x14ac:dyDescent="0.3">
      <c r="A1" s="40" t="s">
        <v>127</v>
      </c>
      <c r="B1" s="38" t="s">
        <v>126</v>
      </c>
      <c r="C1" s="38" t="s">
        <v>48</v>
      </c>
      <c r="D1" s="32" t="s">
        <v>116</v>
      </c>
      <c r="E1" s="32" t="s">
        <v>117</v>
      </c>
      <c r="F1" s="32" t="s">
        <v>118</v>
      </c>
      <c r="G1" s="33" t="s">
        <v>119</v>
      </c>
      <c r="H1" s="33" t="s">
        <v>120</v>
      </c>
      <c r="I1" s="34" t="s">
        <v>121</v>
      </c>
      <c r="J1" s="35" t="s">
        <v>122</v>
      </c>
      <c r="K1" s="36" t="s">
        <v>123</v>
      </c>
      <c r="L1" s="36" t="s">
        <v>118</v>
      </c>
      <c r="M1" s="37" t="s">
        <v>124</v>
      </c>
      <c r="N1" s="37" t="s">
        <v>125</v>
      </c>
      <c r="O1" s="37" t="s">
        <v>118</v>
      </c>
    </row>
    <row r="2" spans="1:15" x14ac:dyDescent="0.3">
      <c r="A2" s="50">
        <v>43831</v>
      </c>
      <c r="B2" s="2">
        <v>1</v>
      </c>
      <c r="C2" s="39">
        <v>843767.4</v>
      </c>
      <c r="D2" s="2" t="e">
        <v>#N/A</v>
      </c>
      <c r="E2" s="2" t="e">
        <v>#N/A</v>
      </c>
      <c r="F2" s="2" t="e">
        <v>#N/A</v>
      </c>
      <c r="G2" s="2" t="e">
        <v>#N/A</v>
      </c>
      <c r="H2" s="2" t="e">
        <v>#N/A</v>
      </c>
      <c r="I2" s="2" t="e">
        <v>#N/A</v>
      </c>
      <c r="J2" s="2" t="e">
        <v>#N/A</v>
      </c>
      <c r="K2" s="2" t="e">
        <v>#N/A</v>
      </c>
      <c r="L2" s="2" t="e">
        <v>#N/A</v>
      </c>
      <c r="M2" s="45">
        <v>0.67</v>
      </c>
    </row>
    <row r="3" spans="1:15" x14ac:dyDescent="0.3">
      <c r="A3" s="50">
        <v>43832</v>
      </c>
      <c r="B3" s="2">
        <v>2</v>
      </c>
      <c r="C3" s="4">
        <v>419358.66</v>
      </c>
      <c r="D3" s="4">
        <f>AVERAGE(C2:C3)</f>
        <v>631563.03</v>
      </c>
      <c r="E3" s="44" t="e">
        <v>#N/A</v>
      </c>
      <c r="F3" s="2" t="e">
        <v>#N/A</v>
      </c>
      <c r="G3" s="2" t="e">
        <v>#N/A</v>
      </c>
      <c r="H3" s="2" t="e">
        <v>#N/A</v>
      </c>
      <c r="I3" s="2" t="e">
        <v>#N/A</v>
      </c>
      <c r="J3" s="2" t="e">
        <v>#N/A</v>
      </c>
      <c r="K3" s="2" t="e">
        <v>#N/A</v>
      </c>
      <c r="L3" s="2" t="e">
        <v>#N/A</v>
      </c>
      <c r="M3" s="45">
        <v>0.11</v>
      </c>
    </row>
    <row r="4" spans="1:15" x14ac:dyDescent="0.3">
      <c r="A4" s="50">
        <v>43833</v>
      </c>
      <c r="B4" s="2">
        <v>3</v>
      </c>
      <c r="C4" s="4">
        <v>1408016.5</v>
      </c>
      <c r="D4" s="4">
        <f t="shared" ref="D4:D67" si="0">AVERAGE(C3:C4)</f>
        <v>913687.58</v>
      </c>
      <c r="E4" s="2">
        <f>SQRT(SUMXMY2(C3:C4,D3:D4)/2)</f>
        <v>380389.12694467447</v>
      </c>
      <c r="F4" s="2">
        <f>ABS(D4-C4)</f>
        <v>494328.92000000004</v>
      </c>
      <c r="G4" s="4">
        <f>AVERAGE(C2:C4)</f>
        <v>890380.85333333339</v>
      </c>
      <c r="H4" s="44" t="e">
        <v>#N/A</v>
      </c>
      <c r="I4" s="2" t="e">
        <v>#N/A</v>
      </c>
      <c r="J4" s="2" t="e">
        <v>#N/A</v>
      </c>
      <c r="K4" s="2" t="e">
        <v>#N/A</v>
      </c>
      <c r="L4" s="2" t="e">
        <v>#N/A</v>
      </c>
      <c r="M4" s="45">
        <v>0.22</v>
      </c>
    </row>
    <row r="5" spans="1:15" x14ac:dyDescent="0.3">
      <c r="A5" s="50">
        <v>43834</v>
      </c>
      <c r="B5" s="2">
        <v>4</v>
      </c>
      <c r="C5" s="4">
        <v>91489.98</v>
      </c>
      <c r="D5" s="4">
        <f t="shared" si="0"/>
        <v>749753.24</v>
      </c>
      <c r="E5" s="2">
        <f t="shared" ref="E5:E68" si="1">SQRT(SUMXMY2(C4:C5,D4:D5)/2)</f>
        <v>582096.04044959543</v>
      </c>
      <c r="F5" s="2">
        <f t="shared" ref="F5:F68" si="2">ABS(D5-C5)</f>
        <v>658263.26</v>
      </c>
      <c r="G5" s="4">
        <f t="shared" ref="G5:G68" si="3">AVERAGE(C3:C5)</f>
        <v>639621.71333333326</v>
      </c>
      <c r="H5" s="44" t="e">
        <v>#N/A</v>
      </c>
      <c r="I5" s="2" t="e">
        <v>#N/A</v>
      </c>
      <c r="J5" s="4">
        <f>AVERAGE(C2:C5)</f>
        <v>690658.13500000001</v>
      </c>
      <c r="K5" s="44" t="e">
        <v>#N/A</v>
      </c>
      <c r="L5" s="2" t="e">
        <v>#N/A</v>
      </c>
      <c r="M5" s="46">
        <v>1</v>
      </c>
      <c r="N5" s="4">
        <f t="shared" ref="N5:N68" si="4">($M$2*D4)+($M$3*C3)+($M$4*C2)</f>
        <v>843928.95919999992</v>
      </c>
      <c r="O5" s="2">
        <f>ABS(N5-C5)</f>
        <v>752438.97919999994</v>
      </c>
    </row>
    <row r="6" spans="1:15" x14ac:dyDescent="0.3">
      <c r="A6" s="50">
        <v>43835</v>
      </c>
      <c r="B6" s="2">
        <v>5</v>
      </c>
      <c r="C6" s="4">
        <v>927432.24</v>
      </c>
      <c r="D6" s="4">
        <f t="shared" si="0"/>
        <v>509461.11</v>
      </c>
      <c r="E6" s="2">
        <f t="shared" si="1"/>
        <v>551366.65884840395</v>
      </c>
      <c r="F6" s="2">
        <f t="shared" si="2"/>
        <v>417971.13</v>
      </c>
      <c r="G6" s="4">
        <f t="shared" si="3"/>
        <v>808979.57333333325</v>
      </c>
      <c r="H6" s="2">
        <f>SQRT(SUMXMY2(C4:C6,G4:G6)/3)</f>
        <v>440615.51418724353</v>
      </c>
      <c r="I6" s="2">
        <f>ABS(G6-C6)</f>
        <v>118452.66666666674</v>
      </c>
      <c r="J6" s="4">
        <f t="shared" ref="J6:J69" si="5">AVERAGE(C3:C6)</f>
        <v>711574.34499999997</v>
      </c>
      <c r="K6" s="44" t="e">
        <v>#N/A</v>
      </c>
      <c r="L6" s="2" t="e">
        <v>#N/A</v>
      </c>
      <c r="N6" s="4">
        <f t="shared" si="4"/>
        <v>749475.39100000006</v>
      </c>
      <c r="O6" s="2">
        <f t="shared" ref="O6:O69" si="6">ABS(N6-C6)</f>
        <v>177956.84899999993</v>
      </c>
    </row>
    <row r="7" spans="1:15" x14ac:dyDescent="0.3">
      <c r="A7" s="50">
        <v>43836</v>
      </c>
      <c r="B7" s="2">
        <v>6</v>
      </c>
      <c r="C7" s="4">
        <v>195019.5</v>
      </c>
      <c r="D7" s="4">
        <f t="shared" si="0"/>
        <v>561225.87</v>
      </c>
      <c r="E7" s="2">
        <f t="shared" si="1"/>
        <v>392942.08920784609</v>
      </c>
      <c r="F7" s="2">
        <f t="shared" si="2"/>
        <v>366206.37</v>
      </c>
      <c r="G7" s="4">
        <f t="shared" si="3"/>
        <v>404647.24</v>
      </c>
      <c r="H7" s="2">
        <f t="shared" ref="H7:H70" si="7">SQRT(SUMXMY2(C5:C7,G5:G7)/3)</f>
        <v>345650.70071048912</v>
      </c>
      <c r="I7" s="2">
        <f t="shared" ref="I7:I70" si="8">ABS(G7-C7)</f>
        <v>209627.74</v>
      </c>
      <c r="J7" s="4">
        <f t="shared" si="5"/>
        <v>655489.55499999993</v>
      </c>
      <c r="K7" s="44" t="e">
        <v>#N/A</v>
      </c>
      <c r="L7" s="2" t="e">
        <v>#N/A</v>
      </c>
      <c r="N7" s="4">
        <f t="shared" si="4"/>
        <v>661166.47149999999</v>
      </c>
      <c r="O7" s="2">
        <f t="shared" si="6"/>
        <v>466146.97149999999</v>
      </c>
    </row>
    <row r="8" spans="1:15" x14ac:dyDescent="0.3">
      <c r="A8" s="50">
        <v>43837</v>
      </c>
      <c r="B8" s="2">
        <v>7</v>
      </c>
      <c r="C8" s="4">
        <v>618864.4800000001</v>
      </c>
      <c r="D8" s="4">
        <f t="shared" si="0"/>
        <v>406941.99000000005</v>
      </c>
      <c r="E8" s="2">
        <f t="shared" si="1"/>
        <v>299180.75405712263</v>
      </c>
      <c r="F8" s="2">
        <f t="shared" si="2"/>
        <v>211922.49000000005</v>
      </c>
      <c r="G8" s="4">
        <f t="shared" si="3"/>
        <v>580438.74000000011</v>
      </c>
      <c r="H8" s="2">
        <f t="shared" si="7"/>
        <v>140773.29423876255</v>
      </c>
      <c r="I8" s="2">
        <f t="shared" si="8"/>
        <v>38425.739999999991</v>
      </c>
      <c r="J8" s="4">
        <f t="shared" si="5"/>
        <v>458201.55000000005</v>
      </c>
      <c r="K8" s="2">
        <f>SQRT(SUMXMY2(C5:C8,J5:J8)/4)</f>
        <v>401074.29406153137</v>
      </c>
      <c r="L8" s="2">
        <f>ABS(J8-C8)</f>
        <v>160662.93000000005</v>
      </c>
      <c r="N8" s="4">
        <f t="shared" si="4"/>
        <v>498166.67490000004</v>
      </c>
      <c r="O8" s="2">
        <f t="shared" si="6"/>
        <v>120697.80510000006</v>
      </c>
    </row>
    <row r="9" spans="1:15" x14ac:dyDescent="0.3">
      <c r="A9" s="50">
        <v>43838</v>
      </c>
      <c r="B9" s="2">
        <v>8</v>
      </c>
      <c r="C9" s="4">
        <v>3637066.8</v>
      </c>
      <c r="D9" s="4">
        <f t="shared" si="0"/>
        <v>2127965.64</v>
      </c>
      <c r="E9" s="2">
        <f t="shared" si="1"/>
        <v>1077566.1123293422</v>
      </c>
      <c r="F9" s="2">
        <f t="shared" si="2"/>
        <v>1509101.1599999997</v>
      </c>
      <c r="G9" s="4">
        <f t="shared" si="3"/>
        <v>1483650.26</v>
      </c>
      <c r="H9" s="2">
        <f t="shared" si="7"/>
        <v>1249349.5803307183</v>
      </c>
      <c r="I9" s="2">
        <f t="shared" si="8"/>
        <v>2153416.54</v>
      </c>
      <c r="J9" s="4">
        <f t="shared" si="5"/>
        <v>1344595.7549999999</v>
      </c>
      <c r="K9" s="2">
        <f t="shared" ref="K9:K72" si="9">SQRT(SUMXMY2(C6:C9,J6:J9)/4)</f>
        <v>1176845.7175459652</v>
      </c>
      <c r="L9" s="2">
        <f t="shared" ref="L9:L72" si="10">ABS(J9-C9)</f>
        <v>2292471.0449999999</v>
      </c>
      <c r="N9" s="4">
        <f t="shared" si="4"/>
        <v>498138.37110000011</v>
      </c>
      <c r="O9" s="2">
        <f t="shared" si="6"/>
        <v>3138928.4288999997</v>
      </c>
    </row>
    <row r="10" spans="1:15" x14ac:dyDescent="0.3">
      <c r="A10" s="50">
        <v>43839</v>
      </c>
      <c r="B10" s="2">
        <v>9</v>
      </c>
      <c r="C10" s="4">
        <v>717507.67</v>
      </c>
      <c r="D10" s="4">
        <f t="shared" si="0"/>
        <v>2177287.2349999999</v>
      </c>
      <c r="E10" s="2">
        <f t="shared" si="1"/>
        <v>1484645.1915365055</v>
      </c>
      <c r="F10" s="2">
        <f t="shared" si="2"/>
        <v>1459779.5649999999</v>
      </c>
      <c r="G10" s="4">
        <f t="shared" si="3"/>
        <v>1657812.9833333334</v>
      </c>
      <c r="H10" s="2">
        <f t="shared" si="7"/>
        <v>1356816.5455117133</v>
      </c>
      <c r="I10" s="2">
        <f t="shared" si="8"/>
        <v>940305.31333333335</v>
      </c>
      <c r="J10" s="4">
        <f t="shared" si="5"/>
        <v>1292114.6125</v>
      </c>
      <c r="K10" s="2">
        <f t="shared" si="9"/>
        <v>1206590.4316669013</v>
      </c>
      <c r="L10" s="2">
        <f t="shared" si="10"/>
        <v>574606.9425</v>
      </c>
      <c r="N10" s="4">
        <f t="shared" si="4"/>
        <v>1536716.3616000002</v>
      </c>
      <c r="O10" s="2">
        <f t="shared" si="6"/>
        <v>819208.69160000014</v>
      </c>
    </row>
    <row r="11" spans="1:15" x14ac:dyDescent="0.3">
      <c r="A11" s="50">
        <v>43840</v>
      </c>
      <c r="B11" s="2">
        <v>10</v>
      </c>
      <c r="C11" s="4">
        <v>6086859.8700000001</v>
      </c>
      <c r="D11" s="4">
        <f t="shared" si="0"/>
        <v>3402183.77</v>
      </c>
      <c r="E11" s="2">
        <f t="shared" si="1"/>
        <v>2160838.0481080483</v>
      </c>
      <c r="F11" s="2">
        <f t="shared" si="2"/>
        <v>2684676.1</v>
      </c>
      <c r="G11" s="4">
        <f t="shared" si="3"/>
        <v>3480478.1133333333</v>
      </c>
      <c r="H11" s="2">
        <f t="shared" si="7"/>
        <v>2026047.2796814071</v>
      </c>
      <c r="I11" s="2">
        <f t="shared" si="8"/>
        <v>2606381.7566666668</v>
      </c>
      <c r="J11" s="4">
        <f t="shared" si="5"/>
        <v>2765074.7050000001</v>
      </c>
      <c r="K11" s="2">
        <f t="shared" si="9"/>
        <v>2039955.0172750654</v>
      </c>
      <c r="L11" s="2">
        <f t="shared" si="10"/>
        <v>3321785.165</v>
      </c>
      <c r="N11" s="4">
        <f t="shared" si="4"/>
        <v>1995009.9810500001</v>
      </c>
      <c r="O11" s="2">
        <f t="shared" si="6"/>
        <v>4091849.8889500001</v>
      </c>
    </row>
    <row r="12" spans="1:15" x14ac:dyDescent="0.3">
      <c r="A12" s="50">
        <v>43841</v>
      </c>
      <c r="B12" s="2">
        <v>11</v>
      </c>
      <c r="C12" s="4">
        <v>422335.2</v>
      </c>
      <c r="D12" s="4">
        <f t="shared" si="0"/>
        <v>3254597.5350000001</v>
      </c>
      <c r="E12" s="2">
        <f t="shared" si="1"/>
        <v>2759456.078303373</v>
      </c>
      <c r="F12" s="2">
        <f t="shared" si="2"/>
        <v>2832262.335</v>
      </c>
      <c r="G12" s="4">
        <f t="shared" si="3"/>
        <v>2408900.9133333336</v>
      </c>
      <c r="H12" s="2">
        <f t="shared" si="7"/>
        <v>1968404.0301014844</v>
      </c>
      <c r="I12" s="2">
        <f t="shared" si="8"/>
        <v>1986565.7133333336</v>
      </c>
      <c r="J12" s="4">
        <f t="shared" si="5"/>
        <v>2715942.3849999998</v>
      </c>
      <c r="K12" s="2">
        <f t="shared" si="9"/>
        <v>2338829.1532319267</v>
      </c>
      <c r="L12" s="2">
        <f t="shared" si="10"/>
        <v>2293607.1849999996</v>
      </c>
      <c r="N12" s="4">
        <f t="shared" si="4"/>
        <v>3158543.6656000004</v>
      </c>
      <c r="O12" s="2">
        <f t="shared" si="6"/>
        <v>2736208.4656000002</v>
      </c>
    </row>
    <row r="13" spans="1:15" x14ac:dyDescent="0.3">
      <c r="A13" s="50">
        <v>43842</v>
      </c>
      <c r="B13" s="2">
        <v>12</v>
      </c>
      <c r="C13" s="4">
        <v>1008401.2200000001</v>
      </c>
      <c r="D13" s="4">
        <f t="shared" si="0"/>
        <v>715368.21000000008</v>
      </c>
      <c r="E13" s="2">
        <f t="shared" si="1"/>
        <v>2013402.3789607123</v>
      </c>
      <c r="F13" s="2">
        <f t="shared" si="2"/>
        <v>293033.01</v>
      </c>
      <c r="G13" s="4">
        <f t="shared" si="3"/>
        <v>2505865.4300000002</v>
      </c>
      <c r="H13" s="2">
        <f t="shared" si="7"/>
        <v>2080229.8154376533</v>
      </c>
      <c r="I13" s="2">
        <f t="shared" si="8"/>
        <v>1497464.21</v>
      </c>
      <c r="J13" s="4">
        <f t="shared" si="5"/>
        <v>2058775.99</v>
      </c>
      <c r="K13" s="2">
        <f t="shared" si="9"/>
        <v>2105252.4134482932</v>
      </c>
      <c r="L13" s="2">
        <f t="shared" si="10"/>
        <v>1050374.77</v>
      </c>
      <c r="N13" s="4">
        <f t="shared" si="4"/>
        <v>3007986.6215500007</v>
      </c>
      <c r="O13" s="2">
        <f t="shared" si="6"/>
        <v>1999585.4015500005</v>
      </c>
    </row>
    <row r="14" spans="1:15" x14ac:dyDescent="0.3">
      <c r="A14" s="50">
        <v>43843</v>
      </c>
      <c r="B14" s="2">
        <v>13</v>
      </c>
      <c r="C14" s="4">
        <v>298033.45</v>
      </c>
      <c r="D14" s="4">
        <f t="shared" si="0"/>
        <v>653217.33500000008</v>
      </c>
      <c r="E14" s="2">
        <f t="shared" si="1"/>
        <v>325594.79196798697</v>
      </c>
      <c r="F14" s="2">
        <f t="shared" si="2"/>
        <v>355183.88500000007</v>
      </c>
      <c r="G14" s="4">
        <f t="shared" si="3"/>
        <v>576256.62333333341</v>
      </c>
      <c r="H14" s="2">
        <f t="shared" si="7"/>
        <v>1445250.9041457323</v>
      </c>
      <c r="I14" s="2">
        <f t="shared" si="8"/>
        <v>278223.1733333334</v>
      </c>
      <c r="J14" s="4">
        <f t="shared" si="5"/>
        <v>1953907.4350000001</v>
      </c>
      <c r="K14" s="2">
        <f t="shared" si="9"/>
        <v>2243885.9381188489</v>
      </c>
      <c r="L14" s="2">
        <f t="shared" si="10"/>
        <v>1655873.9850000001</v>
      </c>
      <c r="N14" s="4">
        <f t="shared" si="4"/>
        <v>1864862.7441000002</v>
      </c>
      <c r="O14" s="2">
        <f t="shared" si="6"/>
        <v>1566829.2941000003</v>
      </c>
    </row>
    <row r="15" spans="1:15" x14ac:dyDescent="0.3">
      <c r="A15" s="50">
        <v>43844</v>
      </c>
      <c r="B15" s="2">
        <v>14</v>
      </c>
      <c r="C15" s="4">
        <v>310893.08</v>
      </c>
      <c r="D15" s="4">
        <f t="shared" si="0"/>
        <v>304463.26500000001</v>
      </c>
      <c r="E15" s="2">
        <f t="shared" si="1"/>
        <v>251194.08301612869</v>
      </c>
      <c r="F15" s="2">
        <f t="shared" si="2"/>
        <v>6429.8150000000023</v>
      </c>
      <c r="G15" s="4">
        <f t="shared" si="3"/>
        <v>539109.25000000012</v>
      </c>
      <c r="H15" s="2">
        <f t="shared" si="7"/>
        <v>889173.7390521724</v>
      </c>
      <c r="I15" s="2">
        <f t="shared" si="8"/>
        <v>228216.1700000001</v>
      </c>
      <c r="J15" s="4">
        <f t="shared" si="5"/>
        <v>509915.73750000005</v>
      </c>
      <c r="K15" s="2">
        <f t="shared" si="9"/>
        <v>1512072.2328095241</v>
      </c>
      <c r="L15" s="2">
        <f t="shared" si="10"/>
        <v>199022.65750000003</v>
      </c>
      <c r="N15" s="4">
        <f t="shared" si="4"/>
        <v>641493.49265000015</v>
      </c>
      <c r="O15" s="2">
        <f t="shared" si="6"/>
        <v>330600.41265000013</v>
      </c>
    </row>
    <row r="16" spans="1:15" x14ac:dyDescent="0.3">
      <c r="A16" s="50">
        <v>43845</v>
      </c>
      <c r="B16" s="2">
        <v>15</v>
      </c>
      <c r="C16" s="4">
        <v>26945.040000000001</v>
      </c>
      <c r="D16" s="4">
        <f t="shared" si="0"/>
        <v>168919.06</v>
      </c>
      <c r="E16" s="2">
        <f t="shared" si="1"/>
        <v>100493.69352326199</v>
      </c>
      <c r="F16" s="2">
        <f t="shared" si="2"/>
        <v>141974.01999999999</v>
      </c>
      <c r="G16" s="4">
        <f t="shared" si="3"/>
        <v>211957.19000000003</v>
      </c>
      <c r="H16" s="2">
        <f t="shared" si="7"/>
        <v>233609.5389581809</v>
      </c>
      <c r="I16" s="2">
        <f t="shared" si="8"/>
        <v>185012.15000000002</v>
      </c>
      <c r="J16" s="4">
        <f t="shared" si="5"/>
        <v>411068.19750000007</v>
      </c>
      <c r="K16" s="2">
        <f t="shared" si="9"/>
        <v>1004037.6524287406</v>
      </c>
      <c r="L16" s="2">
        <f t="shared" si="10"/>
        <v>384123.15750000009</v>
      </c>
      <c r="N16" s="4">
        <f t="shared" si="4"/>
        <v>458622.33545000001</v>
      </c>
      <c r="O16" s="2">
        <f t="shared" si="6"/>
        <v>431677.29545000003</v>
      </c>
    </row>
    <row r="17" spans="1:15" x14ac:dyDescent="0.3">
      <c r="A17" s="50">
        <v>43846</v>
      </c>
      <c r="B17" s="2">
        <v>16</v>
      </c>
      <c r="C17" s="4">
        <v>816400.97000000009</v>
      </c>
      <c r="D17" s="4">
        <f t="shared" si="0"/>
        <v>421673.00500000006</v>
      </c>
      <c r="E17" s="2">
        <f t="shared" si="1"/>
        <v>296619.94935270422</v>
      </c>
      <c r="F17" s="2">
        <f t="shared" si="2"/>
        <v>394727.96500000003</v>
      </c>
      <c r="G17" s="4">
        <f t="shared" si="3"/>
        <v>384746.36333333334</v>
      </c>
      <c r="H17" s="2">
        <f t="shared" si="7"/>
        <v>301461.8910982759</v>
      </c>
      <c r="I17" s="2">
        <f t="shared" si="8"/>
        <v>431654.60666666675</v>
      </c>
      <c r="J17" s="4">
        <f t="shared" si="5"/>
        <v>363068.13500000001</v>
      </c>
      <c r="K17" s="2">
        <f t="shared" si="9"/>
        <v>885238.6587546675</v>
      </c>
      <c r="L17" s="2">
        <f t="shared" si="10"/>
        <v>453332.83500000008</v>
      </c>
      <c r="N17" s="4">
        <f t="shared" si="4"/>
        <v>212941.36799999999</v>
      </c>
      <c r="O17" s="2">
        <f t="shared" si="6"/>
        <v>603459.60200000007</v>
      </c>
    </row>
    <row r="18" spans="1:15" x14ac:dyDescent="0.3">
      <c r="A18" s="50">
        <v>43847</v>
      </c>
      <c r="B18" s="2">
        <v>17</v>
      </c>
      <c r="C18" s="4">
        <v>634377.19999999995</v>
      </c>
      <c r="D18" s="4">
        <f t="shared" si="0"/>
        <v>725389.08499999996</v>
      </c>
      <c r="E18" s="2">
        <f t="shared" si="1"/>
        <v>286437.88992056769</v>
      </c>
      <c r="F18" s="2">
        <f t="shared" si="2"/>
        <v>91011.885000000009</v>
      </c>
      <c r="G18" s="4">
        <f t="shared" si="3"/>
        <v>492574.40333333332</v>
      </c>
      <c r="H18" s="2">
        <f t="shared" si="7"/>
        <v>283233.2538425207</v>
      </c>
      <c r="I18" s="2">
        <f t="shared" si="8"/>
        <v>141802.79666666663</v>
      </c>
      <c r="J18" s="4">
        <f t="shared" si="5"/>
        <v>447154.07250000001</v>
      </c>
      <c r="K18" s="2">
        <f t="shared" si="9"/>
        <v>327002.9728787457</v>
      </c>
      <c r="L18" s="2">
        <f t="shared" si="10"/>
        <v>187223.12749999994</v>
      </c>
      <c r="N18" s="4">
        <f t="shared" si="4"/>
        <v>353881.34535000002</v>
      </c>
      <c r="O18" s="2">
        <f t="shared" si="6"/>
        <v>280495.85464999994</v>
      </c>
    </row>
    <row r="19" spans="1:15" x14ac:dyDescent="0.3">
      <c r="A19" s="50">
        <v>43848</v>
      </c>
      <c r="B19" s="2">
        <v>18</v>
      </c>
      <c r="C19" s="4">
        <v>1134584.8800000001</v>
      </c>
      <c r="D19" s="4">
        <f t="shared" si="0"/>
        <v>884481.04</v>
      </c>
      <c r="E19" s="2">
        <f t="shared" si="1"/>
        <v>188195.50206367695</v>
      </c>
      <c r="F19" s="2">
        <f t="shared" si="2"/>
        <v>250103.84000000008</v>
      </c>
      <c r="G19" s="4">
        <f t="shared" si="3"/>
        <v>861787.68333333323</v>
      </c>
      <c r="H19" s="2">
        <f t="shared" si="7"/>
        <v>305969.52087216952</v>
      </c>
      <c r="I19" s="2">
        <f t="shared" si="8"/>
        <v>272797.19666666689</v>
      </c>
      <c r="J19" s="4">
        <f t="shared" si="5"/>
        <v>653077.02249999996</v>
      </c>
      <c r="K19" s="2">
        <f t="shared" si="9"/>
        <v>393688.82881091151</v>
      </c>
      <c r="L19" s="2">
        <f t="shared" si="10"/>
        <v>481507.85750000016</v>
      </c>
      <c r="N19" s="4">
        <f t="shared" si="4"/>
        <v>581742.70244999998</v>
      </c>
      <c r="O19" s="2">
        <f t="shared" si="6"/>
        <v>552842.17755000014</v>
      </c>
    </row>
    <row r="20" spans="1:15" x14ac:dyDescent="0.3">
      <c r="A20" s="50">
        <v>43849</v>
      </c>
      <c r="B20" s="2">
        <v>19</v>
      </c>
      <c r="C20" s="4">
        <v>3343963.35</v>
      </c>
      <c r="D20" s="4">
        <f t="shared" si="0"/>
        <v>2239274.1150000002</v>
      </c>
      <c r="E20" s="2">
        <f t="shared" si="1"/>
        <v>800902.68969071098</v>
      </c>
      <c r="F20" s="2">
        <f t="shared" si="2"/>
        <v>1104689.2349999999</v>
      </c>
      <c r="G20" s="4">
        <f t="shared" si="3"/>
        <v>1704308.4766666666</v>
      </c>
      <c r="H20" s="2">
        <f t="shared" si="7"/>
        <v>963153.5784940063</v>
      </c>
      <c r="I20" s="2">
        <f t="shared" si="8"/>
        <v>1639654.8733333335</v>
      </c>
      <c r="J20" s="4">
        <f t="shared" si="5"/>
        <v>1482331.6</v>
      </c>
      <c r="K20" s="2">
        <f t="shared" si="9"/>
        <v>992230.53624174476</v>
      </c>
      <c r="L20" s="2">
        <f t="shared" si="10"/>
        <v>1861631.75</v>
      </c>
      <c r="N20" s="4">
        <f t="shared" si="4"/>
        <v>841992.00219999999</v>
      </c>
      <c r="O20" s="2">
        <f t="shared" si="6"/>
        <v>2501971.3478000001</v>
      </c>
    </row>
    <row r="21" spans="1:15" x14ac:dyDescent="0.3">
      <c r="A21" s="50">
        <v>43850</v>
      </c>
      <c r="B21" s="2">
        <v>20</v>
      </c>
      <c r="C21" s="4">
        <v>2456364.12</v>
      </c>
      <c r="D21" s="4">
        <f t="shared" si="0"/>
        <v>2900163.7350000003</v>
      </c>
      <c r="E21" s="2">
        <f t="shared" si="1"/>
        <v>841812.45066791261</v>
      </c>
      <c r="F21" s="2">
        <f t="shared" si="2"/>
        <v>443799.61500000022</v>
      </c>
      <c r="G21" s="4">
        <f t="shared" si="3"/>
        <v>2311637.4500000002</v>
      </c>
      <c r="H21" s="2">
        <f t="shared" si="7"/>
        <v>963298.53855805111</v>
      </c>
      <c r="I21" s="2">
        <f t="shared" si="8"/>
        <v>144726.66999999993</v>
      </c>
      <c r="J21" s="4">
        <f t="shared" si="5"/>
        <v>1892322.3875</v>
      </c>
      <c r="K21" s="2">
        <f t="shared" si="9"/>
        <v>1006319.8006740683</v>
      </c>
      <c r="L21" s="2">
        <f t="shared" si="10"/>
        <v>564041.73250000016</v>
      </c>
      <c r="N21" s="4">
        <f t="shared" si="4"/>
        <v>1764680.9778500001</v>
      </c>
      <c r="O21" s="2">
        <f t="shared" si="6"/>
        <v>691683.14214999997</v>
      </c>
    </row>
    <row r="22" spans="1:15" x14ac:dyDescent="0.3">
      <c r="A22" s="50">
        <v>43851</v>
      </c>
      <c r="B22" s="2">
        <v>21</v>
      </c>
      <c r="C22" s="4">
        <v>784771.46000000008</v>
      </c>
      <c r="D22" s="4">
        <f t="shared" si="0"/>
        <v>1620567.79</v>
      </c>
      <c r="E22" s="2">
        <f t="shared" si="1"/>
        <v>669146.3231295594</v>
      </c>
      <c r="F22" s="2">
        <f t="shared" si="2"/>
        <v>835796.33</v>
      </c>
      <c r="G22" s="4">
        <f t="shared" si="3"/>
        <v>2195032.976666667</v>
      </c>
      <c r="H22" s="2">
        <f t="shared" si="7"/>
        <v>1251432.7066800951</v>
      </c>
      <c r="I22" s="2">
        <f t="shared" si="8"/>
        <v>1410261.5166666671</v>
      </c>
      <c r="J22" s="4">
        <f t="shared" si="5"/>
        <v>1929920.9525000001</v>
      </c>
      <c r="K22" s="2">
        <f t="shared" si="9"/>
        <v>1154018.3085221082</v>
      </c>
      <c r="L22" s="2">
        <f t="shared" si="10"/>
        <v>1145149.4925000002</v>
      </c>
      <c r="N22" s="4">
        <f t="shared" si="4"/>
        <v>2560554.3445500005</v>
      </c>
      <c r="O22" s="2">
        <f t="shared" si="6"/>
        <v>1775782.8845500005</v>
      </c>
    </row>
    <row r="23" spans="1:15" x14ac:dyDescent="0.3">
      <c r="A23" s="50">
        <v>43852</v>
      </c>
      <c r="B23" s="2">
        <v>22</v>
      </c>
      <c r="C23" s="4">
        <v>398726.39999999997</v>
      </c>
      <c r="D23" s="4">
        <f t="shared" si="0"/>
        <v>591748.93000000005</v>
      </c>
      <c r="E23" s="2">
        <f t="shared" si="1"/>
        <v>606553.04892856232</v>
      </c>
      <c r="F23" s="2">
        <f t="shared" si="2"/>
        <v>193022.53000000009</v>
      </c>
      <c r="G23" s="4">
        <f t="shared" si="3"/>
        <v>1213287.3266666667</v>
      </c>
      <c r="H23" s="2">
        <f t="shared" si="7"/>
        <v>943979.67097678455</v>
      </c>
      <c r="I23" s="2">
        <f t="shared" si="8"/>
        <v>814560.92666666675</v>
      </c>
      <c r="J23" s="4">
        <f t="shared" si="5"/>
        <v>1745956.3325000003</v>
      </c>
      <c r="K23" s="2">
        <f t="shared" si="9"/>
        <v>1314364.0762557597</v>
      </c>
      <c r="L23" s="2">
        <f t="shared" si="10"/>
        <v>1347229.9325000003</v>
      </c>
      <c r="N23" s="4">
        <f t="shared" si="4"/>
        <v>2091652.4095000001</v>
      </c>
      <c r="O23" s="2">
        <f t="shared" si="6"/>
        <v>1692926.0095000002</v>
      </c>
    </row>
    <row r="24" spans="1:15" x14ac:dyDescent="0.3">
      <c r="A24" s="50">
        <v>43853</v>
      </c>
      <c r="B24" s="2">
        <v>23</v>
      </c>
      <c r="C24" s="4">
        <v>460639.02</v>
      </c>
      <c r="D24" s="4">
        <f t="shared" si="0"/>
        <v>429682.70999999996</v>
      </c>
      <c r="E24" s="2">
        <f t="shared" si="1"/>
        <v>138231.67187084339</v>
      </c>
      <c r="F24" s="2">
        <f t="shared" si="2"/>
        <v>30956.310000000056</v>
      </c>
      <c r="G24" s="4">
        <f t="shared" si="3"/>
        <v>548045.62666666671</v>
      </c>
      <c r="H24" s="2">
        <f t="shared" si="7"/>
        <v>941627.48535571969</v>
      </c>
      <c r="I24" s="2">
        <f t="shared" si="8"/>
        <v>87406.606666666688</v>
      </c>
      <c r="J24" s="4">
        <f t="shared" si="5"/>
        <v>1025125.25</v>
      </c>
      <c r="K24" s="2">
        <f t="shared" si="9"/>
        <v>969946.34272445424</v>
      </c>
      <c r="L24" s="2">
        <f t="shared" si="10"/>
        <v>564486.23</v>
      </c>
      <c r="N24" s="4">
        <f t="shared" si="4"/>
        <v>1023196.7501000001</v>
      </c>
      <c r="O24" s="2">
        <f t="shared" si="6"/>
        <v>562557.73010000004</v>
      </c>
    </row>
    <row r="25" spans="1:15" x14ac:dyDescent="0.3">
      <c r="A25" s="50">
        <v>43854</v>
      </c>
      <c r="B25" s="2">
        <v>24</v>
      </c>
      <c r="C25" s="4">
        <v>357345.6</v>
      </c>
      <c r="D25" s="4">
        <f t="shared" si="0"/>
        <v>408992.31</v>
      </c>
      <c r="E25" s="2">
        <f t="shared" si="1"/>
        <v>42577.434062189597</v>
      </c>
      <c r="F25" s="2">
        <f t="shared" si="2"/>
        <v>51646.710000000021</v>
      </c>
      <c r="G25" s="4">
        <f t="shared" si="3"/>
        <v>405570.34</v>
      </c>
      <c r="H25" s="2">
        <f t="shared" si="7"/>
        <v>473805.53102481045</v>
      </c>
      <c r="I25" s="2">
        <f t="shared" si="8"/>
        <v>48224.740000000049</v>
      </c>
      <c r="J25" s="4">
        <f t="shared" si="5"/>
        <v>500370.62</v>
      </c>
      <c r="K25" s="2">
        <f t="shared" si="9"/>
        <v>930792.231301188</v>
      </c>
      <c r="L25" s="2">
        <f t="shared" si="10"/>
        <v>143025.02000000002</v>
      </c>
      <c r="N25" s="4">
        <f t="shared" si="4"/>
        <v>504397.04090000002</v>
      </c>
      <c r="O25" s="2">
        <f t="shared" si="6"/>
        <v>147051.44090000005</v>
      </c>
    </row>
    <row r="26" spans="1:15" x14ac:dyDescent="0.3">
      <c r="A26" s="50">
        <v>43855</v>
      </c>
      <c r="B26" s="2">
        <v>25</v>
      </c>
      <c r="C26" s="4">
        <v>931600.82000000007</v>
      </c>
      <c r="D26" s="4">
        <f t="shared" si="0"/>
        <v>644473.21</v>
      </c>
      <c r="E26" s="2">
        <f t="shared" si="1"/>
        <v>206288.20504107387</v>
      </c>
      <c r="F26" s="2">
        <f t="shared" si="2"/>
        <v>287127.6100000001</v>
      </c>
      <c r="G26" s="4">
        <f t="shared" si="3"/>
        <v>583195.14666666661</v>
      </c>
      <c r="H26" s="2">
        <f t="shared" si="7"/>
        <v>209246.30912547573</v>
      </c>
      <c r="I26" s="2">
        <f t="shared" si="8"/>
        <v>348405.67333333346</v>
      </c>
      <c r="J26" s="4">
        <f t="shared" si="5"/>
        <v>537077.96</v>
      </c>
      <c r="K26" s="2">
        <f t="shared" si="9"/>
        <v>759897.63098264567</v>
      </c>
      <c r="L26" s="2">
        <f t="shared" si="10"/>
        <v>394522.8600000001</v>
      </c>
      <c r="N26" s="4">
        <f t="shared" si="4"/>
        <v>412414.94790000003</v>
      </c>
      <c r="O26" s="2">
        <f t="shared" si="6"/>
        <v>519185.87210000004</v>
      </c>
    </row>
    <row r="27" spans="1:15" x14ac:dyDescent="0.3">
      <c r="A27" s="50">
        <v>43856</v>
      </c>
      <c r="B27" s="2">
        <v>26</v>
      </c>
      <c r="C27" s="4">
        <v>634306.53</v>
      </c>
      <c r="D27" s="4">
        <f t="shared" si="0"/>
        <v>782953.67500000005</v>
      </c>
      <c r="E27" s="2">
        <f t="shared" si="1"/>
        <v>228624.40611291173</v>
      </c>
      <c r="F27" s="2">
        <f t="shared" si="2"/>
        <v>148647.14500000002</v>
      </c>
      <c r="G27" s="4">
        <f t="shared" si="3"/>
        <v>641084.31666666665</v>
      </c>
      <c r="H27" s="2">
        <f t="shared" si="7"/>
        <v>203107.58819815991</v>
      </c>
      <c r="I27" s="2">
        <f t="shared" si="8"/>
        <v>6777.7866666666232</v>
      </c>
      <c r="J27" s="4">
        <f t="shared" si="5"/>
        <v>595972.99249999993</v>
      </c>
      <c r="K27" s="2">
        <f t="shared" si="9"/>
        <v>352213.9290848166</v>
      </c>
      <c r="L27" s="2">
        <f t="shared" si="10"/>
        <v>38333.537500000093</v>
      </c>
      <c r="N27" s="4">
        <f t="shared" si="4"/>
        <v>572445.65110000002</v>
      </c>
      <c r="O27" s="2">
        <f t="shared" si="6"/>
        <v>61860.878900000011</v>
      </c>
    </row>
    <row r="28" spans="1:15" x14ac:dyDescent="0.3">
      <c r="A28" s="50">
        <v>43857</v>
      </c>
      <c r="B28" s="2">
        <v>27</v>
      </c>
      <c r="C28" s="4">
        <v>202386.56</v>
      </c>
      <c r="D28" s="4">
        <f t="shared" si="0"/>
        <v>418346.54500000004</v>
      </c>
      <c r="E28" s="2">
        <f t="shared" si="1"/>
        <v>185384.31546095165</v>
      </c>
      <c r="F28" s="2">
        <f t="shared" si="2"/>
        <v>215959.98500000004</v>
      </c>
      <c r="G28" s="4">
        <f t="shared" si="3"/>
        <v>589431.30333333334</v>
      </c>
      <c r="H28" s="2">
        <f t="shared" si="7"/>
        <v>300685.92969238304</v>
      </c>
      <c r="I28" s="2">
        <f t="shared" si="8"/>
        <v>387044.74333333335</v>
      </c>
      <c r="J28" s="4">
        <f t="shared" si="5"/>
        <v>531409.87749999994</v>
      </c>
      <c r="K28" s="2">
        <f t="shared" si="9"/>
        <v>267315.47231901379</v>
      </c>
      <c r="L28" s="2">
        <f t="shared" si="10"/>
        <v>329023.31749999995</v>
      </c>
      <c r="N28" s="4">
        <f t="shared" si="4"/>
        <v>705671.08445000008</v>
      </c>
      <c r="O28" s="2">
        <f t="shared" si="6"/>
        <v>503284.52445000008</v>
      </c>
    </row>
    <row r="29" spans="1:15" x14ac:dyDescent="0.3">
      <c r="A29" s="50">
        <v>43858</v>
      </c>
      <c r="B29" s="2">
        <v>28</v>
      </c>
      <c r="C29" s="4">
        <v>414936.16000000003</v>
      </c>
      <c r="D29" s="4">
        <f t="shared" si="0"/>
        <v>308661.36</v>
      </c>
      <c r="E29" s="2">
        <f t="shared" si="1"/>
        <v>170195.54670472469</v>
      </c>
      <c r="F29" s="2">
        <f t="shared" si="2"/>
        <v>106274.80000000005</v>
      </c>
      <c r="G29" s="4">
        <f t="shared" si="3"/>
        <v>417209.75</v>
      </c>
      <c r="H29" s="2">
        <f t="shared" si="7"/>
        <v>223498.5018186571</v>
      </c>
      <c r="I29" s="2">
        <f t="shared" si="8"/>
        <v>2273.5899999999674</v>
      </c>
      <c r="J29" s="4">
        <f t="shared" si="5"/>
        <v>545807.51750000007</v>
      </c>
      <c r="K29" s="2">
        <f t="shared" si="9"/>
        <v>265754.3051544237</v>
      </c>
      <c r="L29" s="2">
        <f t="shared" si="10"/>
        <v>130871.35750000004</v>
      </c>
      <c r="N29" s="4">
        <f t="shared" si="4"/>
        <v>555018.08385000005</v>
      </c>
      <c r="O29" s="2">
        <f t="shared" si="6"/>
        <v>140081.92385000002</v>
      </c>
    </row>
    <row r="30" spans="1:15" x14ac:dyDescent="0.3">
      <c r="A30" s="50">
        <v>43859</v>
      </c>
      <c r="B30" s="2">
        <v>29</v>
      </c>
      <c r="C30" s="4">
        <v>4075110.46</v>
      </c>
      <c r="D30" s="4">
        <f t="shared" si="0"/>
        <v>2245023.31</v>
      </c>
      <c r="E30" s="2">
        <f t="shared" si="1"/>
        <v>1296247.1426603342</v>
      </c>
      <c r="F30" s="2">
        <f t="shared" si="2"/>
        <v>1830087.15</v>
      </c>
      <c r="G30" s="4">
        <f t="shared" si="3"/>
        <v>1564144.3933333333</v>
      </c>
      <c r="H30" s="2">
        <f t="shared" si="7"/>
        <v>1466828.7096664154</v>
      </c>
      <c r="I30" s="2">
        <f t="shared" si="8"/>
        <v>2510966.0666666664</v>
      </c>
      <c r="J30" s="4">
        <f t="shared" si="5"/>
        <v>1331684.9275</v>
      </c>
      <c r="K30" s="2">
        <f t="shared" si="9"/>
        <v>1383224.2016519564</v>
      </c>
      <c r="L30" s="2">
        <f t="shared" si="10"/>
        <v>2743425.5324999997</v>
      </c>
      <c r="N30" s="4">
        <f t="shared" si="4"/>
        <v>368613.06940000004</v>
      </c>
      <c r="O30" s="2">
        <f t="shared" si="6"/>
        <v>3706497.3906</v>
      </c>
    </row>
    <row r="31" spans="1:15" x14ac:dyDescent="0.3">
      <c r="A31" s="50">
        <v>43860</v>
      </c>
      <c r="B31" s="2">
        <v>30</v>
      </c>
      <c r="C31" s="4">
        <v>1439699.5999999999</v>
      </c>
      <c r="D31" s="4">
        <f t="shared" si="0"/>
        <v>2757405.03</v>
      </c>
      <c r="E31" s="2">
        <f t="shared" si="1"/>
        <v>1594610.7012130902</v>
      </c>
      <c r="F31" s="2">
        <f t="shared" si="2"/>
        <v>1317705.43</v>
      </c>
      <c r="G31" s="4">
        <f t="shared" si="3"/>
        <v>1976582.0733333332</v>
      </c>
      <c r="H31" s="2">
        <f t="shared" si="7"/>
        <v>1482475.2440131421</v>
      </c>
      <c r="I31" s="2">
        <f t="shared" si="8"/>
        <v>536882.47333333339</v>
      </c>
      <c r="J31" s="4">
        <f t="shared" si="5"/>
        <v>1533033.1949999998</v>
      </c>
      <c r="K31" s="2">
        <f t="shared" si="9"/>
        <v>1383878.4690139096</v>
      </c>
      <c r="L31" s="2">
        <f t="shared" si="10"/>
        <v>93333.594999999972</v>
      </c>
      <c r="N31" s="4">
        <f t="shared" si="4"/>
        <v>1594333.6385000001</v>
      </c>
      <c r="O31" s="2">
        <f t="shared" si="6"/>
        <v>154634.03850000026</v>
      </c>
    </row>
    <row r="32" spans="1:15" x14ac:dyDescent="0.3">
      <c r="A32" s="50">
        <v>43861</v>
      </c>
      <c r="B32" s="2">
        <v>31</v>
      </c>
      <c r="C32" s="4">
        <v>1070408.8800000001</v>
      </c>
      <c r="D32" s="4">
        <f t="shared" si="0"/>
        <v>1255054.24</v>
      </c>
      <c r="E32" s="2">
        <f t="shared" si="1"/>
        <v>940861.70854728017</v>
      </c>
      <c r="F32" s="2">
        <f t="shared" si="2"/>
        <v>184645.35999999987</v>
      </c>
      <c r="G32" s="4">
        <f t="shared" si="3"/>
        <v>2195072.98</v>
      </c>
      <c r="H32" s="2">
        <f t="shared" si="7"/>
        <v>1618441.916984027</v>
      </c>
      <c r="I32" s="2">
        <f t="shared" si="8"/>
        <v>1124664.0999999999</v>
      </c>
      <c r="J32" s="4">
        <f t="shared" si="5"/>
        <v>1750038.7749999999</v>
      </c>
      <c r="K32" s="2">
        <f t="shared" si="9"/>
        <v>1415460.9601398527</v>
      </c>
      <c r="L32" s="2">
        <f t="shared" si="10"/>
        <v>679629.89499999979</v>
      </c>
      <c r="N32" s="4">
        <f t="shared" si="4"/>
        <v>2387009.4759</v>
      </c>
      <c r="O32" s="2">
        <f t="shared" si="6"/>
        <v>1316600.5958999998</v>
      </c>
    </row>
    <row r="33" spans="1:15" x14ac:dyDescent="0.3">
      <c r="A33" s="50">
        <v>43862</v>
      </c>
      <c r="B33" s="2">
        <v>32</v>
      </c>
      <c r="C33" s="4">
        <v>54186.990000000005</v>
      </c>
      <c r="D33" s="4">
        <f t="shared" si="0"/>
        <v>562297.93500000006</v>
      </c>
      <c r="E33" s="2">
        <f t="shared" si="1"/>
        <v>382276.49770704098</v>
      </c>
      <c r="F33" s="2">
        <f t="shared" si="2"/>
        <v>508110.94500000007</v>
      </c>
      <c r="G33" s="4">
        <f t="shared" si="3"/>
        <v>854765.15666666673</v>
      </c>
      <c r="H33" s="2">
        <f t="shared" si="7"/>
        <v>855187.60689193977</v>
      </c>
      <c r="I33" s="2">
        <f t="shared" si="8"/>
        <v>800578.16666666674</v>
      </c>
      <c r="J33" s="4">
        <f t="shared" si="5"/>
        <v>1659851.4824999999</v>
      </c>
      <c r="K33" s="2">
        <f t="shared" si="9"/>
        <v>1625972.7910532146</v>
      </c>
      <c r="L33" s="2">
        <f t="shared" si="10"/>
        <v>1605664.4924999999</v>
      </c>
      <c r="N33" s="4">
        <f t="shared" si="4"/>
        <v>1895777.598</v>
      </c>
      <c r="O33" s="2">
        <f t="shared" si="6"/>
        <v>1841590.608</v>
      </c>
    </row>
    <row r="34" spans="1:15" x14ac:dyDescent="0.3">
      <c r="A34" s="50">
        <v>43863</v>
      </c>
      <c r="B34" s="2">
        <v>33</v>
      </c>
      <c r="C34" s="4">
        <v>553721.76</v>
      </c>
      <c r="D34" s="4">
        <f t="shared" si="0"/>
        <v>303954.375</v>
      </c>
      <c r="E34" s="2">
        <f t="shared" si="1"/>
        <v>400350.14614617749</v>
      </c>
      <c r="F34" s="2">
        <f t="shared" si="2"/>
        <v>249767.38500000001</v>
      </c>
      <c r="G34" s="4">
        <f t="shared" si="3"/>
        <v>559439.21000000008</v>
      </c>
      <c r="H34" s="2">
        <f t="shared" si="7"/>
        <v>797041.91190649301</v>
      </c>
      <c r="I34" s="2">
        <f t="shared" si="8"/>
        <v>5717.4500000000698</v>
      </c>
      <c r="J34" s="4">
        <f t="shared" si="5"/>
        <v>779504.30750000011</v>
      </c>
      <c r="K34" s="2">
        <f t="shared" si="9"/>
        <v>880304.51767615718</v>
      </c>
      <c r="L34" s="2">
        <f t="shared" si="10"/>
        <v>225782.5475000001</v>
      </c>
      <c r="N34" s="4">
        <f t="shared" si="4"/>
        <v>811218.50525000005</v>
      </c>
      <c r="O34" s="2">
        <f t="shared" si="6"/>
        <v>257496.74525000004</v>
      </c>
    </row>
    <row r="35" spans="1:15" x14ac:dyDescent="0.3">
      <c r="A35" s="50">
        <v>43864</v>
      </c>
      <c r="B35" s="2">
        <v>34</v>
      </c>
      <c r="C35" s="4">
        <v>26329.26</v>
      </c>
      <c r="D35" s="4">
        <f t="shared" si="0"/>
        <v>290025.51</v>
      </c>
      <c r="E35" s="2">
        <f t="shared" si="1"/>
        <v>256826.2631369704</v>
      </c>
      <c r="F35" s="2">
        <f t="shared" si="2"/>
        <v>263696.25</v>
      </c>
      <c r="G35" s="4">
        <f t="shared" si="3"/>
        <v>211412.67</v>
      </c>
      <c r="H35" s="2">
        <f t="shared" si="7"/>
        <v>474416.82054043707</v>
      </c>
      <c r="I35" s="2">
        <f t="shared" si="8"/>
        <v>185083.41</v>
      </c>
      <c r="J35" s="4">
        <f t="shared" si="5"/>
        <v>426161.72250000003</v>
      </c>
      <c r="K35" s="2">
        <f t="shared" si="9"/>
        <v>901512.48098367953</v>
      </c>
      <c r="L35" s="2">
        <f t="shared" si="10"/>
        <v>399832.46250000002</v>
      </c>
      <c r="N35" s="4">
        <f t="shared" si="4"/>
        <v>445099.9537500001</v>
      </c>
      <c r="O35" s="2">
        <f t="shared" si="6"/>
        <v>418770.69375000009</v>
      </c>
    </row>
    <row r="36" spans="1:15" x14ac:dyDescent="0.3">
      <c r="A36" s="50">
        <v>43865</v>
      </c>
      <c r="B36" s="2">
        <v>35</v>
      </c>
      <c r="C36" s="4">
        <v>395484.32</v>
      </c>
      <c r="D36" s="4">
        <f t="shared" si="0"/>
        <v>210906.79</v>
      </c>
      <c r="E36" s="2">
        <f t="shared" si="1"/>
        <v>227601.16085486405</v>
      </c>
      <c r="F36" s="2">
        <f t="shared" si="2"/>
        <v>184577.53</v>
      </c>
      <c r="G36" s="4">
        <f t="shared" si="3"/>
        <v>325178.44666666671</v>
      </c>
      <c r="H36" s="2">
        <f t="shared" si="7"/>
        <v>114355.40173350406</v>
      </c>
      <c r="I36" s="2">
        <f t="shared" si="8"/>
        <v>70305.873333333293</v>
      </c>
      <c r="J36" s="4">
        <f t="shared" si="5"/>
        <v>257430.58250000002</v>
      </c>
      <c r="K36" s="2">
        <f t="shared" si="9"/>
        <v>837863.51122026506</v>
      </c>
      <c r="L36" s="2">
        <f t="shared" si="10"/>
        <v>138053.73749999999</v>
      </c>
      <c r="N36" s="4">
        <f t="shared" si="4"/>
        <v>267147.62310000003</v>
      </c>
      <c r="O36" s="2">
        <f t="shared" si="6"/>
        <v>128336.69689999998</v>
      </c>
    </row>
    <row r="37" spans="1:15" x14ac:dyDescent="0.3">
      <c r="A37" s="50">
        <v>43866</v>
      </c>
      <c r="B37" s="2">
        <v>36</v>
      </c>
      <c r="C37" s="4">
        <v>3874215.8699999996</v>
      </c>
      <c r="D37" s="4">
        <f t="shared" si="0"/>
        <v>2134850.0949999997</v>
      </c>
      <c r="E37" s="2">
        <f t="shared" si="1"/>
        <v>1236822.9792137295</v>
      </c>
      <c r="F37" s="2">
        <f t="shared" si="2"/>
        <v>1739365.7749999999</v>
      </c>
      <c r="G37" s="4">
        <f t="shared" si="3"/>
        <v>1432009.8166666664</v>
      </c>
      <c r="H37" s="2">
        <f t="shared" si="7"/>
        <v>1414634.1330794529</v>
      </c>
      <c r="I37" s="2">
        <f t="shared" si="8"/>
        <v>2442206.0533333332</v>
      </c>
      <c r="J37" s="4">
        <f t="shared" si="5"/>
        <v>1212437.8025</v>
      </c>
      <c r="K37" s="2">
        <f t="shared" si="9"/>
        <v>1352309.6050725733</v>
      </c>
      <c r="L37" s="2">
        <f t="shared" si="10"/>
        <v>2661778.0674999999</v>
      </c>
      <c r="N37" s="4">
        <f t="shared" si="4"/>
        <v>266022.5551</v>
      </c>
      <c r="O37" s="2">
        <f t="shared" si="6"/>
        <v>3608193.3148999996</v>
      </c>
    </row>
    <row r="38" spans="1:15" x14ac:dyDescent="0.3">
      <c r="A38" s="50">
        <v>43867</v>
      </c>
      <c r="B38" s="2">
        <v>37</v>
      </c>
      <c r="C38" s="4">
        <v>392316.60000000003</v>
      </c>
      <c r="D38" s="4">
        <f t="shared" si="0"/>
        <v>2133266.2349999999</v>
      </c>
      <c r="E38" s="2">
        <f t="shared" si="1"/>
        <v>1740157.8852000732</v>
      </c>
      <c r="F38" s="2">
        <f t="shared" si="2"/>
        <v>1740949.6349999998</v>
      </c>
      <c r="G38" s="4">
        <f t="shared" si="3"/>
        <v>1554005.5966666664</v>
      </c>
      <c r="H38" s="2">
        <f t="shared" si="7"/>
        <v>1561925.5901759581</v>
      </c>
      <c r="I38" s="2">
        <f t="shared" si="8"/>
        <v>1161688.9966666664</v>
      </c>
      <c r="J38" s="4">
        <f t="shared" si="5"/>
        <v>1172086.5124999997</v>
      </c>
      <c r="K38" s="2">
        <f t="shared" si="9"/>
        <v>1402856.7665277543</v>
      </c>
      <c r="L38" s="2">
        <f t="shared" si="10"/>
        <v>779769.91249999963</v>
      </c>
      <c r="N38" s="4">
        <f t="shared" si="4"/>
        <v>1479645.27605</v>
      </c>
      <c r="O38" s="2">
        <f t="shared" si="6"/>
        <v>1087328.6760499999</v>
      </c>
    </row>
    <row r="39" spans="1:15" x14ac:dyDescent="0.3">
      <c r="A39" s="50">
        <v>43868</v>
      </c>
      <c r="B39" s="2">
        <v>38</v>
      </c>
      <c r="C39" s="4">
        <v>341462</v>
      </c>
      <c r="D39" s="4">
        <f t="shared" si="0"/>
        <v>366889.30000000005</v>
      </c>
      <c r="E39" s="2">
        <f t="shared" si="1"/>
        <v>1231168.5869920338</v>
      </c>
      <c r="F39" s="2">
        <f t="shared" si="2"/>
        <v>25427.300000000047</v>
      </c>
      <c r="G39" s="4">
        <f t="shared" si="3"/>
        <v>1535998.1566666665</v>
      </c>
      <c r="H39" s="2">
        <f t="shared" si="7"/>
        <v>1706927.8798959602</v>
      </c>
      <c r="I39" s="2">
        <f t="shared" si="8"/>
        <v>1194536.1566666665</v>
      </c>
      <c r="J39" s="4">
        <f t="shared" si="5"/>
        <v>1250869.6974999998</v>
      </c>
      <c r="K39" s="2">
        <f t="shared" si="9"/>
        <v>1461094.1783278603</v>
      </c>
      <c r="L39" s="2">
        <f t="shared" si="10"/>
        <v>909407.69749999978</v>
      </c>
      <c r="N39" s="4">
        <f t="shared" si="4"/>
        <v>1942458.6735499999</v>
      </c>
      <c r="O39" s="2">
        <f t="shared" si="6"/>
        <v>1600996.6735499999</v>
      </c>
    </row>
    <row r="40" spans="1:15" x14ac:dyDescent="0.3">
      <c r="A40" s="50">
        <v>43869</v>
      </c>
      <c r="B40" s="2">
        <v>39</v>
      </c>
      <c r="C40" s="4">
        <v>1105688.6200000001</v>
      </c>
      <c r="D40" s="4">
        <f t="shared" si="0"/>
        <v>723575.31</v>
      </c>
      <c r="E40" s="2">
        <f t="shared" si="1"/>
        <v>270792.47521344287</v>
      </c>
      <c r="F40" s="2">
        <f t="shared" si="2"/>
        <v>382113.31000000006</v>
      </c>
      <c r="G40" s="4">
        <f t="shared" si="3"/>
        <v>613155.74000000011</v>
      </c>
      <c r="H40" s="2">
        <f t="shared" si="7"/>
        <v>1003166.0866877879</v>
      </c>
      <c r="I40" s="2">
        <f t="shared" si="8"/>
        <v>492532.88</v>
      </c>
      <c r="J40" s="4">
        <f t="shared" si="5"/>
        <v>1428420.7725</v>
      </c>
      <c r="K40" s="2">
        <f t="shared" si="9"/>
        <v>1468356.3940332935</v>
      </c>
      <c r="L40" s="2">
        <f t="shared" si="10"/>
        <v>322732.15249999985</v>
      </c>
      <c r="N40" s="4">
        <f t="shared" si="4"/>
        <v>1141298.1483999998</v>
      </c>
      <c r="O40" s="2">
        <f t="shared" si="6"/>
        <v>35609.528399999719</v>
      </c>
    </row>
    <row r="41" spans="1:15" x14ac:dyDescent="0.3">
      <c r="A41" s="50">
        <v>43870</v>
      </c>
      <c r="B41" s="2">
        <v>40</v>
      </c>
      <c r="C41" s="4">
        <v>3119484.36</v>
      </c>
      <c r="D41" s="4">
        <f t="shared" si="0"/>
        <v>2112586.4900000002</v>
      </c>
      <c r="E41" s="2">
        <f t="shared" si="1"/>
        <v>761529.35015325982</v>
      </c>
      <c r="F41" s="2">
        <f t="shared" si="2"/>
        <v>1006897.8699999996</v>
      </c>
      <c r="G41" s="4">
        <f t="shared" si="3"/>
        <v>1522211.6600000001</v>
      </c>
      <c r="H41" s="2">
        <f t="shared" si="7"/>
        <v>1186140.1470920085</v>
      </c>
      <c r="I41" s="2">
        <f t="shared" si="8"/>
        <v>1597272.6999999997</v>
      </c>
      <c r="J41" s="4">
        <f t="shared" si="5"/>
        <v>1239737.895</v>
      </c>
      <c r="K41" s="2">
        <f t="shared" si="9"/>
        <v>1126129.0214324675</v>
      </c>
      <c r="L41" s="2">
        <f t="shared" si="10"/>
        <v>1879746.4649999999</v>
      </c>
      <c r="N41" s="4">
        <f t="shared" si="4"/>
        <v>608665.9297000001</v>
      </c>
      <c r="O41" s="2">
        <f t="shared" si="6"/>
        <v>2510818.4302999997</v>
      </c>
    </row>
    <row r="42" spans="1:15" x14ac:dyDescent="0.3">
      <c r="A42" s="50">
        <v>43871</v>
      </c>
      <c r="B42" s="2">
        <v>41</v>
      </c>
      <c r="C42" s="4">
        <v>9432.6299999999992</v>
      </c>
      <c r="D42" s="4">
        <f t="shared" si="0"/>
        <v>1564458.4949999999</v>
      </c>
      <c r="E42" s="2">
        <f t="shared" si="1"/>
        <v>1309952.0528304717</v>
      </c>
      <c r="F42" s="2">
        <f t="shared" si="2"/>
        <v>1555025.865</v>
      </c>
      <c r="G42" s="4">
        <f t="shared" si="3"/>
        <v>1411535.2033333334</v>
      </c>
      <c r="H42" s="2">
        <f t="shared" si="7"/>
        <v>1259597.8646899359</v>
      </c>
      <c r="I42" s="2">
        <f t="shared" si="8"/>
        <v>1402102.5733333335</v>
      </c>
      <c r="J42" s="4">
        <f t="shared" si="5"/>
        <v>1144016.9025000001</v>
      </c>
      <c r="K42" s="2">
        <f t="shared" si="9"/>
        <v>1199156.646003128</v>
      </c>
      <c r="L42" s="2">
        <f t="shared" si="10"/>
        <v>1134584.2725000002</v>
      </c>
      <c r="N42" s="4">
        <f t="shared" si="4"/>
        <v>1612180.3365000002</v>
      </c>
      <c r="O42" s="2">
        <f t="shared" si="6"/>
        <v>1602747.7065000003</v>
      </c>
    </row>
    <row r="43" spans="1:15" x14ac:dyDescent="0.3">
      <c r="A43" s="50">
        <v>43872</v>
      </c>
      <c r="B43" s="2">
        <v>42</v>
      </c>
      <c r="C43" s="4">
        <v>559513.59999999998</v>
      </c>
      <c r="D43" s="4">
        <f t="shared" si="0"/>
        <v>284473.11499999999</v>
      </c>
      <c r="E43" s="2">
        <f t="shared" si="1"/>
        <v>1116636.1782622023</v>
      </c>
      <c r="F43" s="2">
        <f t="shared" si="2"/>
        <v>275040.48499999999</v>
      </c>
      <c r="G43" s="4">
        <f t="shared" si="3"/>
        <v>1229476.8633333333</v>
      </c>
      <c r="H43" s="2">
        <f t="shared" si="7"/>
        <v>1286600.4920629007</v>
      </c>
      <c r="I43" s="2">
        <f t="shared" si="8"/>
        <v>669963.26333333331</v>
      </c>
      <c r="J43" s="4">
        <f t="shared" si="5"/>
        <v>1198529.8025</v>
      </c>
      <c r="K43" s="2">
        <f t="shared" si="9"/>
        <v>1154688.9184320548</v>
      </c>
      <c r="L43" s="2">
        <f t="shared" si="10"/>
        <v>639016.20250000001</v>
      </c>
      <c r="N43" s="4">
        <f t="shared" si="4"/>
        <v>1634581.96765</v>
      </c>
      <c r="O43" s="2">
        <f t="shared" si="6"/>
        <v>1075068.3676499999</v>
      </c>
    </row>
    <row r="44" spans="1:15" x14ac:dyDescent="0.3">
      <c r="A44" s="50">
        <v>43873</v>
      </c>
      <c r="B44" s="2">
        <v>43</v>
      </c>
      <c r="C44" s="4">
        <v>27383.55</v>
      </c>
      <c r="D44" s="4">
        <f t="shared" si="0"/>
        <v>293448.57500000001</v>
      </c>
      <c r="E44" s="2">
        <f t="shared" si="1"/>
        <v>270589.97202158644</v>
      </c>
      <c r="F44" s="2">
        <f t="shared" si="2"/>
        <v>266065.02500000002</v>
      </c>
      <c r="G44" s="4">
        <f t="shared" si="3"/>
        <v>198776.59333333335</v>
      </c>
      <c r="H44" s="2">
        <f t="shared" si="7"/>
        <v>902610.65354287112</v>
      </c>
      <c r="I44" s="2">
        <f t="shared" si="8"/>
        <v>171393.04333333336</v>
      </c>
      <c r="J44" s="4">
        <f t="shared" si="5"/>
        <v>928953.53499999992</v>
      </c>
      <c r="K44" s="2">
        <f t="shared" si="9"/>
        <v>1229013.668454787</v>
      </c>
      <c r="L44" s="2">
        <f t="shared" si="10"/>
        <v>901569.98499999987</v>
      </c>
      <c r="N44" s="4">
        <f t="shared" si="4"/>
        <v>877921.13555000001</v>
      </c>
      <c r="O44" s="2">
        <f t="shared" si="6"/>
        <v>850537.58554999996</v>
      </c>
    </row>
    <row r="45" spans="1:15" x14ac:dyDescent="0.3">
      <c r="A45" s="50">
        <v>43874</v>
      </c>
      <c r="B45" s="2">
        <v>44</v>
      </c>
      <c r="C45" s="4">
        <v>1582440.3</v>
      </c>
      <c r="D45" s="4">
        <f t="shared" si="0"/>
        <v>804911.92500000005</v>
      </c>
      <c r="E45" s="2">
        <f t="shared" si="1"/>
        <v>581094.21415911173</v>
      </c>
      <c r="F45" s="2">
        <f t="shared" si="2"/>
        <v>777528.375</v>
      </c>
      <c r="G45" s="4">
        <f t="shared" si="3"/>
        <v>723112.4833333334</v>
      </c>
      <c r="H45" s="2">
        <f t="shared" si="7"/>
        <v>636833.48059400148</v>
      </c>
      <c r="I45" s="2">
        <f t="shared" si="8"/>
        <v>859327.81666666665</v>
      </c>
      <c r="J45" s="4">
        <f t="shared" si="5"/>
        <v>544692.52</v>
      </c>
      <c r="K45" s="2">
        <f t="shared" si="9"/>
        <v>946753.93730495044</v>
      </c>
      <c r="L45" s="2">
        <f t="shared" si="10"/>
        <v>1037747.78</v>
      </c>
      <c r="N45" s="4">
        <f t="shared" si="4"/>
        <v>260232.21985000002</v>
      </c>
      <c r="O45" s="2">
        <f t="shared" si="6"/>
        <v>1322208.0801500001</v>
      </c>
    </row>
    <row r="46" spans="1:15" x14ac:dyDescent="0.3">
      <c r="A46" s="50">
        <v>43875</v>
      </c>
      <c r="B46" s="2">
        <v>45</v>
      </c>
      <c r="C46" s="4">
        <v>1771282.7</v>
      </c>
      <c r="D46" s="4">
        <f t="shared" si="0"/>
        <v>1676861.5</v>
      </c>
      <c r="E46" s="2">
        <f t="shared" si="1"/>
        <v>553834.69417308108</v>
      </c>
      <c r="F46" s="2">
        <f t="shared" si="2"/>
        <v>94421.199999999953</v>
      </c>
      <c r="G46" s="4">
        <f t="shared" si="3"/>
        <v>1127035.5166666666</v>
      </c>
      <c r="H46" s="2">
        <f t="shared" si="7"/>
        <v>627926.29743548087</v>
      </c>
      <c r="I46" s="2">
        <f t="shared" si="8"/>
        <v>644247.18333333335</v>
      </c>
      <c r="J46" s="4">
        <f t="shared" si="5"/>
        <v>985155.03750000009</v>
      </c>
      <c r="K46" s="2">
        <f t="shared" si="9"/>
        <v>853827.74924938218</v>
      </c>
      <c r="L46" s="2">
        <f t="shared" si="10"/>
        <v>786127.66249999986</v>
      </c>
      <c r="N46" s="4">
        <f t="shared" si="4"/>
        <v>665396.17225000006</v>
      </c>
      <c r="O46" s="2">
        <f t="shared" si="6"/>
        <v>1105886.5277499999</v>
      </c>
    </row>
    <row r="47" spans="1:15" x14ac:dyDescent="0.3">
      <c r="A47" s="50">
        <v>43876</v>
      </c>
      <c r="B47" s="2">
        <v>46</v>
      </c>
      <c r="C47" s="4">
        <v>695767.49</v>
      </c>
      <c r="D47" s="4">
        <f t="shared" si="0"/>
        <v>1233525.095</v>
      </c>
      <c r="E47" s="2">
        <f t="shared" si="1"/>
        <v>386069.03834986303</v>
      </c>
      <c r="F47" s="2">
        <f t="shared" si="2"/>
        <v>537757.60499999998</v>
      </c>
      <c r="G47" s="4">
        <f t="shared" si="3"/>
        <v>1349830.1633333333</v>
      </c>
      <c r="H47" s="2">
        <f t="shared" si="7"/>
        <v>726015.77356096532</v>
      </c>
      <c r="I47" s="2">
        <f t="shared" si="8"/>
        <v>654062.67333333334</v>
      </c>
      <c r="J47" s="4">
        <f t="shared" si="5"/>
        <v>1019218.51</v>
      </c>
      <c r="K47" s="2">
        <f t="shared" si="9"/>
        <v>808140.79169946979</v>
      </c>
      <c r="L47" s="2">
        <f t="shared" si="10"/>
        <v>323451.02</v>
      </c>
      <c r="N47" s="4">
        <f t="shared" si="4"/>
        <v>1303590.0190000001</v>
      </c>
      <c r="O47" s="2">
        <f t="shared" si="6"/>
        <v>607822.5290000001</v>
      </c>
    </row>
    <row r="48" spans="1:15" x14ac:dyDescent="0.3">
      <c r="A48" s="50">
        <v>43877</v>
      </c>
      <c r="B48" s="2">
        <v>47</v>
      </c>
      <c r="C48" s="4">
        <v>678082.4</v>
      </c>
      <c r="D48" s="4">
        <f t="shared" si="0"/>
        <v>686924.94500000007</v>
      </c>
      <c r="E48" s="2">
        <f t="shared" si="1"/>
        <v>380303.45274360385</v>
      </c>
      <c r="F48" s="2">
        <f t="shared" si="2"/>
        <v>8842.5450000000419</v>
      </c>
      <c r="G48" s="4">
        <f t="shared" si="3"/>
        <v>1048377.5299999999</v>
      </c>
      <c r="H48" s="2">
        <f t="shared" si="7"/>
        <v>571539.12003250699</v>
      </c>
      <c r="I48" s="2">
        <f t="shared" si="8"/>
        <v>370295.12999999989</v>
      </c>
      <c r="J48" s="4">
        <f t="shared" si="5"/>
        <v>1181893.2225000001</v>
      </c>
      <c r="K48" s="2">
        <f t="shared" si="9"/>
        <v>716478.02894607477</v>
      </c>
      <c r="L48" s="2">
        <f t="shared" si="10"/>
        <v>503810.82250000013</v>
      </c>
      <c r="N48" s="4">
        <f t="shared" si="4"/>
        <v>1369439.7766499999</v>
      </c>
      <c r="O48" s="2">
        <f t="shared" si="6"/>
        <v>691357.37664999987</v>
      </c>
    </row>
    <row r="49" spans="1:15" x14ac:dyDescent="0.3">
      <c r="A49" s="50">
        <v>43878</v>
      </c>
      <c r="B49" s="2">
        <v>48</v>
      </c>
      <c r="C49" s="4">
        <v>369303.35000000003</v>
      </c>
      <c r="D49" s="4">
        <f t="shared" si="0"/>
        <v>523692.875</v>
      </c>
      <c r="E49" s="2">
        <f t="shared" si="1"/>
        <v>109348.79064672512</v>
      </c>
      <c r="F49" s="2">
        <f t="shared" si="2"/>
        <v>154389.52499999997</v>
      </c>
      <c r="G49" s="4">
        <f t="shared" si="3"/>
        <v>581051.08000000007</v>
      </c>
      <c r="H49" s="2">
        <f t="shared" si="7"/>
        <v>450833.88112467638</v>
      </c>
      <c r="I49" s="2">
        <f t="shared" si="8"/>
        <v>211747.73000000004</v>
      </c>
      <c r="J49" s="4">
        <f t="shared" si="5"/>
        <v>878608.98499999999</v>
      </c>
      <c r="K49" s="2">
        <f t="shared" si="9"/>
        <v>555840.54341097549</v>
      </c>
      <c r="L49" s="2">
        <f t="shared" si="10"/>
        <v>509305.63499999995</v>
      </c>
      <c r="N49" s="4">
        <f t="shared" si="4"/>
        <v>926456.33105000004</v>
      </c>
      <c r="O49" s="2">
        <f t="shared" si="6"/>
        <v>557152.98105000006</v>
      </c>
    </row>
    <row r="50" spans="1:15" x14ac:dyDescent="0.3">
      <c r="A50" s="50">
        <v>43879</v>
      </c>
      <c r="B50" s="2">
        <v>49</v>
      </c>
      <c r="C50" s="4">
        <v>2691236.31</v>
      </c>
      <c r="D50" s="4">
        <f t="shared" si="0"/>
        <v>1530269.83</v>
      </c>
      <c r="E50" s="2">
        <f t="shared" si="1"/>
        <v>828154.36155143077</v>
      </c>
      <c r="F50" s="2">
        <f t="shared" si="2"/>
        <v>1160966.48</v>
      </c>
      <c r="G50" s="4">
        <f t="shared" si="3"/>
        <v>1246207.3533333333</v>
      </c>
      <c r="H50" s="2">
        <f t="shared" si="7"/>
        <v>869878.2041310966</v>
      </c>
      <c r="I50" s="2">
        <f t="shared" si="8"/>
        <v>1445028.9566666668</v>
      </c>
      <c r="J50" s="4">
        <f t="shared" si="5"/>
        <v>1108597.3875000002</v>
      </c>
      <c r="K50" s="2">
        <f t="shared" si="9"/>
        <v>883541.75001268066</v>
      </c>
      <c r="L50" s="2">
        <f t="shared" si="10"/>
        <v>1582638.9224999999</v>
      </c>
      <c r="N50" s="4">
        <f t="shared" si="4"/>
        <v>578532.13804999995</v>
      </c>
      <c r="O50" s="2">
        <f t="shared" si="6"/>
        <v>2112704.1719500003</v>
      </c>
    </row>
    <row r="51" spans="1:15" x14ac:dyDescent="0.3">
      <c r="A51" s="50">
        <v>43880</v>
      </c>
      <c r="B51" s="2">
        <v>50</v>
      </c>
      <c r="C51" s="4">
        <v>781789.12</v>
      </c>
      <c r="D51" s="4">
        <f t="shared" si="0"/>
        <v>1736512.7150000001</v>
      </c>
      <c r="E51" s="2">
        <f t="shared" si="1"/>
        <v>1062859.4240381261</v>
      </c>
      <c r="F51" s="2">
        <f t="shared" si="2"/>
        <v>954723.59500000009</v>
      </c>
      <c r="G51" s="4">
        <f t="shared" si="3"/>
        <v>1280776.26</v>
      </c>
      <c r="H51" s="2">
        <f t="shared" si="7"/>
        <v>891054.42270205694</v>
      </c>
      <c r="I51" s="2">
        <f t="shared" si="8"/>
        <v>498987.14</v>
      </c>
      <c r="J51" s="4">
        <f t="shared" si="5"/>
        <v>1130102.7949999999</v>
      </c>
      <c r="K51" s="2">
        <f t="shared" si="9"/>
        <v>885901.51116177207</v>
      </c>
      <c r="L51" s="2">
        <f t="shared" si="10"/>
        <v>348313.67499999993</v>
      </c>
      <c r="N51" s="4">
        <f t="shared" si="4"/>
        <v>1215082.2826000003</v>
      </c>
      <c r="O51" s="2">
        <f t="shared" si="6"/>
        <v>433293.16260000027</v>
      </c>
    </row>
    <row r="52" spans="1:15" x14ac:dyDescent="0.3">
      <c r="A52" s="50">
        <v>43881</v>
      </c>
      <c r="B52" s="2">
        <v>51</v>
      </c>
      <c r="C52" s="4">
        <v>472904.3</v>
      </c>
      <c r="D52" s="4">
        <f t="shared" si="0"/>
        <v>627346.71</v>
      </c>
      <c r="E52" s="2">
        <f t="shared" si="1"/>
        <v>683867.5313451913</v>
      </c>
      <c r="F52" s="2">
        <f t="shared" si="2"/>
        <v>154442.40999999997</v>
      </c>
      <c r="G52" s="4">
        <f t="shared" si="3"/>
        <v>1315309.9099999999</v>
      </c>
      <c r="H52" s="2">
        <f t="shared" si="7"/>
        <v>1007760.5640312926</v>
      </c>
      <c r="I52" s="2">
        <f t="shared" si="8"/>
        <v>842405.60999999987</v>
      </c>
      <c r="J52" s="4">
        <f t="shared" si="5"/>
        <v>1078808.27</v>
      </c>
      <c r="K52" s="2">
        <f t="shared" si="9"/>
        <v>901745.56083028205</v>
      </c>
      <c r="L52" s="2">
        <f t="shared" si="10"/>
        <v>605903.97</v>
      </c>
      <c r="N52" s="4">
        <f t="shared" si="4"/>
        <v>1540746.2501500002</v>
      </c>
      <c r="O52" s="2">
        <f t="shared" si="6"/>
        <v>1067841.9501500002</v>
      </c>
    </row>
    <row r="53" spans="1:15" x14ac:dyDescent="0.3">
      <c r="A53" s="50">
        <v>43882</v>
      </c>
      <c r="B53" s="2">
        <v>52</v>
      </c>
      <c r="C53" s="4">
        <v>930368.34</v>
      </c>
      <c r="D53" s="4">
        <f t="shared" si="0"/>
        <v>701636.32</v>
      </c>
      <c r="E53" s="2">
        <f t="shared" si="1"/>
        <v>195154.8039120335</v>
      </c>
      <c r="F53" s="2">
        <f t="shared" si="2"/>
        <v>228732.02000000002</v>
      </c>
      <c r="G53" s="4">
        <f t="shared" si="3"/>
        <v>728353.91999999993</v>
      </c>
      <c r="H53" s="2">
        <f t="shared" si="7"/>
        <v>577190.09102512838</v>
      </c>
      <c r="I53" s="2">
        <f t="shared" si="8"/>
        <v>202014.42000000004</v>
      </c>
      <c r="J53" s="4">
        <f t="shared" si="5"/>
        <v>1219074.5175000001</v>
      </c>
      <c r="K53" s="2">
        <f t="shared" si="9"/>
        <v>877003.31427429453</v>
      </c>
      <c r="L53" s="2">
        <f t="shared" si="10"/>
        <v>288706.17750000011</v>
      </c>
      <c r="N53" s="4">
        <f t="shared" si="4"/>
        <v>1098391.0871000001</v>
      </c>
      <c r="O53" s="2">
        <f t="shared" si="6"/>
        <v>168022.74710000015</v>
      </c>
    </row>
    <row r="54" spans="1:15" x14ac:dyDescent="0.3">
      <c r="A54" s="50">
        <v>43883</v>
      </c>
      <c r="B54" s="2">
        <v>53</v>
      </c>
      <c r="C54" s="4">
        <v>456848.60000000003</v>
      </c>
      <c r="D54" s="4">
        <f t="shared" si="0"/>
        <v>693608.47</v>
      </c>
      <c r="E54" s="2">
        <f t="shared" si="1"/>
        <v>232780.55440231395</v>
      </c>
      <c r="F54" s="2">
        <f t="shared" si="2"/>
        <v>236759.86999999994</v>
      </c>
      <c r="G54" s="4">
        <f t="shared" si="3"/>
        <v>620040.41333333333</v>
      </c>
      <c r="H54" s="2">
        <f t="shared" si="7"/>
        <v>508949.44267134881</v>
      </c>
      <c r="I54" s="2">
        <f t="shared" si="8"/>
        <v>163191.8133333333</v>
      </c>
      <c r="J54" s="4">
        <f t="shared" si="5"/>
        <v>660477.59</v>
      </c>
      <c r="K54" s="2">
        <f t="shared" si="9"/>
        <v>391553.97442397644</v>
      </c>
      <c r="L54" s="2">
        <f t="shared" si="10"/>
        <v>203628.98999999993</v>
      </c>
      <c r="N54" s="4">
        <f t="shared" si="4"/>
        <v>694109.41379999998</v>
      </c>
      <c r="O54" s="2">
        <f t="shared" si="6"/>
        <v>237260.81379999995</v>
      </c>
    </row>
    <row r="55" spans="1:15" x14ac:dyDescent="0.3">
      <c r="A55" s="50">
        <v>43884</v>
      </c>
      <c r="B55" s="2">
        <v>54</v>
      </c>
      <c r="C55" s="4">
        <v>2680267.17</v>
      </c>
      <c r="D55" s="4">
        <f t="shared" si="0"/>
        <v>1568557.885</v>
      </c>
      <c r="E55" s="2">
        <f t="shared" si="1"/>
        <v>803726.56121271371</v>
      </c>
      <c r="F55" s="2">
        <f t="shared" si="2"/>
        <v>1111709.2849999999</v>
      </c>
      <c r="G55" s="4">
        <f t="shared" si="3"/>
        <v>1355828.0366666666</v>
      </c>
      <c r="H55" s="2">
        <f t="shared" si="7"/>
        <v>779226.19987859519</v>
      </c>
      <c r="I55" s="2">
        <f t="shared" si="8"/>
        <v>1324439.1333333333</v>
      </c>
      <c r="J55" s="4">
        <f t="shared" si="5"/>
        <v>1135097.1025</v>
      </c>
      <c r="K55" s="2">
        <f t="shared" si="9"/>
        <v>848452.44133875833</v>
      </c>
      <c r="L55" s="2">
        <f t="shared" si="10"/>
        <v>1545170.0674999999</v>
      </c>
      <c r="N55" s="4">
        <f t="shared" si="4"/>
        <v>671097.13829999999</v>
      </c>
      <c r="O55" s="2">
        <f t="shared" si="6"/>
        <v>2009170.0316999999</v>
      </c>
    </row>
    <row r="56" spans="1:15" x14ac:dyDescent="0.3">
      <c r="A56" s="50">
        <v>43885</v>
      </c>
      <c r="B56" s="2">
        <v>55</v>
      </c>
      <c r="C56" s="4">
        <v>1006165.86</v>
      </c>
      <c r="D56" s="4">
        <f t="shared" si="0"/>
        <v>1843216.5149999999</v>
      </c>
      <c r="E56" s="2">
        <f t="shared" si="1"/>
        <v>984009.99318887503</v>
      </c>
      <c r="F56" s="2">
        <f t="shared" si="2"/>
        <v>837050.65499999991</v>
      </c>
      <c r="G56" s="4">
        <f t="shared" si="3"/>
        <v>1381093.8766666667</v>
      </c>
      <c r="H56" s="2">
        <f t="shared" si="7"/>
        <v>800279.45192609075</v>
      </c>
      <c r="I56" s="2">
        <f t="shared" si="8"/>
        <v>374928.01666666672</v>
      </c>
      <c r="J56" s="4">
        <f t="shared" si="5"/>
        <v>1268412.4924999999</v>
      </c>
      <c r="K56" s="2">
        <f t="shared" si="9"/>
        <v>803296.31149573717</v>
      </c>
      <c r="L56" s="2">
        <f t="shared" si="10"/>
        <v>262246.63249999995</v>
      </c>
      <c r="N56" s="4">
        <f t="shared" si="4"/>
        <v>1305868.1637500001</v>
      </c>
      <c r="O56" s="2">
        <f t="shared" si="6"/>
        <v>299702.30375000008</v>
      </c>
    </row>
    <row r="57" spans="1:15" x14ac:dyDescent="0.3">
      <c r="A57" s="50">
        <v>43886</v>
      </c>
      <c r="B57" s="2">
        <v>56</v>
      </c>
      <c r="C57" s="4">
        <v>119099.5</v>
      </c>
      <c r="D57" s="4">
        <f t="shared" si="0"/>
        <v>562632.67999999993</v>
      </c>
      <c r="E57" s="2">
        <f t="shared" si="1"/>
        <v>669841.57858289196</v>
      </c>
      <c r="F57" s="2">
        <f t="shared" si="2"/>
        <v>443533.17999999993</v>
      </c>
      <c r="G57" s="4">
        <f t="shared" si="3"/>
        <v>1268510.8433333333</v>
      </c>
      <c r="H57" s="2">
        <f t="shared" si="7"/>
        <v>1035351.2241054062</v>
      </c>
      <c r="I57" s="2">
        <f t="shared" si="8"/>
        <v>1149411.3433333333</v>
      </c>
      <c r="J57" s="4">
        <f t="shared" si="5"/>
        <v>1065595.2825</v>
      </c>
      <c r="K57" s="2">
        <f t="shared" si="9"/>
        <v>921092.13241866464</v>
      </c>
      <c r="L57" s="2">
        <f t="shared" si="10"/>
        <v>946495.78249999997</v>
      </c>
      <c r="N57" s="4">
        <f t="shared" si="4"/>
        <v>1630291.1457500001</v>
      </c>
      <c r="O57" s="2">
        <f t="shared" si="6"/>
        <v>1511191.6457500001</v>
      </c>
    </row>
    <row r="58" spans="1:15" x14ac:dyDescent="0.3">
      <c r="A58" s="50">
        <v>43887</v>
      </c>
      <c r="B58" s="2">
        <v>57</v>
      </c>
      <c r="C58" s="4">
        <v>565554.26</v>
      </c>
      <c r="D58" s="4">
        <f t="shared" si="0"/>
        <v>342326.88</v>
      </c>
      <c r="E58" s="2">
        <f t="shared" si="1"/>
        <v>351106.92455616477</v>
      </c>
      <c r="F58" s="2">
        <f t="shared" si="2"/>
        <v>223227.38</v>
      </c>
      <c r="G58" s="4">
        <f t="shared" si="3"/>
        <v>563606.53999999992</v>
      </c>
      <c r="H58" s="2">
        <f t="shared" si="7"/>
        <v>698026.08534785104</v>
      </c>
      <c r="I58" s="2">
        <f t="shared" si="8"/>
        <v>1947.7200000000885</v>
      </c>
      <c r="J58" s="4">
        <f t="shared" si="5"/>
        <v>1092771.6975</v>
      </c>
      <c r="K58" s="2">
        <f t="shared" si="9"/>
        <v>952645.83220233233</v>
      </c>
      <c r="L58" s="2">
        <f t="shared" si="10"/>
        <v>527217.4375</v>
      </c>
      <c r="N58" s="4">
        <f t="shared" si="4"/>
        <v>1077300.9176</v>
      </c>
      <c r="O58" s="2">
        <f t="shared" si="6"/>
        <v>511746.65760000004</v>
      </c>
    </row>
    <row r="59" spans="1:15" x14ac:dyDescent="0.3">
      <c r="A59" s="50">
        <v>43888</v>
      </c>
      <c r="B59" s="2">
        <v>58</v>
      </c>
      <c r="C59" s="4">
        <v>292916.8</v>
      </c>
      <c r="D59" s="4">
        <f t="shared" si="0"/>
        <v>429235.53</v>
      </c>
      <c r="E59" s="2">
        <f t="shared" si="1"/>
        <v>184950.34378242897</v>
      </c>
      <c r="F59" s="2">
        <f t="shared" si="2"/>
        <v>136318.73000000004</v>
      </c>
      <c r="G59" s="4">
        <f t="shared" si="3"/>
        <v>325856.85333333333</v>
      </c>
      <c r="H59" s="2">
        <f t="shared" si="7"/>
        <v>663886.35496098245</v>
      </c>
      <c r="I59" s="2">
        <f t="shared" si="8"/>
        <v>32940.053333333344</v>
      </c>
      <c r="J59" s="4">
        <f t="shared" si="5"/>
        <v>495934.10499999998</v>
      </c>
      <c r="K59" s="2">
        <f t="shared" si="9"/>
        <v>566524.892454296</v>
      </c>
      <c r="L59" s="2">
        <f t="shared" si="10"/>
        <v>203017.30499999999</v>
      </c>
      <c r="N59" s="4">
        <f t="shared" si="4"/>
        <v>463816.44380000001</v>
      </c>
      <c r="O59" s="2">
        <f t="shared" si="6"/>
        <v>170899.64380000002</v>
      </c>
    </row>
    <row r="60" spans="1:15" x14ac:dyDescent="0.3">
      <c r="A60" s="50">
        <v>43889</v>
      </c>
      <c r="B60" s="2">
        <v>59</v>
      </c>
      <c r="C60" s="4">
        <v>460287.36</v>
      </c>
      <c r="D60" s="4">
        <f t="shared" si="0"/>
        <v>376602.07999999996</v>
      </c>
      <c r="E60" s="2">
        <f t="shared" si="1"/>
        <v>113106.19398930219</v>
      </c>
      <c r="F60" s="2">
        <f t="shared" si="2"/>
        <v>83685.280000000028</v>
      </c>
      <c r="G60" s="4">
        <f t="shared" si="3"/>
        <v>439586.13999999996</v>
      </c>
      <c r="H60" s="2">
        <f t="shared" si="7"/>
        <v>22489.858724097896</v>
      </c>
      <c r="I60" s="2">
        <f t="shared" si="8"/>
        <v>20701.22000000003</v>
      </c>
      <c r="J60" s="4">
        <f t="shared" si="5"/>
        <v>359464.48</v>
      </c>
      <c r="K60" s="2">
        <f t="shared" si="9"/>
        <v>553442.35742200632</v>
      </c>
      <c r="L60" s="2">
        <f t="shared" si="10"/>
        <v>100822.88</v>
      </c>
      <c r="N60" s="4">
        <f t="shared" si="4"/>
        <v>376000.66370000009</v>
      </c>
      <c r="O60" s="2">
        <f t="shared" si="6"/>
        <v>84286.696299999894</v>
      </c>
    </row>
    <row r="61" spans="1:15" x14ac:dyDescent="0.3">
      <c r="A61" s="50">
        <v>43890</v>
      </c>
      <c r="B61" s="2">
        <v>60</v>
      </c>
      <c r="C61" s="4">
        <v>640497.52</v>
      </c>
      <c r="D61" s="4">
        <f t="shared" si="0"/>
        <v>550392.43999999994</v>
      </c>
      <c r="E61" s="2">
        <f t="shared" si="1"/>
        <v>86954.446494945892</v>
      </c>
      <c r="F61" s="2">
        <f t="shared" si="2"/>
        <v>90105.080000000075</v>
      </c>
      <c r="G61" s="4">
        <f t="shared" si="3"/>
        <v>464567.22666666663</v>
      </c>
      <c r="H61" s="2">
        <f t="shared" si="7"/>
        <v>104027.3293185401</v>
      </c>
      <c r="I61" s="2">
        <f t="shared" si="8"/>
        <v>175930.29333333339</v>
      </c>
      <c r="J61" s="4">
        <f t="shared" si="5"/>
        <v>489813.98499999999</v>
      </c>
      <c r="K61" s="2">
        <f t="shared" si="9"/>
        <v>296666.91481572395</v>
      </c>
      <c r="L61" s="2">
        <f t="shared" si="10"/>
        <v>150683.53500000003</v>
      </c>
      <c r="N61" s="4">
        <f t="shared" si="4"/>
        <v>408966.17879999994</v>
      </c>
      <c r="O61" s="2">
        <f t="shared" si="6"/>
        <v>231531.34120000008</v>
      </c>
    </row>
    <row r="62" spans="1:15" x14ac:dyDescent="0.3">
      <c r="A62" s="50">
        <v>43891</v>
      </c>
      <c r="B62" s="2">
        <v>61</v>
      </c>
      <c r="C62" s="4">
        <v>1669666.8</v>
      </c>
      <c r="D62" s="4">
        <f t="shared" si="0"/>
        <v>1155082.1600000001</v>
      </c>
      <c r="E62" s="2">
        <f t="shared" si="1"/>
        <v>369402.40738640021</v>
      </c>
      <c r="F62" s="2">
        <f t="shared" si="2"/>
        <v>514584.6399999999</v>
      </c>
      <c r="G62" s="4">
        <f t="shared" si="3"/>
        <v>923483.8933333332</v>
      </c>
      <c r="H62" s="2">
        <f t="shared" si="7"/>
        <v>442782.46684022946</v>
      </c>
      <c r="I62" s="2">
        <f t="shared" si="8"/>
        <v>746182.90666666685</v>
      </c>
      <c r="J62" s="4">
        <f t="shared" si="5"/>
        <v>765842.12</v>
      </c>
      <c r="K62" s="2">
        <f t="shared" si="9"/>
        <v>471960.23644957534</v>
      </c>
      <c r="L62" s="2">
        <f t="shared" si="10"/>
        <v>903824.68</v>
      </c>
      <c r="N62" s="4">
        <f t="shared" si="4"/>
        <v>483836.24040000001</v>
      </c>
      <c r="O62" s="2">
        <f t="shared" si="6"/>
        <v>1185830.5596</v>
      </c>
    </row>
    <row r="63" spans="1:15" x14ac:dyDescent="0.3">
      <c r="A63" s="50">
        <v>43892</v>
      </c>
      <c r="B63" s="2">
        <v>62</v>
      </c>
      <c r="C63" s="4">
        <v>627604.67000000004</v>
      </c>
      <c r="D63" s="4">
        <f t="shared" si="0"/>
        <v>1148635.7350000001</v>
      </c>
      <c r="E63" s="2">
        <f t="shared" si="1"/>
        <v>517817.88421170035</v>
      </c>
      <c r="F63" s="2">
        <f t="shared" si="2"/>
        <v>521031.06500000006</v>
      </c>
      <c r="G63" s="4">
        <f t="shared" si="3"/>
        <v>979256.33000000007</v>
      </c>
      <c r="H63" s="2">
        <f t="shared" si="7"/>
        <v>486963.13628262252</v>
      </c>
      <c r="I63" s="2">
        <f t="shared" si="8"/>
        <v>351651.66000000003</v>
      </c>
      <c r="J63" s="4">
        <f t="shared" si="5"/>
        <v>849514.08749999991</v>
      </c>
      <c r="K63" s="2">
        <f t="shared" si="9"/>
        <v>474081.64449909952</v>
      </c>
      <c r="L63" s="2">
        <f t="shared" si="10"/>
        <v>221909.41749999986</v>
      </c>
      <c r="N63" s="4">
        <f t="shared" si="4"/>
        <v>945622.99360000016</v>
      </c>
      <c r="O63" s="2">
        <f t="shared" si="6"/>
        <v>318018.32360000012</v>
      </c>
    </row>
    <row r="64" spans="1:15" x14ac:dyDescent="0.3">
      <c r="A64" s="50">
        <v>43893</v>
      </c>
      <c r="B64" s="2">
        <v>63</v>
      </c>
      <c r="C64" s="4">
        <v>438385.12</v>
      </c>
      <c r="D64" s="4">
        <f t="shared" si="0"/>
        <v>532994.89500000002</v>
      </c>
      <c r="E64" s="2">
        <f t="shared" si="1"/>
        <v>374449.18228017603</v>
      </c>
      <c r="F64" s="2">
        <f t="shared" si="2"/>
        <v>94609.775000000023</v>
      </c>
      <c r="G64" s="4">
        <f t="shared" si="3"/>
        <v>911885.53000000014</v>
      </c>
      <c r="H64" s="2">
        <f t="shared" si="7"/>
        <v>549135.82365156233</v>
      </c>
      <c r="I64" s="2">
        <f t="shared" si="8"/>
        <v>473500.41000000015</v>
      </c>
      <c r="J64" s="4">
        <f t="shared" si="5"/>
        <v>844038.52750000008</v>
      </c>
      <c r="K64" s="2">
        <f t="shared" si="9"/>
        <v>513177.12743475544</v>
      </c>
      <c r="L64" s="2">
        <f t="shared" si="10"/>
        <v>405653.40750000009</v>
      </c>
      <c r="N64" s="4">
        <f t="shared" si="4"/>
        <v>1094158.7448500001</v>
      </c>
      <c r="O64" s="2">
        <f t="shared" si="6"/>
        <v>655773.62485000014</v>
      </c>
    </row>
    <row r="65" spans="1:15" x14ac:dyDescent="0.3">
      <c r="A65" s="50">
        <v>43894</v>
      </c>
      <c r="B65" s="2">
        <v>64</v>
      </c>
      <c r="C65" s="4">
        <v>110172.04000000001</v>
      </c>
      <c r="D65" s="4">
        <f t="shared" si="0"/>
        <v>274278.58</v>
      </c>
      <c r="E65" s="2">
        <f t="shared" si="1"/>
        <v>133943.95469061349</v>
      </c>
      <c r="F65" s="2">
        <f t="shared" si="2"/>
        <v>164106.54</v>
      </c>
      <c r="G65" s="4">
        <f t="shared" si="3"/>
        <v>392053.94333333336</v>
      </c>
      <c r="H65" s="2">
        <f t="shared" si="7"/>
        <v>377411.77144587785</v>
      </c>
      <c r="I65" s="2">
        <f t="shared" si="8"/>
        <v>281881.90333333332</v>
      </c>
      <c r="J65" s="4">
        <f t="shared" si="5"/>
        <v>711457.15750000009</v>
      </c>
      <c r="K65" s="2">
        <f t="shared" si="9"/>
        <v>589966.3806725858</v>
      </c>
      <c r="L65" s="2">
        <f t="shared" si="10"/>
        <v>601285.11750000005</v>
      </c>
      <c r="N65" s="4">
        <f t="shared" si="4"/>
        <v>793469.78934999998</v>
      </c>
      <c r="O65" s="2">
        <f t="shared" si="6"/>
        <v>683297.74934999994</v>
      </c>
    </row>
    <row r="66" spans="1:15" x14ac:dyDescent="0.3">
      <c r="A66" s="50">
        <v>43895</v>
      </c>
      <c r="B66" s="2">
        <v>65</v>
      </c>
      <c r="C66" s="4">
        <v>2272299.54</v>
      </c>
      <c r="D66" s="4">
        <f t="shared" si="0"/>
        <v>1191235.79</v>
      </c>
      <c r="E66" s="2">
        <f t="shared" si="1"/>
        <v>773184.90286439052</v>
      </c>
      <c r="F66" s="2">
        <f t="shared" si="2"/>
        <v>1081063.75</v>
      </c>
      <c r="G66" s="4">
        <f t="shared" si="3"/>
        <v>940285.56666666677</v>
      </c>
      <c r="H66" s="2">
        <f t="shared" si="7"/>
        <v>832250.21695245896</v>
      </c>
      <c r="I66" s="2">
        <f t="shared" si="8"/>
        <v>1332013.9733333332</v>
      </c>
      <c r="J66" s="4">
        <f t="shared" si="5"/>
        <v>862115.34250000003</v>
      </c>
      <c r="K66" s="2">
        <f t="shared" si="9"/>
        <v>800618.78256715578</v>
      </c>
      <c r="L66" s="2">
        <f t="shared" si="10"/>
        <v>1410184.1975</v>
      </c>
      <c r="N66" s="4">
        <f t="shared" si="4"/>
        <v>370062.0392</v>
      </c>
      <c r="O66" s="2">
        <f t="shared" si="6"/>
        <v>1902237.5008</v>
      </c>
    </row>
    <row r="67" spans="1:15" x14ac:dyDescent="0.3">
      <c r="A67" s="50">
        <v>43896</v>
      </c>
      <c r="B67" s="2">
        <v>66</v>
      </c>
      <c r="C67" s="4">
        <v>66399.86</v>
      </c>
      <c r="D67" s="4">
        <f t="shared" si="0"/>
        <v>1169349.7</v>
      </c>
      <c r="E67" s="2">
        <f t="shared" si="1"/>
        <v>1092061.6239755172</v>
      </c>
      <c r="F67" s="2">
        <f t="shared" si="2"/>
        <v>1102949.8399999999</v>
      </c>
      <c r="G67" s="4">
        <f t="shared" si="3"/>
        <v>816290.48</v>
      </c>
      <c r="H67" s="2">
        <f t="shared" si="7"/>
        <v>897413.79800440266</v>
      </c>
      <c r="I67" s="2">
        <f t="shared" si="8"/>
        <v>749890.62</v>
      </c>
      <c r="J67" s="4">
        <f t="shared" si="5"/>
        <v>721814.14</v>
      </c>
      <c r="K67" s="2">
        <f t="shared" si="9"/>
        <v>857946.06894168863</v>
      </c>
      <c r="L67" s="2">
        <f t="shared" si="10"/>
        <v>655414.28</v>
      </c>
      <c r="N67" s="4">
        <f t="shared" si="4"/>
        <v>906691.63010000018</v>
      </c>
      <c r="O67" s="2">
        <f t="shared" si="6"/>
        <v>840291.7701000002</v>
      </c>
    </row>
    <row r="68" spans="1:15" x14ac:dyDescent="0.3">
      <c r="A68" s="50">
        <v>43897</v>
      </c>
      <c r="B68" s="2">
        <v>67</v>
      </c>
      <c r="C68" s="4">
        <v>10953.42</v>
      </c>
      <c r="D68" s="4">
        <f t="shared" ref="D68:D131" si="11">AVERAGE(C67:C68)</f>
        <v>38676.639999999999</v>
      </c>
      <c r="E68" s="2">
        <f t="shared" si="1"/>
        <v>780149.64156987017</v>
      </c>
      <c r="F68" s="2">
        <f t="shared" si="2"/>
        <v>27723.22</v>
      </c>
      <c r="G68" s="4">
        <f t="shared" si="3"/>
        <v>783217.60666666657</v>
      </c>
      <c r="H68" s="2">
        <f t="shared" si="7"/>
        <v>988768.4496596707</v>
      </c>
      <c r="I68" s="2">
        <f t="shared" si="8"/>
        <v>772264.18666666653</v>
      </c>
      <c r="J68" s="4">
        <f t="shared" si="5"/>
        <v>614956.21499999997</v>
      </c>
      <c r="K68" s="2">
        <f t="shared" si="9"/>
        <v>886644.02639974945</v>
      </c>
      <c r="L68" s="2">
        <f t="shared" si="10"/>
        <v>604002.79499999993</v>
      </c>
      <c r="N68" s="4">
        <f t="shared" si="4"/>
        <v>1057655.0972</v>
      </c>
      <c r="O68" s="2">
        <f t="shared" si="6"/>
        <v>1046701.6771999999</v>
      </c>
    </row>
    <row r="69" spans="1:15" x14ac:dyDescent="0.3">
      <c r="A69" s="50">
        <v>43898</v>
      </c>
      <c r="B69" s="2">
        <v>68</v>
      </c>
      <c r="C69" s="4">
        <v>1107915.2</v>
      </c>
      <c r="D69" s="4">
        <f t="shared" si="11"/>
        <v>559434.30999999994</v>
      </c>
      <c r="E69" s="2">
        <f t="shared" ref="E69:E132" si="12">SQRT(SUMXMY2(C68:C69,D68:D69)/2)</f>
        <v>388329.66898136982</v>
      </c>
      <c r="F69" s="2">
        <f t="shared" ref="F69:F132" si="13">ABS(D69-C69)</f>
        <v>548480.89</v>
      </c>
      <c r="G69" s="4">
        <f t="shared" ref="G69:G132" si="14">AVERAGE(C67:C69)</f>
        <v>395089.49333333335</v>
      </c>
      <c r="H69" s="2">
        <f t="shared" si="7"/>
        <v>745396.62910800823</v>
      </c>
      <c r="I69" s="2">
        <f t="shared" si="8"/>
        <v>712825.70666666655</v>
      </c>
      <c r="J69" s="4">
        <f t="shared" si="5"/>
        <v>864392.00499999989</v>
      </c>
      <c r="K69" s="2">
        <f t="shared" si="9"/>
        <v>842957.63122731412</v>
      </c>
      <c r="L69" s="2">
        <f t="shared" si="10"/>
        <v>243523.19500000007</v>
      </c>
      <c r="N69" s="4">
        <f t="shared" ref="N69:N132" si="15">($M$2*D68)+($M$3*C67)+($M$4*C66)</f>
        <v>533123.23219999997</v>
      </c>
      <c r="O69" s="2">
        <f t="shared" si="6"/>
        <v>574791.96779999998</v>
      </c>
    </row>
    <row r="70" spans="1:15" x14ac:dyDescent="0.3">
      <c r="A70" s="50">
        <v>43899</v>
      </c>
      <c r="B70" s="2">
        <v>69</v>
      </c>
      <c r="C70" s="4">
        <v>301093.32</v>
      </c>
      <c r="D70" s="4">
        <f t="shared" si="11"/>
        <v>704504.26</v>
      </c>
      <c r="E70" s="2">
        <f t="shared" si="12"/>
        <v>481441.41554652096</v>
      </c>
      <c r="F70" s="2">
        <f t="shared" si="13"/>
        <v>403410.94</v>
      </c>
      <c r="G70" s="4">
        <f t="shared" si="14"/>
        <v>473320.64666666667</v>
      </c>
      <c r="H70" s="2">
        <f t="shared" si="7"/>
        <v>614864.40622940252</v>
      </c>
      <c r="I70" s="2">
        <f t="shared" si="8"/>
        <v>172227.32666666666</v>
      </c>
      <c r="J70" s="4">
        <f t="shared" ref="J70:J133" si="16">AVERAGE(C67:C70)</f>
        <v>371590.45</v>
      </c>
      <c r="K70" s="2">
        <f t="shared" si="9"/>
        <v>463319.7186169005</v>
      </c>
      <c r="L70" s="2">
        <f t="shared" si="10"/>
        <v>70497.13</v>
      </c>
      <c r="N70" s="4">
        <f t="shared" si="15"/>
        <v>390633.83309999999</v>
      </c>
      <c r="O70" s="2">
        <f t="shared" ref="O70:O133" si="17">ABS(N70-C70)</f>
        <v>89540.513099999982</v>
      </c>
    </row>
    <row r="71" spans="1:15" x14ac:dyDescent="0.3">
      <c r="A71" s="50">
        <v>43900</v>
      </c>
      <c r="B71" s="2">
        <v>70</v>
      </c>
      <c r="C71" s="4">
        <v>407914.43</v>
      </c>
      <c r="D71" s="4">
        <f t="shared" si="11"/>
        <v>354503.875</v>
      </c>
      <c r="E71" s="2">
        <f t="shared" si="12"/>
        <v>287743.87386796926</v>
      </c>
      <c r="F71" s="2">
        <f t="shared" si="13"/>
        <v>53410.554999999993</v>
      </c>
      <c r="G71" s="4">
        <f t="shared" si="14"/>
        <v>605640.98333333328</v>
      </c>
      <c r="H71" s="2">
        <f t="shared" ref="H71:H134" si="18">SQRT(SUMXMY2(C69:C71,G69:G71)/3)</f>
        <v>438512.07890192285</v>
      </c>
      <c r="I71" s="2">
        <f t="shared" ref="I71:I134" si="19">ABS(G71-C71)</f>
        <v>197726.55333333329</v>
      </c>
      <c r="J71" s="4">
        <f t="shared" si="16"/>
        <v>456969.09249999997</v>
      </c>
      <c r="K71" s="2">
        <f t="shared" si="9"/>
        <v>328442.96617603407</v>
      </c>
      <c r="L71" s="2">
        <f t="shared" si="10"/>
        <v>49054.662499999977</v>
      </c>
      <c r="N71" s="4">
        <f t="shared" si="15"/>
        <v>596298.27860000008</v>
      </c>
      <c r="O71" s="2">
        <f t="shared" si="17"/>
        <v>188383.84860000008</v>
      </c>
    </row>
    <row r="72" spans="1:15" x14ac:dyDescent="0.3">
      <c r="A72" s="50">
        <v>43901</v>
      </c>
      <c r="B72" s="2">
        <v>71</v>
      </c>
      <c r="C72" s="4">
        <v>721731.6</v>
      </c>
      <c r="D72" s="4">
        <f t="shared" si="11"/>
        <v>564823.01500000001</v>
      </c>
      <c r="E72" s="2">
        <f t="shared" si="12"/>
        <v>117202.79739005856</v>
      </c>
      <c r="F72" s="2">
        <f t="shared" si="13"/>
        <v>156908.58499999996</v>
      </c>
      <c r="G72" s="4">
        <f t="shared" si="14"/>
        <v>476913.1166666667</v>
      </c>
      <c r="H72" s="2">
        <f t="shared" si="18"/>
        <v>207118.42966884089</v>
      </c>
      <c r="I72" s="2">
        <f t="shared" si="19"/>
        <v>244818.48333333328</v>
      </c>
      <c r="J72" s="4">
        <f t="shared" si="16"/>
        <v>634663.63749999995</v>
      </c>
      <c r="K72" s="2">
        <f t="shared" si="9"/>
        <v>136253.97411464306</v>
      </c>
      <c r="L72" s="2">
        <f t="shared" si="10"/>
        <v>87067.962500000023</v>
      </c>
      <c r="N72" s="4">
        <f t="shared" si="15"/>
        <v>514379.20545000001</v>
      </c>
      <c r="O72" s="2">
        <f t="shared" si="17"/>
        <v>207352.39454999997</v>
      </c>
    </row>
    <row r="73" spans="1:15" x14ac:dyDescent="0.3">
      <c r="A73" s="50">
        <v>43902</v>
      </c>
      <c r="B73" s="2">
        <v>72</v>
      </c>
      <c r="C73" s="4">
        <v>2868008.2199999997</v>
      </c>
      <c r="D73" s="4">
        <f t="shared" si="11"/>
        <v>1794869.91</v>
      </c>
      <c r="E73" s="2">
        <f t="shared" si="12"/>
        <v>766891.82302211237</v>
      </c>
      <c r="F73" s="2">
        <f t="shared" si="13"/>
        <v>1073138.3099999998</v>
      </c>
      <c r="G73" s="4">
        <f t="shared" si="14"/>
        <v>1332551.4166666667</v>
      </c>
      <c r="H73" s="2">
        <f t="shared" si="18"/>
        <v>904923.47274550062</v>
      </c>
      <c r="I73" s="2">
        <f t="shared" si="19"/>
        <v>1535456.803333333</v>
      </c>
      <c r="J73" s="4">
        <f t="shared" si="16"/>
        <v>1074686.8925000001</v>
      </c>
      <c r="K73" s="2">
        <f t="shared" ref="K73:K136" si="20">SQRT(SUMXMY2(C70:C73,J70:J73)/4)</f>
        <v>898743.34754304134</v>
      </c>
      <c r="L73" s="2">
        <f t="shared" ref="L73:L136" si="21">ABS(J73-C73)</f>
        <v>1793321.3274999997</v>
      </c>
      <c r="N73" s="4">
        <f t="shared" si="15"/>
        <v>489542.53775000002</v>
      </c>
      <c r="O73" s="2">
        <f t="shared" si="17"/>
        <v>2378465.6822499996</v>
      </c>
    </row>
    <row r="74" spans="1:15" x14ac:dyDescent="0.3">
      <c r="A74" s="50">
        <v>43903</v>
      </c>
      <c r="B74" s="2">
        <v>73</v>
      </c>
      <c r="C74" s="4">
        <v>2689786.75</v>
      </c>
      <c r="D74" s="4">
        <f t="shared" si="11"/>
        <v>2778897.4849999999</v>
      </c>
      <c r="E74" s="2">
        <f t="shared" si="12"/>
        <v>761435.01215858734</v>
      </c>
      <c r="F74" s="2">
        <f t="shared" si="13"/>
        <v>89110.73499999987</v>
      </c>
      <c r="G74" s="4">
        <f t="shared" si="14"/>
        <v>2093175.5233333334</v>
      </c>
      <c r="H74" s="2">
        <f t="shared" si="18"/>
        <v>961510.72805056046</v>
      </c>
      <c r="I74" s="2">
        <f t="shared" si="19"/>
        <v>596611.22666666657</v>
      </c>
      <c r="J74" s="4">
        <f t="shared" si="16"/>
        <v>1671860.25</v>
      </c>
      <c r="K74" s="2">
        <f t="shared" si="20"/>
        <v>1032250.3249061612</v>
      </c>
      <c r="L74" s="2">
        <f t="shared" si="21"/>
        <v>1017926.5</v>
      </c>
      <c r="N74" s="4">
        <f t="shared" si="15"/>
        <v>1371694.4903000002</v>
      </c>
      <c r="O74" s="2">
        <f t="shared" si="17"/>
        <v>1318092.2596999998</v>
      </c>
    </row>
    <row r="75" spans="1:15" x14ac:dyDescent="0.3">
      <c r="A75" s="50">
        <v>43904</v>
      </c>
      <c r="B75" s="2">
        <v>74</v>
      </c>
      <c r="C75" s="4">
        <v>4346175.54</v>
      </c>
      <c r="D75" s="4">
        <f t="shared" si="11"/>
        <v>3517981.145</v>
      </c>
      <c r="E75" s="2">
        <f t="shared" si="12"/>
        <v>589001.98599056364</v>
      </c>
      <c r="F75" s="2">
        <f t="shared" si="13"/>
        <v>828194.39500000002</v>
      </c>
      <c r="G75" s="4">
        <f t="shared" si="14"/>
        <v>3301323.5033333334</v>
      </c>
      <c r="H75" s="2">
        <f t="shared" si="18"/>
        <v>1126245.7294353074</v>
      </c>
      <c r="I75" s="2">
        <f t="shared" si="19"/>
        <v>1044852.0366666666</v>
      </c>
      <c r="J75" s="4">
        <f t="shared" si="16"/>
        <v>2656425.5274999999</v>
      </c>
      <c r="K75" s="2">
        <f t="shared" si="20"/>
        <v>1333698.9613389394</v>
      </c>
      <c r="L75" s="2">
        <f t="shared" si="21"/>
        <v>1689750.0125000002</v>
      </c>
      <c r="N75" s="4">
        <f t="shared" si="15"/>
        <v>2336123.1711500003</v>
      </c>
      <c r="O75" s="2">
        <f t="shared" si="17"/>
        <v>2010052.3688499997</v>
      </c>
    </row>
    <row r="76" spans="1:15" x14ac:dyDescent="0.3">
      <c r="A76" s="50">
        <v>43905</v>
      </c>
      <c r="B76" s="2">
        <v>75</v>
      </c>
      <c r="C76" s="4">
        <v>53041.05</v>
      </c>
      <c r="D76" s="4">
        <f t="shared" si="11"/>
        <v>2199608.2949999999</v>
      </c>
      <c r="E76" s="2">
        <f t="shared" si="12"/>
        <v>1626907.6330905063</v>
      </c>
      <c r="F76" s="2">
        <f t="shared" si="13"/>
        <v>2146567.2450000001</v>
      </c>
      <c r="G76" s="4">
        <f t="shared" si="14"/>
        <v>2363001.1133333333</v>
      </c>
      <c r="H76" s="2">
        <f t="shared" si="18"/>
        <v>1503726.0642047499</v>
      </c>
      <c r="I76" s="2">
        <f t="shared" si="19"/>
        <v>2309960.0633333335</v>
      </c>
      <c r="J76" s="4">
        <f t="shared" si="16"/>
        <v>2489252.89</v>
      </c>
      <c r="K76" s="2">
        <f t="shared" si="20"/>
        <v>1805724.1606325528</v>
      </c>
      <c r="L76" s="2">
        <f t="shared" si="21"/>
        <v>2436211.8400000003</v>
      </c>
      <c r="N76" s="4">
        <f t="shared" si="15"/>
        <v>3283885.7180500003</v>
      </c>
      <c r="O76" s="2">
        <f t="shared" si="17"/>
        <v>3230844.6680500004</v>
      </c>
    </row>
    <row r="77" spans="1:15" x14ac:dyDescent="0.3">
      <c r="A77" s="50">
        <v>43906</v>
      </c>
      <c r="B77" s="2">
        <v>76</v>
      </c>
      <c r="C77" s="4">
        <v>621323.98</v>
      </c>
      <c r="D77" s="4">
        <f t="shared" si="11"/>
        <v>337182.51500000001</v>
      </c>
      <c r="E77" s="2">
        <f t="shared" si="12"/>
        <v>1531092.3077070236</v>
      </c>
      <c r="F77" s="2">
        <f t="shared" si="13"/>
        <v>284141.46499999997</v>
      </c>
      <c r="G77" s="4">
        <f t="shared" si="14"/>
        <v>1673513.5233333334</v>
      </c>
      <c r="H77" s="2">
        <f t="shared" si="18"/>
        <v>1584795.8972500137</v>
      </c>
      <c r="I77" s="2">
        <f t="shared" si="19"/>
        <v>1052189.5433333335</v>
      </c>
      <c r="J77" s="4">
        <f t="shared" si="16"/>
        <v>1927581.83</v>
      </c>
      <c r="K77" s="2">
        <f t="shared" si="20"/>
        <v>1698003.7664997103</v>
      </c>
      <c r="L77" s="2">
        <f t="shared" si="21"/>
        <v>1306257.8500000001</v>
      </c>
      <c r="N77" s="4">
        <f t="shared" si="15"/>
        <v>2543569.95205</v>
      </c>
      <c r="O77" s="2">
        <f t="shared" si="17"/>
        <v>1922245.97205</v>
      </c>
    </row>
    <row r="78" spans="1:15" x14ac:dyDescent="0.3">
      <c r="A78" s="50">
        <v>43907</v>
      </c>
      <c r="B78" s="2">
        <v>77</v>
      </c>
      <c r="C78" s="4">
        <v>81756.350000000006</v>
      </c>
      <c r="D78" s="4">
        <f t="shared" si="11"/>
        <v>351540.16499999998</v>
      </c>
      <c r="E78" s="2">
        <f t="shared" si="12"/>
        <v>277055.66134650668</v>
      </c>
      <c r="F78" s="2">
        <f t="shared" si="13"/>
        <v>269783.81499999994</v>
      </c>
      <c r="G78" s="4">
        <f t="shared" si="14"/>
        <v>252040.46</v>
      </c>
      <c r="H78" s="2">
        <f t="shared" si="18"/>
        <v>1468788.0499937625</v>
      </c>
      <c r="I78" s="2">
        <f t="shared" si="19"/>
        <v>170284.11</v>
      </c>
      <c r="J78" s="4">
        <f t="shared" si="16"/>
        <v>1275574.23</v>
      </c>
      <c r="K78" s="2">
        <f t="shared" si="20"/>
        <v>1726404.7856306944</v>
      </c>
      <c r="L78" s="2">
        <f t="shared" si="21"/>
        <v>1193817.8799999999</v>
      </c>
      <c r="N78" s="4">
        <f t="shared" si="15"/>
        <v>1187905.4193500001</v>
      </c>
      <c r="O78" s="2">
        <f t="shared" si="17"/>
        <v>1106149.06935</v>
      </c>
    </row>
    <row r="79" spans="1:15" x14ac:dyDescent="0.3">
      <c r="A79" s="50">
        <v>43908</v>
      </c>
      <c r="B79" s="2">
        <v>78</v>
      </c>
      <c r="C79" s="4">
        <v>345388</v>
      </c>
      <c r="D79" s="4">
        <f t="shared" si="11"/>
        <v>213572.17499999999</v>
      </c>
      <c r="E79" s="2">
        <f t="shared" si="12"/>
        <v>212319.00357290774</v>
      </c>
      <c r="F79" s="2">
        <f t="shared" si="13"/>
        <v>131815.82500000001</v>
      </c>
      <c r="G79" s="4">
        <f t="shared" si="14"/>
        <v>349489.4433333333</v>
      </c>
      <c r="H79" s="2">
        <f t="shared" si="18"/>
        <v>615390.48174199054</v>
      </c>
      <c r="I79" s="2">
        <f t="shared" si="19"/>
        <v>4101.4433333333</v>
      </c>
      <c r="J79" s="4">
        <f t="shared" si="16"/>
        <v>275377.34499999997</v>
      </c>
      <c r="K79" s="2">
        <f t="shared" si="20"/>
        <v>1505949.8931292528</v>
      </c>
      <c r="L79" s="2">
        <f t="shared" si="21"/>
        <v>70010.655000000028</v>
      </c>
      <c r="N79" s="4">
        <f t="shared" si="15"/>
        <v>315546.57935000001</v>
      </c>
      <c r="O79" s="2">
        <f t="shared" si="17"/>
        <v>29841.420649999985</v>
      </c>
    </row>
    <row r="80" spans="1:15" x14ac:dyDescent="0.3">
      <c r="A80" s="50">
        <v>43909</v>
      </c>
      <c r="B80" s="2">
        <v>79</v>
      </c>
      <c r="C80" s="4">
        <v>62327.1</v>
      </c>
      <c r="D80" s="4">
        <f t="shared" si="11"/>
        <v>203857.55</v>
      </c>
      <c r="E80" s="2">
        <f t="shared" si="12"/>
        <v>136759.42380259052</v>
      </c>
      <c r="F80" s="2">
        <f t="shared" si="13"/>
        <v>141530.44999999998</v>
      </c>
      <c r="G80" s="4">
        <f t="shared" si="14"/>
        <v>163157.15</v>
      </c>
      <c r="H80" s="2">
        <f t="shared" si="18"/>
        <v>114280.64714977064</v>
      </c>
      <c r="I80" s="2">
        <f t="shared" si="19"/>
        <v>100830.04999999999</v>
      </c>
      <c r="J80" s="4">
        <f t="shared" si="16"/>
        <v>277698.85749999998</v>
      </c>
      <c r="K80" s="2">
        <f t="shared" si="20"/>
        <v>892019.78495945991</v>
      </c>
      <c r="L80" s="2">
        <f t="shared" si="21"/>
        <v>215371.75749999998</v>
      </c>
      <c r="N80" s="4">
        <f t="shared" si="15"/>
        <v>288777.83134999999</v>
      </c>
      <c r="O80" s="2">
        <f t="shared" si="17"/>
        <v>226450.73134999999</v>
      </c>
    </row>
    <row r="81" spans="1:15" x14ac:dyDescent="0.3">
      <c r="A81" s="50">
        <v>43910</v>
      </c>
      <c r="B81" s="2">
        <v>80</v>
      </c>
      <c r="C81" s="4">
        <v>111071.07</v>
      </c>
      <c r="D81" s="4">
        <f t="shared" si="11"/>
        <v>86699.085000000006</v>
      </c>
      <c r="E81" s="2">
        <f t="shared" si="12"/>
        <v>101550.14015264263</v>
      </c>
      <c r="F81" s="2">
        <f t="shared" si="13"/>
        <v>24371.985000000001</v>
      </c>
      <c r="G81" s="4">
        <f t="shared" si="14"/>
        <v>172928.72333333333</v>
      </c>
      <c r="H81" s="2">
        <f t="shared" si="18"/>
        <v>68337.130210757037</v>
      </c>
      <c r="I81" s="2">
        <f t="shared" si="19"/>
        <v>61857.653333333321</v>
      </c>
      <c r="J81" s="4">
        <f t="shared" si="16"/>
        <v>150135.63</v>
      </c>
      <c r="K81" s="2">
        <f t="shared" si="20"/>
        <v>607867.9248401447</v>
      </c>
      <c r="L81" s="2">
        <f t="shared" si="21"/>
        <v>39064.559999999998</v>
      </c>
      <c r="N81" s="4">
        <f t="shared" si="15"/>
        <v>192563.6355</v>
      </c>
      <c r="O81" s="2">
        <f t="shared" si="17"/>
        <v>81492.565499999997</v>
      </c>
    </row>
    <row r="82" spans="1:15" x14ac:dyDescent="0.3">
      <c r="A82" s="50">
        <v>43911</v>
      </c>
      <c r="B82" s="2">
        <v>81</v>
      </c>
      <c r="C82" s="4">
        <v>1396016.03</v>
      </c>
      <c r="D82" s="4">
        <f t="shared" si="11"/>
        <v>753543.55</v>
      </c>
      <c r="E82" s="2">
        <f t="shared" si="12"/>
        <v>454623.40525438776</v>
      </c>
      <c r="F82" s="2">
        <f t="shared" si="13"/>
        <v>642472.48</v>
      </c>
      <c r="G82" s="4">
        <f t="shared" si="14"/>
        <v>523138.06666666665</v>
      </c>
      <c r="H82" s="2">
        <f t="shared" si="18"/>
        <v>508563.0105607555</v>
      </c>
      <c r="I82" s="2">
        <f t="shared" si="19"/>
        <v>872877.96333333338</v>
      </c>
      <c r="J82" s="4">
        <f t="shared" si="16"/>
        <v>478700.55</v>
      </c>
      <c r="K82" s="2">
        <f t="shared" si="20"/>
        <v>472831.95097142912</v>
      </c>
      <c r="L82" s="2">
        <f t="shared" si="21"/>
        <v>917315.48</v>
      </c>
      <c r="N82" s="4">
        <f t="shared" si="15"/>
        <v>140929.72795</v>
      </c>
      <c r="O82" s="2">
        <f t="shared" si="17"/>
        <v>1255086.3020500001</v>
      </c>
    </row>
    <row r="83" spans="1:15" x14ac:dyDescent="0.3">
      <c r="A83" s="50">
        <v>43912</v>
      </c>
      <c r="B83" s="2">
        <v>82</v>
      </c>
      <c r="C83" s="4">
        <v>677257.84</v>
      </c>
      <c r="D83" s="4">
        <f t="shared" si="11"/>
        <v>1036636.9350000001</v>
      </c>
      <c r="E83" s="2">
        <f t="shared" si="12"/>
        <v>520540.21049308451</v>
      </c>
      <c r="F83" s="2">
        <f t="shared" si="13"/>
        <v>359379.09500000009</v>
      </c>
      <c r="G83" s="4">
        <f t="shared" si="14"/>
        <v>728114.98</v>
      </c>
      <c r="H83" s="2">
        <f t="shared" si="18"/>
        <v>506072.70783219632</v>
      </c>
      <c r="I83" s="2">
        <f t="shared" si="19"/>
        <v>50857.140000000014</v>
      </c>
      <c r="J83" s="4">
        <f t="shared" si="16"/>
        <v>561668.01</v>
      </c>
      <c r="K83" s="2">
        <f t="shared" si="20"/>
        <v>475063.08329096978</v>
      </c>
      <c r="L83" s="2">
        <f t="shared" si="21"/>
        <v>115589.82999999996</v>
      </c>
      <c r="N83" s="4">
        <f t="shared" si="15"/>
        <v>530803.95819999999</v>
      </c>
      <c r="O83" s="2">
        <f t="shared" si="17"/>
        <v>146453.88179999997</v>
      </c>
    </row>
    <row r="84" spans="1:15" x14ac:dyDescent="0.3">
      <c r="A84" s="50">
        <v>43913</v>
      </c>
      <c r="B84" s="2">
        <v>83</v>
      </c>
      <c r="C84" s="4">
        <v>159546.45000000001</v>
      </c>
      <c r="D84" s="4">
        <f t="shared" si="11"/>
        <v>418402.14500000002</v>
      </c>
      <c r="E84" s="2">
        <f t="shared" si="12"/>
        <v>313176.95058620785</v>
      </c>
      <c r="F84" s="2">
        <f t="shared" si="13"/>
        <v>258855.69500000001</v>
      </c>
      <c r="G84" s="4">
        <f t="shared" si="14"/>
        <v>744273.44000000006</v>
      </c>
      <c r="H84" s="2">
        <f t="shared" si="18"/>
        <v>607291.26465982466</v>
      </c>
      <c r="I84" s="2">
        <f t="shared" si="19"/>
        <v>584726.99</v>
      </c>
      <c r="J84" s="4">
        <f t="shared" si="16"/>
        <v>585972.84750000003</v>
      </c>
      <c r="K84" s="2">
        <f t="shared" si="20"/>
        <v>509459.0785774361</v>
      </c>
      <c r="L84" s="2">
        <f t="shared" si="21"/>
        <v>426426.39750000002</v>
      </c>
      <c r="N84" s="4">
        <f t="shared" si="15"/>
        <v>872544.14515000011</v>
      </c>
      <c r="O84" s="2">
        <f t="shared" si="17"/>
        <v>712997.69515000004</v>
      </c>
    </row>
    <row r="85" spans="1:15" x14ac:dyDescent="0.3">
      <c r="A85" s="50">
        <v>43914</v>
      </c>
      <c r="B85" s="2">
        <v>84</v>
      </c>
      <c r="C85" s="4">
        <v>1724264.43</v>
      </c>
      <c r="D85" s="4">
        <f t="shared" si="11"/>
        <v>941905.44</v>
      </c>
      <c r="E85" s="2">
        <f t="shared" si="12"/>
        <v>582705.69761576597</v>
      </c>
      <c r="F85" s="2">
        <f t="shared" si="13"/>
        <v>782358.99</v>
      </c>
      <c r="G85" s="4">
        <f t="shared" si="14"/>
        <v>853689.57333333325</v>
      </c>
      <c r="H85" s="2">
        <f t="shared" si="18"/>
        <v>606188.27729334694</v>
      </c>
      <c r="I85" s="2">
        <f t="shared" si="19"/>
        <v>870574.85666666669</v>
      </c>
      <c r="J85" s="4">
        <f t="shared" si="16"/>
        <v>989271.1875</v>
      </c>
      <c r="K85" s="2">
        <f t="shared" si="20"/>
        <v>627870.05774534086</v>
      </c>
      <c r="L85" s="2">
        <f t="shared" si="21"/>
        <v>734993.24249999993</v>
      </c>
      <c r="N85" s="4">
        <f t="shared" si="15"/>
        <v>661951.32614999998</v>
      </c>
      <c r="O85" s="2">
        <f t="shared" si="17"/>
        <v>1062313.1038500001</v>
      </c>
    </row>
    <row r="86" spans="1:15" x14ac:dyDescent="0.3">
      <c r="A86" s="50">
        <v>43915</v>
      </c>
      <c r="B86" s="2">
        <v>85</v>
      </c>
      <c r="C86" s="4">
        <v>111046.8</v>
      </c>
      <c r="D86" s="4">
        <f t="shared" si="11"/>
        <v>917655.61499999999</v>
      </c>
      <c r="E86" s="2">
        <f t="shared" si="12"/>
        <v>794576.4184990403</v>
      </c>
      <c r="F86" s="2">
        <f t="shared" si="13"/>
        <v>806608.81499999994</v>
      </c>
      <c r="G86" s="4">
        <f t="shared" si="14"/>
        <v>664952.55999999994</v>
      </c>
      <c r="H86" s="2">
        <f t="shared" si="18"/>
        <v>684742.73145852005</v>
      </c>
      <c r="I86" s="2">
        <f t="shared" si="19"/>
        <v>553905.75999999989</v>
      </c>
      <c r="J86" s="4">
        <f t="shared" si="16"/>
        <v>668028.87999999989</v>
      </c>
      <c r="K86" s="2">
        <f t="shared" si="20"/>
        <v>511283.82167980995</v>
      </c>
      <c r="L86" s="2">
        <f t="shared" si="21"/>
        <v>556982.07999999984</v>
      </c>
      <c r="N86" s="4">
        <f t="shared" si="15"/>
        <v>797623.4791</v>
      </c>
      <c r="O86" s="2">
        <f t="shared" si="17"/>
        <v>686576.67909999995</v>
      </c>
    </row>
    <row r="87" spans="1:15" x14ac:dyDescent="0.3">
      <c r="A87" s="50">
        <v>43916</v>
      </c>
      <c r="B87" s="2">
        <v>86</v>
      </c>
      <c r="C87" s="4">
        <v>3311790</v>
      </c>
      <c r="D87" s="4">
        <f t="shared" si="11"/>
        <v>1711418.4</v>
      </c>
      <c r="E87" s="2">
        <f t="shared" si="12"/>
        <v>1267242.4863699654</v>
      </c>
      <c r="F87" s="2">
        <f t="shared" si="13"/>
        <v>1600371.6</v>
      </c>
      <c r="G87" s="4">
        <f t="shared" si="14"/>
        <v>1715700.4100000001</v>
      </c>
      <c r="H87" s="2">
        <f t="shared" si="18"/>
        <v>1097301.8653843212</v>
      </c>
      <c r="I87" s="2">
        <f t="shared" si="19"/>
        <v>1596089.5899999999</v>
      </c>
      <c r="J87" s="4">
        <f t="shared" si="16"/>
        <v>1326661.92</v>
      </c>
      <c r="K87" s="2">
        <f t="shared" si="20"/>
        <v>1115013.1244127918</v>
      </c>
      <c r="L87" s="2">
        <f t="shared" si="21"/>
        <v>1985128.08</v>
      </c>
      <c r="N87" s="4">
        <f t="shared" si="15"/>
        <v>839598.56835000007</v>
      </c>
      <c r="O87" s="2">
        <f t="shared" si="17"/>
        <v>2472191.4316499997</v>
      </c>
    </row>
    <row r="88" spans="1:15" x14ac:dyDescent="0.3">
      <c r="A88" s="50">
        <v>43917</v>
      </c>
      <c r="B88" s="2">
        <v>87</v>
      </c>
      <c r="C88" s="4">
        <v>67345.52</v>
      </c>
      <c r="D88" s="4">
        <f t="shared" si="11"/>
        <v>1689567.76</v>
      </c>
      <c r="E88" s="2">
        <f t="shared" si="12"/>
        <v>1611333.9588733891</v>
      </c>
      <c r="F88" s="2">
        <f t="shared" si="13"/>
        <v>1622222.24</v>
      </c>
      <c r="G88" s="4">
        <f t="shared" si="14"/>
        <v>1163394.1066666667</v>
      </c>
      <c r="H88" s="2">
        <f t="shared" si="18"/>
        <v>1162703.1829034647</v>
      </c>
      <c r="I88" s="2">
        <f t="shared" si="19"/>
        <v>1096048.5866666667</v>
      </c>
      <c r="J88" s="4">
        <f t="shared" si="16"/>
        <v>1303611.6875</v>
      </c>
      <c r="K88" s="2">
        <f t="shared" si="20"/>
        <v>1256933.9317234831</v>
      </c>
      <c r="L88" s="2">
        <f t="shared" si="21"/>
        <v>1236266.1675</v>
      </c>
      <c r="N88" s="4">
        <f t="shared" si="15"/>
        <v>1538203.6506000001</v>
      </c>
      <c r="O88" s="2">
        <f t="shared" si="17"/>
        <v>1470858.1306</v>
      </c>
    </row>
    <row r="89" spans="1:15" x14ac:dyDescent="0.3">
      <c r="A89" s="50">
        <v>43918</v>
      </c>
      <c r="B89" s="2">
        <v>88</v>
      </c>
      <c r="C89" s="4">
        <v>4904262.5100000007</v>
      </c>
      <c r="D89" s="4">
        <f t="shared" si="11"/>
        <v>2485804.0150000001</v>
      </c>
      <c r="E89" s="2">
        <f t="shared" si="12"/>
        <v>2059192.3766355931</v>
      </c>
      <c r="F89" s="2">
        <f t="shared" si="13"/>
        <v>2418458.4950000006</v>
      </c>
      <c r="G89" s="4">
        <f t="shared" si="14"/>
        <v>2761132.6766666672</v>
      </c>
      <c r="H89" s="2">
        <f t="shared" si="18"/>
        <v>1667516.1134817386</v>
      </c>
      <c r="I89" s="2">
        <f t="shared" si="19"/>
        <v>2143129.8333333335</v>
      </c>
      <c r="J89" s="4">
        <f t="shared" si="16"/>
        <v>2098611.2075</v>
      </c>
      <c r="K89" s="2">
        <f t="shared" si="20"/>
        <v>1847362.7012291537</v>
      </c>
      <c r="L89" s="2">
        <f t="shared" si="21"/>
        <v>2805651.3025000007</v>
      </c>
      <c r="N89" s="4">
        <f t="shared" si="15"/>
        <v>1520737.5952000003</v>
      </c>
      <c r="O89" s="2">
        <f t="shared" si="17"/>
        <v>3383524.9148000004</v>
      </c>
    </row>
    <row r="90" spans="1:15" x14ac:dyDescent="0.3">
      <c r="A90" s="50">
        <v>43919</v>
      </c>
      <c r="B90" s="2">
        <v>89</v>
      </c>
      <c r="C90" s="4">
        <v>907190</v>
      </c>
      <c r="D90" s="4">
        <f t="shared" si="11"/>
        <v>2905726.2550000004</v>
      </c>
      <c r="E90" s="2">
        <f t="shared" si="12"/>
        <v>2218455.3922253083</v>
      </c>
      <c r="F90" s="2">
        <f t="shared" si="13"/>
        <v>1998536.2550000004</v>
      </c>
      <c r="G90" s="4">
        <f t="shared" si="14"/>
        <v>1959599.3433333335</v>
      </c>
      <c r="H90" s="2">
        <f t="shared" si="18"/>
        <v>1516783.154441515</v>
      </c>
      <c r="I90" s="2">
        <f t="shared" si="19"/>
        <v>1052409.3433333335</v>
      </c>
      <c r="J90" s="4">
        <f t="shared" si="16"/>
        <v>2297647.0075000003</v>
      </c>
      <c r="K90" s="2">
        <f t="shared" si="20"/>
        <v>1954107.0500253709</v>
      </c>
      <c r="L90" s="2">
        <f t="shared" si="21"/>
        <v>1390457.0075000003</v>
      </c>
      <c r="N90" s="4">
        <f t="shared" si="15"/>
        <v>2401490.49725</v>
      </c>
      <c r="O90" s="2">
        <f t="shared" si="17"/>
        <v>1494300.49725</v>
      </c>
    </row>
    <row r="91" spans="1:15" x14ac:dyDescent="0.3">
      <c r="A91" s="50">
        <v>43920</v>
      </c>
      <c r="B91" s="2">
        <v>90</v>
      </c>
      <c r="C91" s="4">
        <v>132592.02000000002</v>
      </c>
      <c r="D91" s="4">
        <f t="shared" si="11"/>
        <v>519891.01</v>
      </c>
      <c r="E91" s="2">
        <f t="shared" si="12"/>
        <v>1439469.9840921392</v>
      </c>
      <c r="F91" s="2">
        <f t="shared" si="13"/>
        <v>387298.99</v>
      </c>
      <c r="G91" s="4">
        <f t="shared" si="14"/>
        <v>1981348.176666667</v>
      </c>
      <c r="H91" s="2">
        <f t="shared" si="18"/>
        <v>1743413.3412429353</v>
      </c>
      <c r="I91" s="2">
        <f t="shared" si="19"/>
        <v>1848756.156666667</v>
      </c>
      <c r="J91" s="4">
        <f t="shared" si="16"/>
        <v>1502847.5125000002</v>
      </c>
      <c r="K91" s="2">
        <f t="shared" si="20"/>
        <v>1817347.2475394844</v>
      </c>
      <c r="L91" s="2">
        <f t="shared" si="21"/>
        <v>1370255.4925000002</v>
      </c>
      <c r="N91" s="4">
        <f t="shared" si="15"/>
        <v>2501121.4813500005</v>
      </c>
      <c r="O91" s="2">
        <f t="shared" si="17"/>
        <v>2368529.4613500005</v>
      </c>
    </row>
    <row r="92" spans="1:15" x14ac:dyDescent="0.3">
      <c r="A92" s="50">
        <v>43921</v>
      </c>
      <c r="B92" s="2">
        <v>91</v>
      </c>
      <c r="C92" s="4">
        <v>4913789.3099999996</v>
      </c>
      <c r="D92" s="4">
        <f t="shared" si="11"/>
        <v>2523190.665</v>
      </c>
      <c r="E92" s="2">
        <f t="shared" si="12"/>
        <v>1712448.888161462</v>
      </c>
      <c r="F92" s="2">
        <f t="shared" si="13"/>
        <v>2390598.6449999996</v>
      </c>
      <c r="G92" s="4">
        <f t="shared" si="14"/>
        <v>1984523.7766666666</v>
      </c>
      <c r="H92" s="2">
        <f t="shared" si="18"/>
        <v>2090140.4512235392</v>
      </c>
      <c r="I92" s="2">
        <f t="shared" si="19"/>
        <v>2929265.5333333332</v>
      </c>
      <c r="J92" s="4">
        <f t="shared" si="16"/>
        <v>2714458.46</v>
      </c>
      <c r="K92" s="2">
        <f t="shared" si="20"/>
        <v>2032222.0734588744</v>
      </c>
      <c r="L92" s="2">
        <f t="shared" si="21"/>
        <v>2199330.8499999996</v>
      </c>
      <c r="N92" s="4">
        <f t="shared" si="15"/>
        <v>1527055.6289000004</v>
      </c>
      <c r="O92" s="2">
        <f t="shared" si="17"/>
        <v>3386733.6810999992</v>
      </c>
    </row>
    <row r="93" spans="1:15" x14ac:dyDescent="0.3">
      <c r="A93" s="50">
        <v>43922</v>
      </c>
      <c r="B93" s="2">
        <v>92</v>
      </c>
      <c r="C93" s="4">
        <v>2954495.67</v>
      </c>
      <c r="D93" s="4">
        <f t="shared" si="11"/>
        <v>3934142.4899999998</v>
      </c>
      <c r="E93" s="2">
        <f t="shared" si="12"/>
        <v>1826837.4001826143</v>
      </c>
      <c r="F93" s="2">
        <f t="shared" si="13"/>
        <v>979646.81999999983</v>
      </c>
      <c r="G93" s="4">
        <f t="shared" si="14"/>
        <v>2666959</v>
      </c>
      <c r="H93" s="2">
        <f t="shared" si="18"/>
        <v>2006753.0348120579</v>
      </c>
      <c r="I93" s="2">
        <f t="shared" si="19"/>
        <v>287536.66999999993</v>
      </c>
      <c r="J93" s="4">
        <f t="shared" si="16"/>
        <v>2227016.75</v>
      </c>
      <c r="K93" s="2">
        <f t="shared" si="20"/>
        <v>1514699.0271369393</v>
      </c>
      <c r="L93" s="2">
        <f t="shared" si="21"/>
        <v>727478.91999999993</v>
      </c>
      <c r="N93" s="4">
        <f t="shared" si="15"/>
        <v>1904704.6677500003</v>
      </c>
      <c r="O93" s="2">
        <f t="shared" si="17"/>
        <v>1049791.0022499997</v>
      </c>
    </row>
    <row r="94" spans="1:15" x14ac:dyDescent="0.3">
      <c r="A94" s="50">
        <v>43923</v>
      </c>
      <c r="B94" s="2">
        <v>93</v>
      </c>
      <c r="C94" s="4">
        <v>1512109.62</v>
      </c>
      <c r="D94" s="4">
        <f t="shared" si="11"/>
        <v>2233302.645</v>
      </c>
      <c r="E94" s="2">
        <f t="shared" si="12"/>
        <v>860182.32696468569</v>
      </c>
      <c r="F94" s="2">
        <f t="shared" si="13"/>
        <v>721193.02499999991</v>
      </c>
      <c r="G94" s="4">
        <f t="shared" si="14"/>
        <v>3126798.1999999997</v>
      </c>
      <c r="H94" s="2">
        <f t="shared" si="18"/>
        <v>1938254.6368448532</v>
      </c>
      <c r="I94" s="2">
        <f t="shared" si="19"/>
        <v>1614688.5799999996</v>
      </c>
      <c r="J94" s="4">
        <f t="shared" si="16"/>
        <v>2378246.6550000003</v>
      </c>
      <c r="K94" s="2">
        <f t="shared" si="20"/>
        <v>1413689.7860679245</v>
      </c>
      <c r="L94" s="2">
        <f t="shared" si="21"/>
        <v>866137.03500000015</v>
      </c>
      <c r="N94" s="4">
        <f t="shared" si="15"/>
        <v>3205562.5367999999</v>
      </c>
      <c r="O94" s="2">
        <f t="shared" si="17"/>
        <v>1693452.9167999998</v>
      </c>
    </row>
    <row r="95" spans="1:15" x14ac:dyDescent="0.3">
      <c r="A95" s="50">
        <v>43924</v>
      </c>
      <c r="B95" s="2">
        <v>94</v>
      </c>
      <c r="C95" s="4">
        <v>73203.180000000008</v>
      </c>
      <c r="D95" s="4">
        <f t="shared" si="11"/>
        <v>792656.4</v>
      </c>
      <c r="E95" s="2">
        <f t="shared" si="12"/>
        <v>720323.64777127048</v>
      </c>
      <c r="F95" s="2">
        <f t="shared" si="13"/>
        <v>719453.22</v>
      </c>
      <c r="G95" s="4">
        <f t="shared" si="14"/>
        <v>1513269.49</v>
      </c>
      <c r="H95" s="2">
        <f t="shared" si="18"/>
        <v>1260117.3919089336</v>
      </c>
      <c r="I95" s="2">
        <f t="shared" si="19"/>
        <v>1440066.31</v>
      </c>
      <c r="J95" s="4">
        <f t="shared" si="16"/>
        <v>2363399.4449999998</v>
      </c>
      <c r="K95" s="2">
        <f t="shared" si="20"/>
        <v>1685339.2879791763</v>
      </c>
      <c r="L95" s="2">
        <f t="shared" si="21"/>
        <v>2290196.2649999997</v>
      </c>
      <c r="N95" s="4">
        <f t="shared" si="15"/>
        <v>2902340.94405</v>
      </c>
      <c r="O95" s="2">
        <f t="shared" si="17"/>
        <v>2829137.7640499999</v>
      </c>
    </row>
    <row r="96" spans="1:15" x14ac:dyDescent="0.3">
      <c r="A96" s="50">
        <v>43925</v>
      </c>
      <c r="B96" s="2">
        <v>95</v>
      </c>
      <c r="C96" s="4">
        <v>244130.25000000003</v>
      </c>
      <c r="D96" s="4">
        <f t="shared" si="11"/>
        <v>158666.71500000003</v>
      </c>
      <c r="E96" s="2">
        <f t="shared" si="12"/>
        <v>512307.01321720384</v>
      </c>
      <c r="F96" s="2">
        <f t="shared" si="13"/>
        <v>85463.535000000003</v>
      </c>
      <c r="G96" s="4">
        <f t="shared" si="14"/>
        <v>609814.35</v>
      </c>
      <c r="H96" s="2">
        <f t="shared" si="18"/>
        <v>1266851.0894566155</v>
      </c>
      <c r="I96" s="2">
        <f t="shared" si="19"/>
        <v>365684.1</v>
      </c>
      <c r="J96" s="4">
        <f t="shared" si="16"/>
        <v>1195984.68</v>
      </c>
      <c r="K96" s="2">
        <f t="shared" si="20"/>
        <v>1362942.1053894339</v>
      </c>
      <c r="L96" s="2">
        <f t="shared" si="21"/>
        <v>951854.42999999993</v>
      </c>
      <c r="N96" s="4">
        <f t="shared" si="15"/>
        <v>1347400.8936000001</v>
      </c>
      <c r="O96" s="2">
        <f t="shared" si="17"/>
        <v>1103270.6436000001</v>
      </c>
    </row>
    <row r="97" spans="1:15" x14ac:dyDescent="0.3">
      <c r="A97" s="50">
        <v>43926</v>
      </c>
      <c r="B97" s="2">
        <v>96</v>
      </c>
      <c r="C97" s="4">
        <v>370821.75</v>
      </c>
      <c r="D97" s="4">
        <f t="shared" si="11"/>
        <v>307476</v>
      </c>
      <c r="E97" s="2">
        <f t="shared" si="12"/>
        <v>75222.004286507567</v>
      </c>
      <c r="F97" s="2">
        <f t="shared" si="13"/>
        <v>63345.75</v>
      </c>
      <c r="G97" s="4">
        <f t="shared" si="14"/>
        <v>229385.06000000003</v>
      </c>
      <c r="H97" s="2">
        <f t="shared" si="18"/>
        <v>861688.29930317274</v>
      </c>
      <c r="I97" s="2">
        <f t="shared" si="19"/>
        <v>141436.68999999997</v>
      </c>
      <c r="J97" s="4">
        <f t="shared" si="16"/>
        <v>550066.19999999995</v>
      </c>
      <c r="K97" s="2">
        <f t="shared" si="20"/>
        <v>1316562.5435566066</v>
      </c>
      <c r="L97" s="2">
        <f t="shared" si="21"/>
        <v>179244.44999999995</v>
      </c>
      <c r="N97" s="4">
        <f t="shared" si="15"/>
        <v>447023.16525000002</v>
      </c>
      <c r="O97" s="2">
        <f t="shared" si="17"/>
        <v>76201.41525000002</v>
      </c>
    </row>
    <row r="98" spans="1:15" x14ac:dyDescent="0.3">
      <c r="A98" s="50">
        <v>43927</v>
      </c>
      <c r="B98" s="2">
        <v>97</v>
      </c>
      <c r="C98" s="4">
        <v>1655746.08</v>
      </c>
      <c r="D98" s="4">
        <f t="shared" si="11"/>
        <v>1013283.915</v>
      </c>
      <c r="E98" s="2">
        <f t="shared" si="12"/>
        <v>456492.23295667896</v>
      </c>
      <c r="F98" s="2">
        <f t="shared" si="13"/>
        <v>642462.16500000004</v>
      </c>
      <c r="G98" s="4">
        <f t="shared" si="14"/>
        <v>756899.36</v>
      </c>
      <c r="H98" s="2">
        <f t="shared" si="18"/>
        <v>566172.71343814174</v>
      </c>
      <c r="I98" s="2">
        <f t="shared" si="19"/>
        <v>898846.72000000009</v>
      </c>
      <c r="J98" s="4">
        <f t="shared" si="16"/>
        <v>585975.31500000006</v>
      </c>
      <c r="K98" s="2">
        <f t="shared" si="20"/>
        <v>1353473.6652993162</v>
      </c>
      <c r="L98" s="2">
        <f t="shared" si="21"/>
        <v>1069770.7650000001</v>
      </c>
      <c r="N98" s="4">
        <f t="shared" si="15"/>
        <v>248967.94710000002</v>
      </c>
      <c r="O98" s="2">
        <f t="shared" si="17"/>
        <v>1406778.1329000001</v>
      </c>
    </row>
    <row r="99" spans="1:15" x14ac:dyDescent="0.3">
      <c r="A99" s="50">
        <v>43928</v>
      </c>
      <c r="B99" s="2">
        <v>98</v>
      </c>
      <c r="C99" s="4">
        <v>2553459.67</v>
      </c>
      <c r="D99" s="4">
        <f t="shared" si="11"/>
        <v>2104602.875</v>
      </c>
      <c r="E99" s="2">
        <f t="shared" si="12"/>
        <v>554179.59899032698</v>
      </c>
      <c r="F99" s="2">
        <f t="shared" si="13"/>
        <v>448856.79499999993</v>
      </c>
      <c r="G99" s="4">
        <f t="shared" si="14"/>
        <v>1526675.8333333333</v>
      </c>
      <c r="H99" s="2">
        <f t="shared" si="18"/>
        <v>792088.97029160277</v>
      </c>
      <c r="I99" s="2">
        <f t="shared" si="19"/>
        <v>1026783.8366666667</v>
      </c>
      <c r="J99" s="4">
        <f t="shared" si="16"/>
        <v>1206039.4375</v>
      </c>
      <c r="K99" s="2">
        <f t="shared" si="20"/>
        <v>987181.11324182386</v>
      </c>
      <c r="L99" s="2">
        <f t="shared" si="21"/>
        <v>1347420.2324999999</v>
      </c>
      <c r="N99" s="4">
        <f t="shared" si="15"/>
        <v>773399.27055000002</v>
      </c>
      <c r="O99" s="2">
        <f t="shared" si="17"/>
        <v>1780060.3994499999</v>
      </c>
    </row>
    <row r="100" spans="1:15" x14ac:dyDescent="0.3">
      <c r="A100" s="50">
        <v>43929</v>
      </c>
      <c r="B100" s="2">
        <v>99</v>
      </c>
      <c r="C100" s="4">
        <v>777334.03</v>
      </c>
      <c r="D100" s="4">
        <f t="shared" si="11"/>
        <v>1665396.85</v>
      </c>
      <c r="E100" s="2">
        <f t="shared" si="12"/>
        <v>703607.84343411936</v>
      </c>
      <c r="F100" s="2">
        <f t="shared" si="13"/>
        <v>888062.82000000007</v>
      </c>
      <c r="G100" s="4">
        <f t="shared" si="14"/>
        <v>1662179.9266666668</v>
      </c>
      <c r="H100" s="2">
        <f t="shared" si="18"/>
        <v>938999.95281194698</v>
      </c>
      <c r="I100" s="2">
        <f t="shared" si="19"/>
        <v>884845.89666666673</v>
      </c>
      <c r="J100" s="4">
        <f t="shared" si="16"/>
        <v>1339340.3825000001</v>
      </c>
      <c r="K100" s="2">
        <f t="shared" si="20"/>
        <v>909385.84848583338</v>
      </c>
      <c r="L100" s="2">
        <f t="shared" si="21"/>
        <v>562006.35250000004</v>
      </c>
      <c r="N100" s="4">
        <f t="shared" si="15"/>
        <v>1673796.7800499999</v>
      </c>
      <c r="O100" s="2">
        <f t="shared" si="17"/>
        <v>896462.75004999992</v>
      </c>
    </row>
    <row r="101" spans="1:15" x14ac:dyDescent="0.3">
      <c r="A101" s="50">
        <v>43930</v>
      </c>
      <c r="B101" s="2">
        <v>100</v>
      </c>
      <c r="C101" s="4">
        <v>805469.82000000007</v>
      </c>
      <c r="D101" s="4">
        <f t="shared" si="11"/>
        <v>791401.92500000005</v>
      </c>
      <c r="E101" s="2">
        <f t="shared" si="12"/>
        <v>628034.02691895748</v>
      </c>
      <c r="F101" s="2">
        <f t="shared" si="13"/>
        <v>14067.895000000019</v>
      </c>
      <c r="G101" s="4">
        <f t="shared" si="14"/>
        <v>1378754.5066666668</v>
      </c>
      <c r="H101" s="2">
        <f t="shared" si="18"/>
        <v>849684.77293136099</v>
      </c>
      <c r="I101" s="2">
        <f t="shared" si="19"/>
        <v>573284.68666666676</v>
      </c>
      <c r="J101" s="4">
        <f t="shared" si="16"/>
        <v>1448002.4000000001</v>
      </c>
      <c r="K101" s="2">
        <f t="shared" si="20"/>
        <v>960292.92786248948</v>
      </c>
      <c r="L101" s="2">
        <f t="shared" si="21"/>
        <v>642532.58000000007</v>
      </c>
      <c r="N101" s="4">
        <f t="shared" si="15"/>
        <v>1760960.5908000001</v>
      </c>
      <c r="O101" s="2">
        <f t="shared" si="17"/>
        <v>955490.77080000006</v>
      </c>
    </row>
    <row r="102" spans="1:15" x14ac:dyDescent="0.3">
      <c r="A102" s="50">
        <v>43931</v>
      </c>
      <c r="B102" s="2">
        <v>101</v>
      </c>
      <c r="C102" s="4">
        <v>2032727.4</v>
      </c>
      <c r="D102" s="4">
        <f t="shared" si="11"/>
        <v>1419098.6099999999</v>
      </c>
      <c r="E102" s="2">
        <f t="shared" si="12"/>
        <v>434015.09051333409</v>
      </c>
      <c r="F102" s="2">
        <f t="shared" si="13"/>
        <v>613628.79</v>
      </c>
      <c r="G102" s="4">
        <f t="shared" si="14"/>
        <v>1205177.0833333333</v>
      </c>
      <c r="H102" s="2">
        <f t="shared" si="18"/>
        <v>773831.83346026717</v>
      </c>
      <c r="I102" s="2">
        <f t="shared" si="19"/>
        <v>827550.31666666665</v>
      </c>
      <c r="J102" s="4">
        <f t="shared" si="16"/>
        <v>1542247.73</v>
      </c>
      <c r="K102" s="2">
        <f t="shared" si="20"/>
        <v>834387.62668280769</v>
      </c>
      <c r="L102" s="2">
        <f t="shared" si="21"/>
        <v>490479.66999999993</v>
      </c>
      <c r="N102" s="4">
        <f t="shared" si="15"/>
        <v>1177507.1604500001</v>
      </c>
      <c r="O102" s="2">
        <f t="shared" si="17"/>
        <v>855220.23954999982</v>
      </c>
    </row>
    <row r="103" spans="1:15" x14ac:dyDescent="0.3">
      <c r="A103" s="50">
        <v>43932</v>
      </c>
      <c r="B103" s="2">
        <v>102</v>
      </c>
      <c r="C103" s="4">
        <v>632262.24</v>
      </c>
      <c r="D103" s="4">
        <f t="shared" si="11"/>
        <v>1332494.8199999998</v>
      </c>
      <c r="E103" s="2">
        <f t="shared" si="12"/>
        <v>658356.27057480067</v>
      </c>
      <c r="F103" s="2">
        <f t="shared" si="13"/>
        <v>700232.57999999984</v>
      </c>
      <c r="G103" s="4">
        <f t="shared" si="14"/>
        <v>1156819.82</v>
      </c>
      <c r="H103" s="2">
        <f t="shared" si="18"/>
        <v>655402.04285030393</v>
      </c>
      <c r="I103" s="2">
        <f t="shared" si="19"/>
        <v>524557.58000000007</v>
      </c>
      <c r="J103" s="4">
        <f t="shared" si="16"/>
        <v>1061948.3725000001</v>
      </c>
      <c r="K103" s="2">
        <f t="shared" si="20"/>
        <v>537098.62589610287</v>
      </c>
      <c r="L103" s="2">
        <f t="shared" si="21"/>
        <v>429686.13250000007</v>
      </c>
      <c r="N103" s="4">
        <f t="shared" si="15"/>
        <v>1210411.2355</v>
      </c>
      <c r="O103" s="2">
        <f t="shared" si="17"/>
        <v>578148.99549999996</v>
      </c>
    </row>
    <row r="104" spans="1:15" x14ac:dyDescent="0.3">
      <c r="A104" s="50">
        <v>43933</v>
      </c>
      <c r="B104" s="2">
        <v>103</v>
      </c>
      <c r="C104" s="4">
        <v>879471.12000000011</v>
      </c>
      <c r="D104" s="4">
        <f t="shared" si="11"/>
        <v>755866.68</v>
      </c>
      <c r="E104" s="2">
        <f t="shared" si="12"/>
        <v>502794.05509670149</v>
      </c>
      <c r="F104" s="2">
        <f t="shared" si="13"/>
        <v>123604.44000000006</v>
      </c>
      <c r="G104" s="4">
        <f t="shared" si="14"/>
        <v>1181486.92</v>
      </c>
      <c r="H104" s="2">
        <f t="shared" si="18"/>
        <v>591949.80778221297</v>
      </c>
      <c r="I104" s="2">
        <f t="shared" si="19"/>
        <v>302015.79999999981</v>
      </c>
      <c r="J104" s="4">
        <f t="shared" si="16"/>
        <v>1087482.645</v>
      </c>
      <c r="K104" s="2">
        <f t="shared" si="20"/>
        <v>469392.53030922811</v>
      </c>
      <c r="L104" s="2">
        <f t="shared" si="21"/>
        <v>208011.52499999991</v>
      </c>
      <c r="N104" s="4">
        <f t="shared" si="15"/>
        <v>1293574.9038</v>
      </c>
      <c r="O104" s="2">
        <f t="shared" si="17"/>
        <v>414103.78379999986</v>
      </c>
    </row>
    <row r="105" spans="1:15" x14ac:dyDescent="0.3">
      <c r="A105" s="50">
        <v>43934</v>
      </c>
      <c r="B105" s="2">
        <v>104</v>
      </c>
      <c r="C105" s="4">
        <v>3146883.4299999997</v>
      </c>
      <c r="D105" s="4">
        <f t="shared" si="11"/>
        <v>2013177.2749999999</v>
      </c>
      <c r="E105" s="2">
        <f t="shared" si="12"/>
        <v>806401.79298926319</v>
      </c>
      <c r="F105" s="2">
        <f t="shared" si="13"/>
        <v>1133706.1549999998</v>
      </c>
      <c r="G105" s="4">
        <f t="shared" si="14"/>
        <v>1552872.2633333334</v>
      </c>
      <c r="H105" s="2">
        <f t="shared" si="18"/>
        <v>984419.59171265352</v>
      </c>
      <c r="I105" s="2">
        <f t="shared" si="19"/>
        <v>1594011.1666666663</v>
      </c>
      <c r="J105" s="4">
        <f t="shared" si="16"/>
        <v>1672836.0474999999</v>
      </c>
      <c r="K105" s="2">
        <f t="shared" si="20"/>
        <v>812601.52589292545</v>
      </c>
      <c r="L105" s="2">
        <f t="shared" si="21"/>
        <v>1474047.3824999998</v>
      </c>
      <c r="N105" s="4">
        <f t="shared" si="15"/>
        <v>1023179.55</v>
      </c>
      <c r="O105" s="2">
        <f t="shared" si="17"/>
        <v>2123703.88</v>
      </c>
    </row>
    <row r="106" spans="1:15" x14ac:dyDescent="0.3">
      <c r="A106" s="50">
        <v>43935</v>
      </c>
      <c r="B106" s="2">
        <v>105</v>
      </c>
      <c r="C106" s="4">
        <v>371106.45</v>
      </c>
      <c r="D106" s="4">
        <f t="shared" si="11"/>
        <v>1758994.94</v>
      </c>
      <c r="E106" s="2">
        <f t="shared" si="12"/>
        <v>1267186.6686797496</v>
      </c>
      <c r="F106" s="2">
        <f t="shared" si="13"/>
        <v>1387888.49</v>
      </c>
      <c r="G106" s="4">
        <f t="shared" si="14"/>
        <v>1465820.3333333333</v>
      </c>
      <c r="H106" s="2">
        <f t="shared" si="18"/>
        <v>1129968.086462388</v>
      </c>
      <c r="I106" s="2">
        <f t="shared" si="19"/>
        <v>1094713.8833333333</v>
      </c>
      <c r="J106" s="4">
        <f t="shared" si="16"/>
        <v>1257430.81</v>
      </c>
      <c r="K106" s="2">
        <f t="shared" si="20"/>
        <v>892508.47670766455</v>
      </c>
      <c r="L106" s="2">
        <f t="shared" si="21"/>
        <v>886324.3600000001</v>
      </c>
      <c r="N106" s="4">
        <f t="shared" si="15"/>
        <v>1584668.2902500001</v>
      </c>
      <c r="O106" s="2">
        <f t="shared" si="17"/>
        <v>1213561.8402500001</v>
      </c>
    </row>
    <row r="107" spans="1:15" x14ac:dyDescent="0.3">
      <c r="A107" s="50">
        <v>43936</v>
      </c>
      <c r="B107" s="2">
        <v>106</v>
      </c>
      <c r="C107" s="4">
        <v>617626.54</v>
      </c>
      <c r="D107" s="4">
        <f t="shared" si="11"/>
        <v>494366.495</v>
      </c>
      <c r="E107" s="2">
        <f t="shared" si="12"/>
        <v>985248.06504957983</v>
      </c>
      <c r="F107" s="2">
        <f t="shared" si="13"/>
        <v>123260.04500000004</v>
      </c>
      <c r="G107" s="4">
        <f t="shared" si="14"/>
        <v>1378538.8066666666</v>
      </c>
      <c r="H107" s="2">
        <f t="shared" si="18"/>
        <v>1199757.9705069098</v>
      </c>
      <c r="I107" s="2">
        <f t="shared" si="19"/>
        <v>760912.2666666666</v>
      </c>
      <c r="J107" s="4">
        <f t="shared" si="16"/>
        <v>1253771.885</v>
      </c>
      <c r="K107" s="2">
        <f t="shared" si="20"/>
        <v>922813.12456565455</v>
      </c>
      <c r="L107" s="2">
        <f t="shared" si="21"/>
        <v>636145.34499999997</v>
      </c>
      <c r="N107" s="4">
        <f t="shared" si="15"/>
        <v>1718167.4334999998</v>
      </c>
      <c r="O107" s="2">
        <f t="shared" si="17"/>
        <v>1100540.8934999998</v>
      </c>
    </row>
    <row r="108" spans="1:15" x14ac:dyDescent="0.3">
      <c r="A108" s="50">
        <v>43937</v>
      </c>
      <c r="B108" s="2">
        <v>107</v>
      </c>
      <c r="C108" s="4">
        <v>2352915.7600000002</v>
      </c>
      <c r="D108" s="4">
        <f t="shared" si="11"/>
        <v>1485271.1500000001</v>
      </c>
      <c r="E108" s="2">
        <f t="shared" si="12"/>
        <v>619677.41928984888</v>
      </c>
      <c r="F108" s="2">
        <f t="shared" si="13"/>
        <v>867644.6100000001</v>
      </c>
      <c r="G108" s="4">
        <f t="shared" si="14"/>
        <v>1113882.9166666667</v>
      </c>
      <c r="H108" s="2">
        <f t="shared" si="18"/>
        <v>1050807.3643291676</v>
      </c>
      <c r="I108" s="2">
        <f t="shared" si="19"/>
        <v>1239032.8433333335</v>
      </c>
      <c r="J108" s="4">
        <f t="shared" si="16"/>
        <v>1622133.0449999999</v>
      </c>
      <c r="K108" s="2">
        <f t="shared" si="20"/>
        <v>987055.06856158376</v>
      </c>
      <c r="L108" s="2">
        <f t="shared" si="21"/>
        <v>730782.71500000032</v>
      </c>
      <c r="N108" s="4">
        <f t="shared" si="15"/>
        <v>1064361.6157499999</v>
      </c>
      <c r="O108" s="2">
        <f t="shared" si="17"/>
        <v>1288554.1442500004</v>
      </c>
    </row>
    <row r="109" spans="1:15" x14ac:dyDescent="0.3">
      <c r="A109" s="50">
        <v>43938</v>
      </c>
      <c r="B109" s="2">
        <v>108</v>
      </c>
      <c r="C109" s="4">
        <v>597818.13</v>
      </c>
      <c r="D109" s="4">
        <f t="shared" si="11"/>
        <v>1475366.9450000001</v>
      </c>
      <c r="E109" s="2">
        <f t="shared" si="12"/>
        <v>872610.76430730463</v>
      </c>
      <c r="F109" s="2">
        <f t="shared" si="13"/>
        <v>877548.81500000006</v>
      </c>
      <c r="G109" s="4">
        <f t="shared" si="14"/>
        <v>1189453.4766666668</v>
      </c>
      <c r="H109" s="2">
        <f t="shared" si="18"/>
        <v>906315.29610246129</v>
      </c>
      <c r="I109" s="2">
        <f t="shared" si="19"/>
        <v>591635.3466666668</v>
      </c>
      <c r="J109" s="4">
        <f t="shared" si="16"/>
        <v>984866.72</v>
      </c>
      <c r="K109" s="2">
        <f t="shared" si="20"/>
        <v>684489.18155408755</v>
      </c>
      <c r="L109" s="2">
        <f t="shared" si="21"/>
        <v>387048.58999999997</v>
      </c>
      <c r="N109" s="4">
        <f t="shared" si="15"/>
        <v>1144714.0089</v>
      </c>
      <c r="O109" s="2">
        <f t="shared" si="17"/>
        <v>546895.87890000001</v>
      </c>
    </row>
    <row r="110" spans="1:15" x14ac:dyDescent="0.3">
      <c r="A110" s="50">
        <v>43939</v>
      </c>
      <c r="B110" s="2">
        <v>109</v>
      </c>
      <c r="C110" s="4">
        <v>3753004.32</v>
      </c>
      <c r="D110" s="4">
        <f t="shared" si="11"/>
        <v>2175411.2250000001</v>
      </c>
      <c r="E110" s="2">
        <f t="shared" si="12"/>
        <v>1276497.5315486479</v>
      </c>
      <c r="F110" s="2">
        <f t="shared" si="13"/>
        <v>1577593.0949999997</v>
      </c>
      <c r="G110" s="4">
        <f t="shared" si="14"/>
        <v>2234579.4033333333</v>
      </c>
      <c r="H110" s="2">
        <f t="shared" si="18"/>
        <v>1181926.2523296797</v>
      </c>
      <c r="I110" s="2">
        <f t="shared" si="19"/>
        <v>1518424.9166666665</v>
      </c>
      <c r="J110" s="4">
        <f t="shared" si="16"/>
        <v>1830341.1875</v>
      </c>
      <c r="K110" s="2">
        <f t="shared" si="20"/>
        <v>1093750.9324114472</v>
      </c>
      <c r="L110" s="2">
        <f t="shared" si="21"/>
        <v>1922663.1324999998</v>
      </c>
      <c r="N110" s="4">
        <f t="shared" si="15"/>
        <v>1383194.4255500003</v>
      </c>
      <c r="O110" s="2">
        <f t="shared" si="17"/>
        <v>2369809.8944499996</v>
      </c>
    </row>
    <row r="111" spans="1:15" x14ac:dyDescent="0.3">
      <c r="A111" s="50">
        <v>43940</v>
      </c>
      <c r="B111" s="2">
        <v>110</v>
      </c>
      <c r="C111" s="4">
        <v>2258717.44</v>
      </c>
      <c r="D111" s="4">
        <f t="shared" si="11"/>
        <v>3005860.88</v>
      </c>
      <c r="E111" s="2">
        <f t="shared" si="12"/>
        <v>1234306.139765721</v>
      </c>
      <c r="F111" s="2">
        <f t="shared" si="13"/>
        <v>747143.44</v>
      </c>
      <c r="G111" s="4">
        <f t="shared" si="14"/>
        <v>2203179.9633333334</v>
      </c>
      <c r="H111" s="2">
        <f t="shared" si="18"/>
        <v>941405.15937508037</v>
      </c>
      <c r="I111" s="2">
        <f t="shared" si="19"/>
        <v>55537.476666666567</v>
      </c>
      <c r="J111" s="4">
        <f t="shared" si="16"/>
        <v>2240613.9125000001</v>
      </c>
      <c r="K111" s="2">
        <f t="shared" si="20"/>
        <v>1046519.3794606022</v>
      </c>
      <c r="L111" s="2">
        <f t="shared" si="21"/>
        <v>18103.527499999851</v>
      </c>
      <c r="N111" s="4">
        <f t="shared" si="15"/>
        <v>2040926.9822500001</v>
      </c>
      <c r="O111" s="2">
        <f t="shared" si="17"/>
        <v>217790.45774999983</v>
      </c>
    </row>
    <row r="112" spans="1:15" x14ac:dyDescent="0.3">
      <c r="A112" s="50">
        <v>43941</v>
      </c>
      <c r="B112" s="2">
        <v>111</v>
      </c>
      <c r="C112" s="4">
        <v>2265570.4</v>
      </c>
      <c r="D112" s="4">
        <f t="shared" si="11"/>
        <v>2262143.92</v>
      </c>
      <c r="E112" s="2">
        <f t="shared" si="12"/>
        <v>528315.74872429459</v>
      </c>
      <c r="F112" s="2">
        <f t="shared" si="13"/>
        <v>3426.4799999999814</v>
      </c>
      <c r="G112" s="4">
        <f t="shared" si="14"/>
        <v>2759097.3866666667</v>
      </c>
      <c r="H112" s="2">
        <f t="shared" si="18"/>
        <v>922364.26741950389</v>
      </c>
      <c r="I112" s="2">
        <f t="shared" si="19"/>
        <v>493526.98666666681</v>
      </c>
      <c r="J112" s="4">
        <f t="shared" si="16"/>
        <v>2218777.5725000002</v>
      </c>
      <c r="K112" s="2">
        <f t="shared" si="20"/>
        <v>980937.99988953024</v>
      </c>
      <c r="L112" s="2">
        <f t="shared" si="21"/>
        <v>46792.827499999665</v>
      </c>
      <c r="N112" s="4">
        <f t="shared" si="15"/>
        <v>2558277.2533999998</v>
      </c>
      <c r="O112" s="2">
        <f t="shared" si="17"/>
        <v>292706.85339999991</v>
      </c>
    </row>
    <row r="113" spans="1:15" x14ac:dyDescent="0.3">
      <c r="A113" s="50">
        <v>43942</v>
      </c>
      <c r="B113" s="2">
        <v>112</v>
      </c>
      <c r="C113" s="4">
        <v>302073.24</v>
      </c>
      <c r="D113" s="4">
        <f t="shared" si="11"/>
        <v>1283821.8199999998</v>
      </c>
      <c r="E113" s="2">
        <f t="shared" si="12"/>
        <v>694205.30648260191</v>
      </c>
      <c r="F113" s="2">
        <f t="shared" si="13"/>
        <v>981748.57999999984</v>
      </c>
      <c r="G113" s="4">
        <f t="shared" si="14"/>
        <v>1608787.0266666666</v>
      </c>
      <c r="H113" s="2">
        <f t="shared" si="18"/>
        <v>807084.09684648504</v>
      </c>
      <c r="I113" s="2">
        <f t="shared" si="19"/>
        <v>1306713.7866666666</v>
      </c>
      <c r="J113" s="4">
        <f t="shared" si="16"/>
        <v>2144841.35</v>
      </c>
      <c r="K113" s="2">
        <f t="shared" si="20"/>
        <v>1331816.9107201891</v>
      </c>
      <c r="L113" s="2">
        <f t="shared" si="21"/>
        <v>1842768.11</v>
      </c>
      <c r="N113" s="4">
        <f t="shared" si="15"/>
        <v>2589756.2952000001</v>
      </c>
      <c r="O113" s="2">
        <f t="shared" si="17"/>
        <v>2287683.0552000003</v>
      </c>
    </row>
    <row r="114" spans="1:15" x14ac:dyDescent="0.3">
      <c r="A114" s="50">
        <v>43943</v>
      </c>
      <c r="B114" s="2">
        <v>113</v>
      </c>
      <c r="C114" s="4">
        <v>701161.67</v>
      </c>
      <c r="D114" s="4">
        <f t="shared" si="11"/>
        <v>501617.45500000002</v>
      </c>
      <c r="E114" s="2">
        <f t="shared" si="12"/>
        <v>708395.42914673802</v>
      </c>
      <c r="F114" s="2">
        <f t="shared" si="13"/>
        <v>199544.21500000003</v>
      </c>
      <c r="G114" s="4">
        <f t="shared" si="14"/>
        <v>1089601.7699999998</v>
      </c>
      <c r="H114" s="2">
        <f t="shared" si="18"/>
        <v>837049.48442351737</v>
      </c>
      <c r="I114" s="2">
        <f t="shared" si="19"/>
        <v>388440.09999999974</v>
      </c>
      <c r="J114" s="4">
        <f t="shared" si="16"/>
        <v>1381880.6875</v>
      </c>
      <c r="K114" s="2">
        <f t="shared" si="20"/>
        <v>982559.15781602252</v>
      </c>
      <c r="L114" s="2">
        <f t="shared" si="21"/>
        <v>680719.01749999996</v>
      </c>
      <c r="N114" s="4">
        <f t="shared" si="15"/>
        <v>1606291.2001999998</v>
      </c>
      <c r="O114" s="2">
        <f t="shared" si="17"/>
        <v>905129.5301999998</v>
      </c>
    </row>
    <row r="115" spans="1:15" x14ac:dyDescent="0.3">
      <c r="A115" s="50">
        <v>43944</v>
      </c>
      <c r="B115" s="2">
        <v>114</v>
      </c>
      <c r="C115" s="4">
        <v>1659715.26</v>
      </c>
      <c r="D115" s="4">
        <f t="shared" si="11"/>
        <v>1180438.4650000001</v>
      </c>
      <c r="E115" s="2">
        <f t="shared" si="12"/>
        <v>367099.53688709426</v>
      </c>
      <c r="F115" s="2">
        <f t="shared" si="13"/>
        <v>479276.79499999993</v>
      </c>
      <c r="G115" s="4">
        <f t="shared" si="14"/>
        <v>887650.05666666664</v>
      </c>
      <c r="H115" s="2">
        <f t="shared" si="18"/>
        <v>904520.37193768972</v>
      </c>
      <c r="I115" s="2">
        <f t="shared" si="19"/>
        <v>772065.20333333337</v>
      </c>
      <c r="J115" s="4">
        <f t="shared" si="16"/>
        <v>1232130.1424999998</v>
      </c>
      <c r="K115" s="2">
        <f t="shared" si="20"/>
        <v>1005508.7380813842</v>
      </c>
      <c r="L115" s="2">
        <f t="shared" si="21"/>
        <v>427585.11750000017</v>
      </c>
      <c r="N115" s="4">
        <f t="shared" si="15"/>
        <v>867737.23924999998</v>
      </c>
      <c r="O115" s="2">
        <f t="shared" si="17"/>
        <v>791978.02075000003</v>
      </c>
    </row>
    <row r="116" spans="1:15" x14ac:dyDescent="0.3">
      <c r="A116" s="50">
        <v>43945</v>
      </c>
      <c r="B116" s="2">
        <v>115</v>
      </c>
      <c r="C116" s="4">
        <v>5995718.4399999995</v>
      </c>
      <c r="D116" s="4">
        <f t="shared" si="11"/>
        <v>3827716.8499999996</v>
      </c>
      <c r="E116" s="2">
        <f t="shared" si="12"/>
        <v>1570021.8375022684</v>
      </c>
      <c r="F116" s="2">
        <f t="shared" si="13"/>
        <v>2168001.59</v>
      </c>
      <c r="G116" s="4">
        <f t="shared" si="14"/>
        <v>2785531.7899999996</v>
      </c>
      <c r="H116" s="2">
        <f t="shared" si="18"/>
        <v>1919398.2318532695</v>
      </c>
      <c r="I116" s="2">
        <f t="shared" si="19"/>
        <v>3210186.65</v>
      </c>
      <c r="J116" s="4">
        <f t="shared" si="16"/>
        <v>2164667.1524999999</v>
      </c>
      <c r="K116" s="2">
        <f t="shared" si="20"/>
        <v>2163270.4227732387</v>
      </c>
      <c r="L116" s="2">
        <f t="shared" si="21"/>
        <v>3831051.2874999996</v>
      </c>
      <c r="N116" s="4">
        <f t="shared" si="15"/>
        <v>934477.66805000009</v>
      </c>
      <c r="O116" s="2">
        <f t="shared" si="17"/>
        <v>5061240.771949999</v>
      </c>
    </row>
    <row r="117" spans="1:15" x14ac:dyDescent="0.3">
      <c r="A117" s="50">
        <v>43946</v>
      </c>
      <c r="B117" s="2">
        <v>116</v>
      </c>
      <c r="C117" s="4">
        <v>2021051.76</v>
      </c>
      <c r="D117" s="4">
        <f t="shared" si="11"/>
        <v>4008385.0999999996</v>
      </c>
      <c r="E117" s="2">
        <f t="shared" si="12"/>
        <v>2079630.3395697614</v>
      </c>
      <c r="F117" s="2">
        <f t="shared" si="13"/>
        <v>1987333.3399999996</v>
      </c>
      <c r="G117" s="4">
        <f t="shared" si="14"/>
        <v>3225495.1533333329</v>
      </c>
      <c r="H117" s="2">
        <f t="shared" si="18"/>
        <v>2029126.8149773746</v>
      </c>
      <c r="I117" s="2">
        <f t="shared" si="19"/>
        <v>1204443.3933333328</v>
      </c>
      <c r="J117" s="4">
        <f t="shared" si="16"/>
        <v>2594411.7824999997</v>
      </c>
      <c r="K117" s="2">
        <f t="shared" si="20"/>
        <v>1978124.3070362299</v>
      </c>
      <c r="L117" s="2">
        <f t="shared" si="21"/>
        <v>573360.02249999973</v>
      </c>
      <c r="N117" s="4">
        <f t="shared" si="15"/>
        <v>2901394.5355000002</v>
      </c>
      <c r="O117" s="2">
        <f t="shared" si="17"/>
        <v>880342.77550000022</v>
      </c>
    </row>
    <row r="118" spans="1:15" x14ac:dyDescent="0.3">
      <c r="A118" s="50">
        <v>43947</v>
      </c>
      <c r="B118" s="2">
        <v>117</v>
      </c>
      <c r="C118" s="4">
        <v>96038.8</v>
      </c>
      <c r="D118" s="4">
        <f t="shared" si="11"/>
        <v>1058545.28</v>
      </c>
      <c r="E118" s="2">
        <f t="shared" si="12"/>
        <v>1561395.614237075</v>
      </c>
      <c r="F118" s="2">
        <f t="shared" si="13"/>
        <v>962506.48</v>
      </c>
      <c r="G118" s="4">
        <f t="shared" si="14"/>
        <v>2704269.6666666665</v>
      </c>
      <c r="H118" s="2">
        <f t="shared" si="18"/>
        <v>2487224.0529966527</v>
      </c>
      <c r="I118" s="2">
        <f t="shared" si="19"/>
        <v>2608230.8666666667</v>
      </c>
      <c r="J118" s="4">
        <f t="shared" si="16"/>
        <v>2443131.0649999999</v>
      </c>
      <c r="K118" s="2">
        <f t="shared" si="20"/>
        <v>2274717.9394370485</v>
      </c>
      <c r="L118" s="2">
        <f t="shared" si="21"/>
        <v>2347092.2650000001</v>
      </c>
      <c r="N118" s="4">
        <f t="shared" si="15"/>
        <v>3710284.4026000001</v>
      </c>
      <c r="O118" s="2">
        <f t="shared" si="17"/>
        <v>3614245.6026000003</v>
      </c>
    </row>
    <row r="119" spans="1:15" x14ac:dyDescent="0.3">
      <c r="A119" s="50">
        <v>43948</v>
      </c>
      <c r="B119" s="2">
        <v>118</v>
      </c>
      <c r="C119" s="4">
        <v>941694.6</v>
      </c>
      <c r="D119" s="4">
        <f t="shared" si="11"/>
        <v>518866.7</v>
      </c>
      <c r="E119" s="2">
        <f t="shared" si="12"/>
        <v>743371.42703375418</v>
      </c>
      <c r="F119" s="2">
        <f t="shared" si="13"/>
        <v>422827.89999999997</v>
      </c>
      <c r="G119" s="4">
        <f t="shared" si="14"/>
        <v>1019595.0533333333</v>
      </c>
      <c r="H119" s="2">
        <f t="shared" si="18"/>
        <v>1659279.0223675063</v>
      </c>
      <c r="I119" s="2">
        <f t="shared" si="19"/>
        <v>77900.453333333367</v>
      </c>
      <c r="J119" s="4">
        <f t="shared" si="16"/>
        <v>2263625.9</v>
      </c>
      <c r="K119" s="2">
        <f t="shared" si="20"/>
        <v>2359133.3231294458</v>
      </c>
      <c r="L119" s="2">
        <f t="shared" si="21"/>
        <v>1321931.2999999998</v>
      </c>
      <c r="N119" s="4">
        <f t="shared" si="15"/>
        <v>2250599.088</v>
      </c>
      <c r="O119" s="2">
        <f t="shared" si="17"/>
        <v>1308904.4879999999</v>
      </c>
    </row>
    <row r="120" spans="1:15" x14ac:dyDescent="0.3">
      <c r="A120" s="50">
        <v>43949</v>
      </c>
      <c r="B120" s="2">
        <v>119</v>
      </c>
      <c r="C120" s="4">
        <v>482125.27</v>
      </c>
      <c r="D120" s="4">
        <f t="shared" si="11"/>
        <v>711909.93500000006</v>
      </c>
      <c r="E120" s="2">
        <f t="shared" si="12"/>
        <v>340282.54825040046</v>
      </c>
      <c r="F120" s="2">
        <f t="shared" si="13"/>
        <v>229784.66500000004</v>
      </c>
      <c r="G120" s="4">
        <f t="shared" si="14"/>
        <v>506619.55666666664</v>
      </c>
      <c r="H120" s="2">
        <f t="shared" si="18"/>
        <v>1506600.6664609348</v>
      </c>
      <c r="I120" s="2">
        <f t="shared" si="19"/>
        <v>24494.286666666623</v>
      </c>
      <c r="J120" s="4">
        <f t="shared" si="16"/>
        <v>885227.60750000004</v>
      </c>
      <c r="K120" s="2">
        <f t="shared" si="20"/>
        <v>1391723.5422527066</v>
      </c>
      <c r="L120" s="2">
        <f t="shared" si="21"/>
        <v>403102.33750000002</v>
      </c>
      <c r="N120" s="4">
        <f t="shared" si="15"/>
        <v>802836.34419999993</v>
      </c>
      <c r="O120" s="2">
        <f t="shared" si="17"/>
        <v>320711.07419999992</v>
      </c>
    </row>
    <row r="121" spans="1:15" x14ac:dyDescent="0.3">
      <c r="A121" s="50">
        <v>43950</v>
      </c>
      <c r="B121" s="2">
        <v>120</v>
      </c>
      <c r="C121" s="4">
        <v>77746.89</v>
      </c>
      <c r="D121" s="4">
        <f t="shared" si="11"/>
        <v>279936.08</v>
      </c>
      <c r="E121" s="2">
        <f t="shared" si="12"/>
        <v>216427.19425018929</v>
      </c>
      <c r="F121" s="2">
        <f t="shared" si="13"/>
        <v>202189.19</v>
      </c>
      <c r="G121" s="4">
        <f t="shared" si="14"/>
        <v>500522.25333333336</v>
      </c>
      <c r="H121" s="2">
        <f t="shared" si="18"/>
        <v>248601.05829117709</v>
      </c>
      <c r="I121" s="2">
        <f t="shared" si="19"/>
        <v>422775.36333333334</v>
      </c>
      <c r="J121" s="4">
        <f t="shared" si="16"/>
        <v>399401.38999999996</v>
      </c>
      <c r="K121" s="2">
        <f t="shared" si="20"/>
        <v>1371340.3638603669</v>
      </c>
      <c r="L121" s="2">
        <f t="shared" si="21"/>
        <v>321654.49999999994</v>
      </c>
      <c r="N121" s="4">
        <f t="shared" si="15"/>
        <v>601694.59845000005</v>
      </c>
      <c r="O121" s="2">
        <f t="shared" si="17"/>
        <v>523947.70845000003</v>
      </c>
    </row>
    <row r="122" spans="1:15" x14ac:dyDescent="0.3">
      <c r="A122" s="50">
        <v>43951</v>
      </c>
      <c r="B122" s="2">
        <v>121</v>
      </c>
      <c r="C122" s="4">
        <v>192403.38</v>
      </c>
      <c r="D122" s="4">
        <f t="shared" si="11"/>
        <v>135075.13500000001</v>
      </c>
      <c r="E122" s="2">
        <f t="shared" si="12"/>
        <v>148605.17525920173</v>
      </c>
      <c r="F122" s="2">
        <f t="shared" si="13"/>
        <v>57328.244999999995</v>
      </c>
      <c r="G122" s="4">
        <f t="shared" si="14"/>
        <v>250758.51333333334</v>
      </c>
      <c r="H122" s="2">
        <f t="shared" si="18"/>
        <v>246809.17021543314</v>
      </c>
      <c r="I122" s="2">
        <f t="shared" si="19"/>
        <v>58355.133333333331</v>
      </c>
      <c r="J122" s="4">
        <f t="shared" si="16"/>
        <v>423492.53500000003</v>
      </c>
      <c r="K122" s="2">
        <f t="shared" si="20"/>
        <v>718828.50377306913</v>
      </c>
      <c r="L122" s="2">
        <f t="shared" si="21"/>
        <v>231089.15500000003</v>
      </c>
      <c r="N122" s="4">
        <f t="shared" si="15"/>
        <v>447763.76529999997</v>
      </c>
      <c r="O122" s="2">
        <f t="shared" si="17"/>
        <v>255360.38529999997</v>
      </c>
    </row>
    <row r="123" spans="1:15" x14ac:dyDescent="0.3">
      <c r="A123" s="50">
        <v>43952</v>
      </c>
      <c r="B123" s="2">
        <v>122</v>
      </c>
      <c r="C123" s="4">
        <v>289207.75</v>
      </c>
      <c r="D123" s="4">
        <f t="shared" si="11"/>
        <v>240805.565</v>
      </c>
      <c r="E123" s="2">
        <f t="shared" si="12"/>
        <v>53053.271282524365</v>
      </c>
      <c r="F123" s="2">
        <f t="shared" si="13"/>
        <v>48402.184999999998</v>
      </c>
      <c r="G123" s="4">
        <f t="shared" si="14"/>
        <v>186452.67333333334</v>
      </c>
      <c r="H123" s="2">
        <f t="shared" si="18"/>
        <v>253444.88895271075</v>
      </c>
      <c r="I123" s="2">
        <f t="shared" si="19"/>
        <v>102755.07666666666</v>
      </c>
      <c r="J123" s="4">
        <f t="shared" si="16"/>
        <v>260370.82250000001</v>
      </c>
      <c r="K123" s="2">
        <f t="shared" si="20"/>
        <v>282925.28952643496</v>
      </c>
      <c r="L123" s="2">
        <f t="shared" si="21"/>
        <v>28836.927499999991</v>
      </c>
      <c r="N123" s="4">
        <f t="shared" si="15"/>
        <v>205120.05775000004</v>
      </c>
      <c r="O123" s="2">
        <f t="shared" si="17"/>
        <v>84087.692249999964</v>
      </c>
    </row>
    <row r="124" spans="1:15" x14ac:dyDescent="0.3">
      <c r="A124" s="50">
        <v>43953</v>
      </c>
      <c r="B124" s="2">
        <v>123</v>
      </c>
      <c r="C124" s="4">
        <v>11905.08</v>
      </c>
      <c r="D124" s="4">
        <f t="shared" si="11"/>
        <v>150556.41500000001</v>
      </c>
      <c r="E124" s="2">
        <f t="shared" si="12"/>
        <v>103843.54628491955</v>
      </c>
      <c r="F124" s="2">
        <f t="shared" si="13"/>
        <v>138651.33500000002</v>
      </c>
      <c r="G124" s="4">
        <f t="shared" si="14"/>
        <v>164505.40333333335</v>
      </c>
      <c r="H124" s="2">
        <f t="shared" si="18"/>
        <v>111431.27336099972</v>
      </c>
      <c r="I124" s="2">
        <f t="shared" si="19"/>
        <v>152600.32333333336</v>
      </c>
      <c r="J124" s="4">
        <f t="shared" si="16"/>
        <v>142815.77499999999</v>
      </c>
      <c r="K124" s="2">
        <f t="shared" si="20"/>
        <v>209065.17726649702</v>
      </c>
      <c r="L124" s="2">
        <f t="shared" si="21"/>
        <v>130910.69499999999</v>
      </c>
      <c r="N124" s="4">
        <f t="shared" si="15"/>
        <v>199608.41615</v>
      </c>
      <c r="O124" s="2">
        <f t="shared" si="17"/>
        <v>187703.33615000002</v>
      </c>
    </row>
    <row r="125" spans="1:15" x14ac:dyDescent="0.3">
      <c r="A125" s="50">
        <v>43954</v>
      </c>
      <c r="B125" s="2">
        <v>124</v>
      </c>
      <c r="C125" s="4">
        <v>67894.41</v>
      </c>
      <c r="D125" s="4">
        <f t="shared" si="11"/>
        <v>39899.745000000003</v>
      </c>
      <c r="E125" s="2">
        <f t="shared" si="12"/>
        <v>100019.73296741112</v>
      </c>
      <c r="F125" s="2">
        <f t="shared" si="13"/>
        <v>27994.665000000001</v>
      </c>
      <c r="G125" s="4">
        <f t="shared" si="14"/>
        <v>123002.41333333333</v>
      </c>
      <c r="H125" s="2">
        <f t="shared" si="18"/>
        <v>110878.84753729647</v>
      </c>
      <c r="I125" s="2">
        <f t="shared" si="19"/>
        <v>55108.003333333327</v>
      </c>
      <c r="J125" s="4">
        <f t="shared" si="16"/>
        <v>140352.655</v>
      </c>
      <c r="K125" s="2">
        <f t="shared" si="20"/>
        <v>138403.01051649611</v>
      </c>
      <c r="L125" s="2">
        <f t="shared" si="21"/>
        <v>72458.244999999995</v>
      </c>
      <c r="N125" s="4">
        <f t="shared" si="15"/>
        <v>175014.39415000001</v>
      </c>
      <c r="O125" s="2">
        <f t="shared" si="17"/>
        <v>107119.98415</v>
      </c>
    </row>
    <row r="126" spans="1:15" x14ac:dyDescent="0.3">
      <c r="A126" s="50">
        <v>43955</v>
      </c>
      <c r="B126" s="2">
        <v>125</v>
      </c>
      <c r="C126" s="4">
        <v>677133.45</v>
      </c>
      <c r="D126" s="4">
        <f t="shared" si="11"/>
        <v>372513.93</v>
      </c>
      <c r="E126" s="2">
        <f t="shared" si="12"/>
        <v>216306.21030554417</v>
      </c>
      <c r="F126" s="2">
        <f t="shared" si="13"/>
        <v>304619.51999999996</v>
      </c>
      <c r="G126" s="4">
        <f t="shared" si="14"/>
        <v>252310.97999999998</v>
      </c>
      <c r="H126" s="2">
        <f t="shared" si="18"/>
        <v>262550.23756081768</v>
      </c>
      <c r="I126" s="2">
        <f t="shared" si="19"/>
        <v>424822.47</v>
      </c>
      <c r="J126" s="4">
        <f t="shared" si="16"/>
        <v>261535.17249999999</v>
      </c>
      <c r="K126" s="2">
        <f t="shared" si="20"/>
        <v>221326.2885326042</v>
      </c>
      <c r="L126" s="2">
        <f t="shared" si="21"/>
        <v>415598.27749999997</v>
      </c>
      <c r="N126" s="4">
        <f t="shared" si="15"/>
        <v>91668.092950000006</v>
      </c>
      <c r="O126" s="2">
        <f t="shared" si="17"/>
        <v>585465.35704999999</v>
      </c>
    </row>
    <row r="127" spans="1:15" x14ac:dyDescent="0.3">
      <c r="A127" s="50">
        <v>43956</v>
      </c>
      <c r="B127" s="2">
        <v>126</v>
      </c>
      <c r="C127" s="4">
        <v>35407.35</v>
      </c>
      <c r="D127" s="4">
        <f t="shared" si="11"/>
        <v>356270.39999999997</v>
      </c>
      <c r="E127" s="2">
        <f t="shared" si="12"/>
        <v>312846.72670521331</v>
      </c>
      <c r="F127" s="2">
        <f t="shared" si="13"/>
        <v>320863.05</v>
      </c>
      <c r="G127" s="4">
        <f t="shared" si="14"/>
        <v>260145.06999999998</v>
      </c>
      <c r="H127" s="2">
        <f t="shared" si="18"/>
        <v>279295.58168070251</v>
      </c>
      <c r="I127" s="2">
        <f t="shared" si="19"/>
        <v>224737.71999999997</v>
      </c>
      <c r="J127" s="4">
        <f t="shared" si="16"/>
        <v>198085.07249999998</v>
      </c>
      <c r="K127" s="2">
        <f t="shared" si="20"/>
        <v>235358.11914644935</v>
      </c>
      <c r="L127" s="2">
        <f t="shared" si="21"/>
        <v>162677.72249999997</v>
      </c>
      <c r="N127" s="4">
        <f t="shared" si="15"/>
        <v>259671.83580000003</v>
      </c>
      <c r="O127" s="2">
        <f t="shared" si="17"/>
        <v>224264.48580000002</v>
      </c>
    </row>
    <row r="128" spans="1:15" x14ac:dyDescent="0.3">
      <c r="A128" s="50">
        <v>43957</v>
      </c>
      <c r="B128" s="2">
        <v>127</v>
      </c>
      <c r="C128" s="4">
        <v>19691.75</v>
      </c>
      <c r="D128" s="4">
        <f t="shared" si="11"/>
        <v>27549.55</v>
      </c>
      <c r="E128" s="2">
        <f t="shared" si="12"/>
        <v>226952.46404934942</v>
      </c>
      <c r="F128" s="2">
        <f t="shared" si="13"/>
        <v>7857.7999999999993</v>
      </c>
      <c r="G128" s="4">
        <f t="shared" si="14"/>
        <v>244077.51666666663</v>
      </c>
      <c r="H128" s="2">
        <f t="shared" si="18"/>
        <v>306229.84074617713</v>
      </c>
      <c r="I128" s="2">
        <f t="shared" si="19"/>
        <v>224385.76666666663</v>
      </c>
      <c r="J128" s="4">
        <f t="shared" si="16"/>
        <v>200031.74</v>
      </c>
      <c r="K128" s="2">
        <f t="shared" si="20"/>
        <v>243392.00835300348</v>
      </c>
      <c r="L128" s="2">
        <f t="shared" si="21"/>
        <v>180339.99</v>
      </c>
      <c r="N128" s="4">
        <f t="shared" si="15"/>
        <v>328122.61770000006</v>
      </c>
      <c r="O128" s="2">
        <f t="shared" si="17"/>
        <v>308430.86770000006</v>
      </c>
    </row>
    <row r="129" spans="1:15" x14ac:dyDescent="0.3">
      <c r="A129" s="50">
        <v>43958</v>
      </c>
      <c r="B129" s="2">
        <v>128</v>
      </c>
      <c r="C129" s="4">
        <v>26157.18</v>
      </c>
      <c r="D129" s="4">
        <f t="shared" si="11"/>
        <v>22924.465</v>
      </c>
      <c r="E129" s="2">
        <f t="shared" si="12"/>
        <v>6008.1389427685926</v>
      </c>
      <c r="F129" s="2">
        <f t="shared" si="13"/>
        <v>3232.7150000000001</v>
      </c>
      <c r="G129" s="4">
        <f t="shared" si="14"/>
        <v>27085.426666666666</v>
      </c>
      <c r="H129" s="2">
        <f t="shared" si="18"/>
        <v>183354.73515861752</v>
      </c>
      <c r="I129" s="2">
        <f t="shared" si="19"/>
        <v>928.24666666666599</v>
      </c>
      <c r="J129" s="4">
        <f t="shared" si="16"/>
        <v>189597.4325</v>
      </c>
      <c r="K129" s="2">
        <f t="shared" si="20"/>
        <v>254175.72552725105</v>
      </c>
      <c r="L129" s="2">
        <f t="shared" si="21"/>
        <v>163440.2525</v>
      </c>
      <c r="N129" s="4">
        <f t="shared" si="15"/>
        <v>171322.36600000001</v>
      </c>
      <c r="O129" s="2">
        <f t="shared" si="17"/>
        <v>145165.18600000002</v>
      </c>
    </row>
    <row r="130" spans="1:15" x14ac:dyDescent="0.3">
      <c r="A130" s="50">
        <v>43959</v>
      </c>
      <c r="B130" s="2">
        <v>129</v>
      </c>
      <c r="C130" s="4">
        <v>1289020.02</v>
      </c>
      <c r="D130" s="4">
        <f t="shared" si="11"/>
        <v>657588.6</v>
      </c>
      <c r="E130" s="2">
        <f t="shared" si="12"/>
        <v>446495.29035001458</v>
      </c>
      <c r="F130" s="2">
        <f t="shared" si="13"/>
        <v>631431.42000000004</v>
      </c>
      <c r="G130" s="4">
        <f t="shared" si="14"/>
        <v>444956.31666666665</v>
      </c>
      <c r="H130" s="2">
        <f t="shared" si="18"/>
        <v>504246.42428388231</v>
      </c>
      <c r="I130" s="2">
        <f t="shared" si="19"/>
        <v>844063.70333333337</v>
      </c>
      <c r="J130" s="4">
        <f t="shared" si="16"/>
        <v>342569.07500000001</v>
      </c>
      <c r="K130" s="2">
        <f t="shared" si="20"/>
        <v>495345.50084250385</v>
      </c>
      <c r="L130" s="2">
        <f t="shared" si="21"/>
        <v>946450.94500000007</v>
      </c>
      <c r="N130" s="4">
        <f t="shared" si="15"/>
        <v>25315.101049999997</v>
      </c>
      <c r="O130" s="2">
        <f t="shared" si="17"/>
        <v>1263704.9189500001</v>
      </c>
    </row>
    <row r="131" spans="1:15" x14ac:dyDescent="0.3">
      <c r="A131" s="50">
        <v>43960</v>
      </c>
      <c r="B131" s="2">
        <v>130</v>
      </c>
      <c r="C131" s="4">
        <v>460947.52</v>
      </c>
      <c r="D131" s="4">
        <f t="shared" si="11"/>
        <v>874983.77</v>
      </c>
      <c r="E131" s="2">
        <f t="shared" si="12"/>
        <v>533915.56189966912</v>
      </c>
      <c r="F131" s="2">
        <f t="shared" si="13"/>
        <v>414036.25</v>
      </c>
      <c r="G131" s="4">
        <f t="shared" si="14"/>
        <v>592041.57333333336</v>
      </c>
      <c r="H131" s="2">
        <f t="shared" si="18"/>
        <v>493163.27510809182</v>
      </c>
      <c r="I131" s="2">
        <f t="shared" si="19"/>
        <v>131094.05333333334</v>
      </c>
      <c r="J131" s="4">
        <f t="shared" si="16"/>
        <v>448954.11749999999</v>
      </c>
      <c r="K131" s="2">
        <f t="shared" si="20"/>
        <v>488658.48532625113</v>
      </c>
      <c r="L131" s="2">
        <f t="shared" si="21"/>
        <v>11993.402500000026</v>
      </c>
      <c r="N131" s="4">
        <f t="shared" si="15"/>
        <v>447793.83680000005</v>
      </c>
      <c r="O131" s="2">
        <f t="shared" si="17"/>
        <v>13153.68319999997</v>
      </c>
    </row>
    <row r="132" spans="1:15" x14ac:dyDescent="0.3">
      <c r="A132" s="50">
        <v>43961</v>
      </c>
      <c r="B132" s="2">
        <v>131</v>
      </c>
      <c r="C132" s="4">
        <v>5765833.5599999996</v>
      </c>
      <c r="D132" s="4">
        <f t="shared" ref="D132:D195" si="22">AVERAGE(C131:C132)</f>
        <v>3113390.54</v>
      </c>
      <c r="E132" s="2">
        <f t="shared" si="12"/>
        <v>1898272.8980129254</v>
      </c>
      <c r="F132" s="2">
        <f t="shared" si="13"/>
        <v>2652443.0199999996</v>
      </c>
      <c r="G132" s="4">
        <f t="shared" si="14"/>
        <v>2505267.0333333332</v>
      </c>
      <c r="H132" s="2">
        <f t="shared" si="18"/>
        <v>1946015.0102986766</v>
      </c>
      <c r="I132" s="2">
        <f t="shared" si="19"/>
        <v>3260566.5266666664</v>
      </c>
      <c r="J132" s="4">
        <f t="shared" si="16"/>
        <v>1885489.5699999998</v>
      </c>
      <c r="K132" s="2">
        <f t="shared" si="20"/>
        <v>1998730.5614978038</v>
      </c>
      <c r="L132" s="2">
        <f t="shared" si="21"/>
        <v>3880343.9899999998</v>
      </c>
      <c r="N132" s="4">
        <f t="shared" si="15"/>
        <v>733785.9077000001</v>
      </c>
      <c r="O132" s="2">
        <f t="shared" si="17"/>
        <v>5032047.6522999993</v>
      </c>
    </row>
    <row r="133" spans="1:15" x14ac:dyDescent="0.3">
      <c r="A133" s="50">
        <v>43962</v>
      </c>
      <c r="B133" s="2">
        <v>132</v>
      </c>
      <c r="C133" s="4">
        <v>510304.72000000003</v>
      </c>
      <c r="D133" s="4">
        <f t="shared" si="22"/>
        <v>3138069.1399999997</v>
      </c>
      <c r="E133" s="2">
        <f t="shared" ref="E133:E196" si="23">SQRT(SUMXMY2(C132:C133,D132:D133)/2)</f>
        <v>2640132.5555135156</v>
      </c>
      <c r="F133" s="2">
        <f t="shared" ref="F133:F196" si="24">ABS(D133-C133)</f>
        <v>2627764.4199999995</v>
      </c>
      <c r="G133" s="4">
        <f t="shared" ref="G133:G196" si="25">AVERAGE(C131:C133)</f>
        <v>2245695.2666666666</v>
      </c>
      <c r="H133" s="2">
        <f t="shared" si="18"/>
        <v>2133858.7953203875</v>
      </c>
      <c r="I133" s="2">
        <f t="shared" si="19"/>
        <v>1735390.5466666666</v>
      </c>
      <c r="J133" s="4">
        <f t="shared" si="16"/>
        <v>2006526.4549999998</v>
      </c>
      <c r="K133" s="2">
        <f t="shared" si="20"/>
        <v>2132584.2418302288</v>
      </c>
      <c r="L133" s="2">
        <f t="shared" si="21"/>
        <v>1496221.7349999999</v>
      </c>
      <c r="N133" s="4">
        <f t="shared" ref="N133:N196" si="26">($M$2*D132)+($M$3*C131)+($M$4*C130)</f>
        <v>2420260.2933999998</v>
      </c>
      <c r="O133" s="2">
        <f t="shared" si="17"/>
        <v>1909955.5733999999</v>
      </c>
    </row>
    <row r="134" spans="1:15" x14ac:dyDescent="0.3">
      <c r="A134" s="50">
        <v>43963</v>
      </c>
      <c r="B134" s="2">
        <v>133</v>
      </c>
      <c r="C134" s="4">
        <v>4467951.8100000005</v>
      </c>
      <c r="D134" s="4">
        <f t="shared" si="22"/>
        <v>2489128.2650000001</v>
      </c>
      <c r="E134" s="2">
        <f t="shared" si="23"/>
        <v>2326036.1636552755</v>
      </c>
      <c r="F134" s="2">
        <f t="shared" si="24"/>
        <v>1978823.5450000004</v>
      </c>
      <c r="G134" s="4">
        <f t="shared" si="25"/>
        <v>3581363.3633333333</v>
      </c>
      <c r="H134" s="2">
        <f t="shared" si="18"/>
        <v>2193088.6513501131</v>
      </c>
      <c r="I134" s="2">
        <f t="shared" si="19"/>
        <v>886588.44666666724</v>
      </c>
      <c r="J134" s="4">
        <f t="shared" ref="J134:J197" si="27">AVERAGE(C131:C134)</f>
        <v>2801259.4024999999</v>
      </c>
      <c r="K134" s="2">
        <f t="shared" si="20"/>
        <v>2240187.2903809408</v>
      </c>
      <c r="L134" s="2">
        <f t="shared" si="21"/>
        <v>1666692.4075000007</v>
      </c>
      <c r="N134" s="4">
        <f t="shared" si="26"/>
        <v>2838156.4698000001</v>
      </c>
      <c r="O134" s="2">
        <f t="shared" ref="O134:O197" si="28">ABS(N134-C134)</f>
        <v>1629795.3402000004</v>
      </c>
    </row>
    <row r="135" spans="1:15" x14ac:dyDescent="0.3">
      <c r="A135" s="50">
        <v>43964</v>
      </c>
      <c r="B135" s="2">
        <v>134</v>
      </c>
      <c r="C135" s="4">
        <v>1386231.8800000001</v>
      </c>
      <c r="D135" s="4">
        <f t="shared" si="22"/>
        <v>2927091.8450000002</v>
      </c>
      <c r="E135" s="2">
        <f t="shared" si="23"/>
        <v>1773413.6649392</v>
      </c>
      <c r="F135" s="2">
        <f t="shared" si="24"/>
        <v>1540859.9650000001</v>
      </c>
      <c r="G135" s="4">
        <f t="shared" si="25"/>
        <v>2121496.1366666667</v>
      </c>
      <c r="H135" s="2">
        <f t="shared" ref="H135:H198" si="29">SQRT(SUMXMY2(C133:C135,G133:G135)/3)</f>
        <v>1202529.6878323397</v>
      </c>
      <c r="I135" s="2">
        <f t="shared" ref="I135:I198" si="30">ABS(G135-C135)</f>
        <v>735264.2566666666</v>
      </c>
      <c r="J135" s="4">
        <f t="shared" si="27"/>
        <v>3032580.4925000002</v>
      </c>
      <c r="K135" s="2">
        <f t="shared" si="20"/>
        <v>2386633.4184429306</v>
      </c>
      <c r="L135" s="2">
        <f t="shared" si="21"/>
        <v>1646348.6125</v>
      </c>
      <c r="N135" s="4">
        <f t="shared" si="26"/>
        <v>2992332.8399499999</v>
      </c>
      <c r="O135" s="2">
        <f t="shared" si="28"/>
        <v>1606100.9599499998</v>
      </c>
    </row>
    <row r="136" spans="1:15" x14ac:dyDescent="0.3">
      <c r="A136" s="50">
        <v>43965</v>
      </c>
      <c r="B136" s="2">
        <v>135</v>
      </c>
      <c r="C136" s="4">
        <v>134305.12</v>
      </c>
      <c r="D136" s="4">
        <f t="shared" si="22"/>
        <v>760268.5</v>
      </c>
      <c r="E136" s="2">
        <f t="shared" si="23"/>
        <v>1176027.122314963</v>
      </c>
      <c r="F136" s="2">
        <f t="shared" si="24"/>
        <v>625963.38</v>
      </c>
      <c r="G136" s="4">
        <f t="shared" si="25"/>
        <v>1996162.9366666668</v>
      </c>
      <c r="H136" s="2">
        <f t="shared" si="29"/>
        <v>1264010.4338146853</v>
      </c>
      <c r="I136" s="2">
        <f t="shared" si="30"/>
        <v>1861857.8166666669</v>
      </c>
      <c r="J136" s="4">
        <f t="shared" si="27"/>
        <v>1624698.3825000001</v>
      </c>
      <c r="K136" s="2">
        <f t="shared" si="20"/>
        <v>1577044.6167032362</v>
      </c>
      <c r="L136" s="2">
        <f t="shared" si="21"/>
        <v>1490393.2625000002</v>
      </c>
      <c r="N136" s="4">
        <f t="shared" si="26"/>
        <v>2564893.2736500003</v>
      </c>
      <c r="O136" s="2">
        <f t="shared" si="28"/>
        <v>2430588.1536500002</v>
      </c>
    </row>
    <row r="137" spans="1:15" x14ac:dyDescent="0.3">
      <c r="A137" s="50">
        <v>43966</v>
      </c>
      <c r="B137" s="2">
        <v>136</v>
      </c>
      <c r="C137" s="4">
        <v>1728291.4</v>
      </c>
      <c r="D137" s="4">
        <f t="shared" si="22"/>
        <v>931298.26</v>
      </c>
      <c r="E137" s="2">
        <f t="shared" si="23"/>
        <v>716598.98768700613</v>
      </c>
      <c r="F137" s="2">
        <f t="shared" si="24"/>
        <v>796993.1399999999</v>
      </c>
      <c r="G137" s="4">
        <f t="shared" si="25"/>
        <v>1082942.8</v>
      </c>
      <c r="H137" s="2">
        <f t="shared" si="29"/>
        <v>1214304.0355331544</v>
      </c>
      <c r="I137" s="2">
        <f t="shared" si="30"/>
        <v>645348.59999999986</v>
      </c>
      <c r="J137" s="4">
        <f t="shared" si="27"/>
        <v>1929195.0525000002</v>
      </c>
      <c r="K137" s="2">
        <f t="shared" ref="K137:K200" si="31">SQRT(SUMXMY2(C134:C137,J134:J137)/4)</f>
        <v>1391937.6503270594</v>
      </c>
      <c r="L137" s="2">
        <f t="shared" ref="L137:L200" si="32">ABS(J137-C137)</f>
        <v>200903.65250000032</v>
      </c>
      <c r="N137" s="4">
        <f t="shared" si="26"/>
        <v>1644814.8000000003</v>
      </c>
      <c r="O137" s="2">
        <f t="shared" si="28"/>
        <v>83476.599999999627</v>
      </c>
    </row>
    <row r="138" spans="1:15" x14ac:dyDescent="0.3">
      <c r="A138" s="50">
        <v>43967</v>
      </c>
      <c r="B138" s="2">
        <v>137</v>
      </c>
      <c r="C138" s="4">
        <v>113737.65000000001</v>
      </c>
      <c r="D138" s="4">
        <f t="shared" si="22"/>
        <v>921014.52499999991</v>
      </c>
      <c r="E138" s="2">
        <f t="shared" si="23"/>
        <v>802151.48759970046</v>
      </c>
      <c r="F138" s="2">
        <f t="shared" si="24"/>
        <v>807276.87499999988</v>
      </c>
      <c r="G138" s="4">
        <f t="shared" si="25"/>
        <v>658778.05666666664</v>
      </c>
      <c r="H138" s="2">
        <f t="shared" si="29"/>
        <v>1180403.6583451855</v>
      </c>
      <c r="I138" s="2">
        <f t="shared" si="30"/>
        <v>545040.40666666662</v>
      </c>
      <c r="J138" s="4">
        <f t="shared" si="27"/>
        <v>840641.51249999995</v>
      </c>
      <c r="K138" s="2">
        <f t="shared" si="31"/>
        <v>1172655.8887511855</v>
      </c>
      <c r="L138" s="2">
        <f t="shared" si="32"/>
        <v>726903.86249999993</v>
      </c>
      <c r="N138" s="4">
        <f t="shared" si="26"/>
        <v>943714.41100000008</v>
      </c>
      <c r="O138" s="2">
        <f t="shared" si="28"/>
        <v>829976.76100000006</v>
      </c>
    </row>
    <row r="139" spans="1:15" x14ac:dyDescent="0.3">
      <c r="A139" s="50">
        <v>43968</v>
      </c>
      <c r="B139" s="2">
        <v>138</v>
      </c>
      <c r="C139" s="4">
        <v>582407.98</v>
      </c>
      <c r="D139" s="4">
        <f t="shared" si="22"/>
        <v>348072.815</v>
      </c>
      <c r="E139" s="2">
        <f t="shared" si="23"/>
        <v>594394.19683630101</v>
      </c>
      <c r="F139" s="2">
        <f t="shared" si="24"/>
        <v>234335.16499999998</v>
      </c>
      <c r="G139" s="4">
        <f t="shared" si="25"/>
        <v>808145.67666666664</v>
      </c>
      <c r="H139" s="2">
        <f t="shared" si="29"/>
        <v>504810.64704754966</v>
      </c>
      <c r="I139" s="2">
        <f t="shared" si="30"/>
        <v>225737.69666666666</v>
      </c>
      <c r="J139" s="4">
        <f t="shared" si="27"/>
        <v>639685.53749999998</v>
      </c>
      <c r="K139" s="2">
        <f t="shared" si="31"/>
        <v>835659.06600775593</v>
      </c>
      <c r="L139" s="2">
        <f t="shared" si="32"/>
        <v>57277.557499999995</v>
      </c>
      <c r="N139" s="4">
        <f t="shared" si="26"/>
        <v>836738.91214999987</v>
      </c>
      <c r="O139" s="2">
        <f t="shared" si="28"/>
        <v>254330.93214999989</v>
      </c>
    </row>
    <row r="140" spans="1:15" x14ac:dyDescent="0.3">
      <c r="A140" s="50">
        <v>43969</v>
      </c>
      <c r="B140" s="2">
        <v>139</v>
      </c>
      <c r="C140" s="4">
        <v>1489271.7</v>
      </c>
      <c r="D140" s="4">
        <f t="shared" si="22"/>
        <v>1035839.84</v>
      </c>
      <c r="E140" s="2">
        <f t="shared" si="23"/>
        <v>360910.94553825655</v>
      </c>
      <c r="F140" s="2">
        <f t="shared" si="24"/>
        <v>453431.86</v>
      </c>
      <c r="G140" s="4">
        <f t="shared" si="25"/>
        <v>728472.44333333336</v>
      </c>
      <c r="H140" s="2">
        <f t="shared" si="29"/>
        <v>555830.32828981476</v>
      </c>
      <c r="I140" s="2">
        <f t="shared" si="30"/>
        <v>760799.2566666666</v>
      </c>
      <c r="J140" s="4">
        <f t="shared" si="27"/>
        <v>978427.18249999988</v>
      </c>
      <c r="K140" s="2">
        <f t="shared" si="31"/>
        <v>456342.6186973537</v>
      </c>
      <c r="L140" s="2">
        <f t="shared" si="32"/>
        <v>510844.51750000007</v>
      </c>
      <c r="N140" s="4">
        <f t="shared" si="26"/>
        <v>625944.03555000003</v>
      </c>
      <c r="O140" s="2">
        <f t="shared" si="28"/>
        <v>863327.66444999992</v>
      </c>
    </row>
    <row r="141" spans="1:15" x14ac:dyDescent="0.3">
      <c r="A141" s="50">
        <v>43970</v>
      </c>
      <c r="B141" s="2">
        <v>140</v>
      </c>
      <c r="C141" s="4">
        <v>217463.35</v>
      </c>
      <c r="D141" s="4">
        <f t="shared" si="22"/>
        <v>853367.52500000002</v>
      </c>
      <c r="E141" s="2">
        <f t="shared" si="23"/>
        <v>552256.53977363196</v>
      </c>
      <c r="F141" s="2">
        <f t="shared" si="24"/>
        <v>635904.17500000005</v>
      </c>
      <c r="G141" s="4">
        <f t="shared" si="25"/>
        <v>763047.67666666664</v>
      </c>
      <c r="H141" s="2">
        <f t="shared" si="29"/>
        <v>556008.17564290203</v>
      </c>
      <c r="I141" s="2">
        <f t="shared" si="30"/>
        <v>545584.32666666666</v>
      </c>
      <c r="J141" s="4">
        <f t="shared" si="27"/>
        <v>600720.17000000004</v>
      </c>
      <c r="K141" s="2">
        <f t="shared" si="31"/>
        <v>484643.64615841839</v>
      </c>
      <c r="L141" s="2">
        <f t="shared" si="32"/>
        <v>383256.82000000007</v>
      </c>
      <c r="N141" s="4">
        <f t="shared" si="26"/>
        <v>783099.85360000015</v>
      </c>
      <c r="O141" s="2">
        <f t="shared" si="28"/>
        <v>565636.50360000017</v>
      </c>
    </row>
    <row r="142" spans="1:15" x14ac:dyDescent="0.3">
      <c r="A142" s="50">
        <v>43971</v>
      </c>
      <c r="B142" s="2">
        <v>141</v>
      </c>
      <c r="C142" s="4">
        <v>126788</v>
      </c>
      <c r="D142" s="4">
        <f t="shared" si="22"/>
        <v>172125.67499999999</v>
      </c>
      <c r="E142" s="2">
        <f t="shared" si="23"/>
        <v>450793.53619857744</v>
      </c>
      <c r="F142" s="2">
        <f t="shared" si="24"/>
        <v>45337.674999999988</v>
      </c>
      <c r="G142" s="4">
        <f t="shared" si="25"/>
        <v>611174.35</v>
      </c>
      <c r="H142" s="2">
        <f t="shared" si="29"/>
        <v>608579.74073936965</v>
      </c>
      <c r="I142" s="2">
        <f t="shared" si="30"/>
        <v>484386.35</v>
      </c>
      <c r="J142" s="4">
        <f t="shared" si="27"/>
        <v>603982.75749999995</v>
      </c>
      <c r="K142" s="2">
        <f t="shared" si="31"/>
        <v>399638.41979812511</v>
      </c>
      <c r="L142" s="2">
        <f t="shared" si="32"/>
        <v>477194.75749999995</v>
      </c>
      <c r="N142" s="4">
        <f t="shared" si="26"/>
        <v>863705.88435000007</v>
      </c>
      <c r="O142" s="2">
        <f t="shared" si="28"/>
        <v>736917.88435000007</v>
      </c>
    </row>
    <row r="143" spans="1:15" x14ac:dyDescent="0.3">
      <c r="A143" s="50">
        <v>43972</v>
      </c>
      <c r="B143" s="2">
        <v>142</v>
      </c>
      <c r="C143" s="4">
        <v>552715.9</v>
      </c>
      <c r="D143" s="4">
        <f t="shared" si="22"/>
        <v>339751.95</v>
      </c>
      <c r="E143" s="2">
        <f t="shared" si="23"/>
        <v>153962.89938489749</v>
      </c>
      <c r="F143" s="2">
        <f t="shared" si="24"/>
        <v>212963.95</v>
      </c>
      <c r="G143" s="4">
        <f t="shared" si="25"/>
        <v>298989.08333333331</v>
      </c>
      <c r="H143" s="2">
        <f t="shared" si="29"/>
        <v>445970.73561181972</v>
      </c>
      <c r="I143" s="2">
        <f t="shared" si="30"/>
        <v>253726.81666666671</v>
      </c>
      <c r="J143" s="4">
        <f t="shared" si="27"/>
        <v>596559.73750000005</v>
      </c>
      <c r="K143" s="2">
        <f t="shared" si="31"/>
        <v>399213.29819049442</v>
      </c>
      <c r="L143" s="2">
        <f t="shared" si="32"/>
        <v>43843.837500000023</v>
      </c>
      <c r="N143" s="4">
        <f t="shared" si="26"/>
        <v>466884.94474999997</v>
      </c>
      <c r="O143" s="2">
        <f t="shared" si="28"/>
        <v>85830.955250000057</v>
      </c>
    </row>
    <row r="144" spans="1:15" x14ac:dyDescent="0.3">
      <c r="A144" s="50">
        <v>43973</v>
      </c>
      <c r="B144" s="2">
        <v>143</v>
      </c>
      <c r="C144" s="4">
        <v>173199.4</v>
      </c>
      <c r="D144" s="4">
        <f t="shared" si="22"/>
        <v>362957.65</v>
      </c>
      <c r="E144" s="2">
        <f t="shared" si="23"/>
        <v>201695.11328074487</v>
      </c>
      <c r="F144" s="2">
        <f t="shared" si="24"/>
        <v>189758.25000000003</v>
      </c>
      <c r="G144" s="4">
        <f t="shared" si="25"/>
        <v>284234.43333333335</v>
      </c>
      <c r="H144" s="2">
        <f t="shared" si="29"/>
        <v>322147.07417030155</v>
      </c>
      <c r="I144" s="2">
        <f t="shared" si="30"/>
        <v>111035.03333333335</v>
      </c>
      <c r="J144" s="4">
        <f t="shared" si="27"/>
        <v>267541.66249999998</v>
      </c>
      <c r="K144" s="2">
        <f t="shared" si="31"/>
        <v>310412.37541468185</v>
      </c>
      <c r="L144" s="2">
        <f t="shared" si="32"/>
        <v>94342.262499999983</v>
      </c>
      <c r="N144" s="4">
        <f t="shared" si="26"/>
        <v>289422.42350000003</v>
      </c>
      <c r="O144" s="2">
        <f t="shared" si="28"/>
        <v>116223.02350000004</v>
      </c>
    </row>
    <row r="145" spans="1:15" x14ac:dyDescent="0.3">
      <c r="A145" s="50">
        <v>43974</v>
      </c>
      <c r="B145" s="2">
        <v>144</v>
      </c>
      <c r="C145" s="4">
        <v>639725.12</v>
      </c>
      <c r="D145" s="4">
        <f t="shared" si="22"/>
        <v>406462.26</v>
      </c>
      <c r="E145" s="2">
        <f t="shared" si="23"/>
        <v>212626.14526257361</v>
      </c>
      <c r="F145" s="2">
        <f t="shared" si="24"/>
        <v>233262.86</v>
      </c>
      <c r="G145" s="4">
        <f t="shared" si="25"/>
        <v>455213.47333333333</v>
      </c>
      <c r="H145" s="2">
        <f t="shared" si="29"/>
        <v>192137.64500029624</v>
      </c>
      <c r="I145" s="2">
        <f t="shared" si="30"/>
        <v>184511.64666666667</v>
      </c>
      <c r="J145" s="4">
        <f t="shared" si="27"/>
        <v>373107.10499999998</v>
      </c>
      <c r="K145" s="2">
        <f t="shared" si="31"/>
        <v>278218.7750172377</v>
      </c>
      <c r="L145" s="2">
        <f t="shared" si="32"/>
        <v>266618.01500000001</v>
      </c>
      <c r="N145" s="4">
        <f t="shared" si="26"/>
        <v>331873.73450000002</v>
      </c>
      <c r="O145" s="2">
        <f t="shared" si="28"/>
        <v>307851.38549999997</v>
      </c>
    </row>
    <row r="146" spans="1:15" x14ac:dyDescent="0.3">
      <c r="A146" s="50">
        <v>43975</v>
      </c>
      <c r="B146" s="2">
        <v>145</v>
      </c>
      <c r="C146" s="4">
        <v>54589.83</v>
      </c>
      <c r="D146" s="4">
        <f t="shared" si="22"/>
        <v>347157.47499999998</v>
      </c>
      <c r="E146" s="2">
        <f t="shared" si="23"/>
        <v>264582.11273272574</v>
      </c>
      <c r="F146" s="2">
        <f t="shared" si="24"/>
        <v>292567.64499999996</v>
      </c>
      <c r="G146" s="4">
        <f t="shared" si="25"/>
        <v>289171.45</v>
      </c>
      <c r="H146" s="2">
        <f t="shared" si="29"/>
        <v>183849.45183927318</v>
      </c>
      <c r="I146" s="2">
        <f t="shared" si="30"/>
        <v>234581.62</v>
      </c>
      <c r="J146" s="4">
        <f t="shared" si="27"/>
        <v>355057.5625</v>
      </c>
      <c r="K146" s="2">
        <f t="shared" si="31"/>
        <v>207478.17281377883</v>
      </c>
      <c r="L146" s="2">
        <f t="shared" si="32"/>
        <v>300467.73249999998</v>
      </c>
      <c r="N146" s="4">
        <f t="shared" si="26"/>
        <v>412979.14620000008</v>
      </c>
      <c r="O146" s="2">
        <f t="shared" si="28"/>
        <v>358389.31620000006</v>
      </c>
    </row>
    <row r="147" spans="1:15" x14ac:dyDescent="0.3">
      <c r="A147" s="50">
        <v>43976</v>
      </c>
      <c r="B147" s="2">
        <v>146</v>
      </c>
      <c r="C147" s="4">
        <v>9292.68</v>
      </c>
      <c r="D147" s="4">
        <f t="shared" si="22"/>
        <v>31941.255000000001</v>
      </c>
      <c r="E147" s="2">
        <f t="shared" si="23"/>
        <v>207495.52386783747</v>
      </c>
      <c r="F147" s="2">
        <f t="shared" si="24"/>
        <v>22648.575000000001</v>
      </c>
      <c r="G147" s="4">
        <f t="shared" si="25"/>
        <v>234535.87666666668</v>
      </c>
      <c r="H147" s="2">
        <f t="shared" si="29"/>
        <v>215876.18507073904</v>
      </c>
      <c r="I147" s="2">
        <f t="shared" si="30"/>
        <v>225243.19666666668</v>
      </c>
      <c r="J147" s="4">
        <f t="shared" si="27"/>
        <v>219201.75750000001</v>
      </c>
      <c r="K147" s="2">
        <f t="shared" si="31"/>
        <v>231478.02676860697</v>
      </c>
      <c r="L147" s="2">
        <f t="shared" si="32"/>
        <v>209909.07750000001</v>
      </c>
      <c r="N147" s="4">
        <f t="shared" si="26"/>
        <v>341069.13945000002</v>
      </c>
      <c r="O147" s="2">
        <f t="shared" si="28"/>
        <v>331776.45945000002</v>
      </c>
    </row>
    <row r="148" spans="1:15" x14ac:dyDescent="0.3">
      <c r="A148" s="50">
        <v>43977</v>
      </c>
      <c r="B148" s="2">
        <v>147</v>
      </c>
      <c r="C148" s="4">
        <v>693070.4</v>
      </c>
      <c r="D148" s="4">
        <f t="shared" si="22"/>
        <v>351181.54000000004</v>
      </c>
      <c r="E148" s="2">
        <f t="shared" si="23"/>
        <v>242281.80961602362</v>
      </c>
      <c r="F148" s="2">
        <f t="shared" si="24"/>
        <v>341888.86</v>
      </c>
      <c r="G148" s="4">
        <f t="shared" si="25"/>
        <v>252317.63666666669</v>
      </c>
      <c r="H148" s="2">
        <f t="shared" si="29"/>
        <v>316241.48603686417</v>
      </c>
      <c r="I148" s="2">
        <f t="shared" si="30"/>
        <v>440752.76333333331</v>
      </c>
      <c r="J148" s="4">
        <f t="shared" si="27"/>
        <v>349169.50750000001</v>
      </c>
      <c r="K148" s="2">
        <f t="shared" si="31"/>
        <v>284471.29419127217</v>
      </c>
      <c r="L148" s="2">
        <f t="shared" si="32"/>
        <v>343900.89250000002</v>
      </c>
      <c r="N148" s="4">
        <f t="shared" si="26"/>
        <v>168145.04855000001</v>
      </c>
      <c r="O148" s="2">
        <f t="shared" si="28"/>
        <v>524925.35144999996</v>
      </c>
    </row>
    <row r="149" spans="1:15" x14ac:dyDescent="0.3">
      <c r="A149" s="50">
        <v>43978</v>
      </c>
      <c r="B149" s="2">
        <v>148</v>
      </c>
      <c r="C149" s="4">
        <v>1148469.6600000001</v>
      </c>
      <c r="D149" s="4">
        <f t="shared" si="22"/>
        <v>920770.03</v>
      </c>
      <c r="E149" s="2">
        <f t="shared" si="23"/>
        <v>290460.93893520051</v>
      </c>
      <c r="F149" s="2">
        <f t="shared" si="24"/>
        <v>227699.63000000012</v>
      </c>
      <c r="G149" s="4">
        <f t="shared" si="25"/>
        <v>616944.2466666667</v>
      </c>
      <c r="H149" s="2">
        <f t="shared" si="29"/>
        <v>419331.51604657579</v>
      </c>
      <c r="I149" s="2">
        <f t="shared" si="30"/>
        <v>531525.41333333345</v>
      </c>
      <c r="J149" s="4">
        <f t="shared" si="27"/>
        <v>476355.64250000007</v>
      </c>
      <c r="K149" s="2">
        <f t="shared" si="31"/>
        <v>419627.14267337363</v>
      </c>
      <c r="L149" s="2">
        <f t="shared" si="32"/>
        <v>672114.01750000007</v>
      </c>
      <c r="N149" s="4">
        <f t="shared" si="26"/>
        <v>248323.58920000002</v>
      </c>
      <c r="O149" s="2">
        <f t="shared" si="28"/>
        <v>900146.0708000001</v>
      </c>
    </row>
    <row r="150" spans="1:15" x14ac:dyDescent="0.3">
      <c r="A150" s="50">
        <v>43979</v>
      </c>
      <c r="B150" s="2">
        <v>149</v>
      </c>
      <c r="C150" s="4">
        <v>359039.89</v>
      </c>
      <c r="D150" s="4">
        <f t="shared" si="22"/>
        <v>753754.77500000014</v>
      </c>
      <c r="E150" s="2">
        <f t="shared" si="23"/>
        <v>322216.51256779215</v>
      </c>
      <c r="F150" s="2">
        <f t="shared" si="24"/>
        <v>394714.88500000013</v>
      </c>
      <c r="G150" s="4">
        <f t="shared" si="25"/>
        <v>733526.65</v>
      </c>
      <c r="H150" s="2">
        <f t="shared" si="29"/>
        <v>453513.17394332215</v>
      </c>
      <c r="I150" s="2">
        <f t="shared" si="30"/>
        <v>374486.76</v>
      </c>
      <c r="J150" s="4">
        <f t="shared" si="27"/>
        <v>552468.15750000009</v>
      </c>
      <c r="K150" s="2">
        <f t="shared" si="31"/>
        <v>403571.98610261577</v>
      </c>
      <c r="L150" s="2">
        <f t="shared" si="32"/>
        <v>193428.26750000007</v>
      </c>
      <c r="N150" s="4">
        <f t="shared" si="26"/>
        <v>695198.05370000016</v>
      </c>
      <c r="O150" s="2">
        <f t="shared" si="28"/>
        <v>336158.16370000015</v>
      </c>
    </row>
    <row r="151" spans="1:15" x14ac:dyDescent="0.3">
      <c r="A151" s="50">
        <v>43980</v>
      </c>
      <c r="B151" s="2">
        <v>150</v>
      </c>
      <c r="C151" s="4">
        <v>68696.789999999994</v>
      </c>
      <c r="D151" s="4">
        <f t="shared" si="22"/>
        <v>213868.34</v>
      </c>
      <c r="E151" s="2">
        <f t="shared" si="23"/>
        <v>297384.11135261232</v>
      </c>
      <c r="F151" s="2">
        <f t="shared" si="24"/>
        <v>145171.54999999999</v>
      </c>
      <c r="G151" s="4">
        <f t="shared" si="25"/>
        <v>525402.1133333334</v>
      </c>
      <c r="H151" s="2">
        <f t="shared" si="29"/>
        <v>458744.42804807745</v>
      </c>
      <c r="I151" s="2">
        <f t="shared" si="30"/>
        <v>456705.32333333342</v>
      </c>
      <c r="J151" s="4">
        <f t="shared" si="27"/>
        <v>567319.18500000006</v>
      </c>
      <c r="K151" s="2">
        <f t="shared" si="31"/>
        <v>462613.19259341131</v>
      </c>
      <c r="L151" s="2">
        <f t="shared" si="32"/>
        <v>498622.39500000008</v>
      </c>
      <c r="N151" s="4">
        <f t="shared" si="26"/>
        <v>783822.84985000012</v>
      </c>
      <c r="O151" s="2">
        <f t="shared" si="28"/>
        <v>715126.05985000008</v>
      </c>
    </row>
    <row r="152" spans="1:15" x14ac:dyDescent="0.3">
      <c r="A152" s="50">
        <v>43981</v>
      </c>
      <c r="B152" s="2">
        <v>151</v>
      </c>
      <c r="C152" s="4">
        <v>1142873.55</v>
      </c>
      <c r="D152" s="4">
        <f t="shared" si="22"/>
        <v>605785.17000000004</v>
      </c>
      <c r="E152" s="2">
        <f t="shared" si="23"/>
        <v>393407.36321301037</v>
      </c>
      <c r="F152" s="2">
        <f t="shared" si="24"/>
        <v>537088.38</v>
      </c>
      <c r="G152" s="4">
        <f t="shared" si="25"/>
        <v>523536.74333333335</v>
      </c>
      <c r="H152" s="2">
        <f t="shared" si="29"/>
        <v>494097.88701847539</v>
      </c>
      <c r="I152" s="2">
        <f t="shared" si="30"/>
        <v>619336.80666666664</v>
      </c>
      <c r="J152" s="4">
        <f t="shared" si="27"/>
        <v>679769.97250000015</v>
      </c>
      <c r="K152" s="2">
        <f t="shared" si="31"/>
        <v>487914.17367116845</v>
      </c>
      <c r="L152" s="2">
        <f t="shared" si="32"/>
        <v>463103.5774999999</v>
      </c>
      <c r="N152" s="4">
        <f t="shared" si="26"/>
        <v>435449.50090000004</v>
      </c>
      <c r="O152" s="2">
        <f t="shared" si="28"/>
        <v>707424.04909999995</v>
      </c>
    </row>
    <row r="153" spans="1:15" x14ac:dyDescent="0.3">
      <c r="A153" s="50">
        <v>43982</v>
      </c>
      <c r="B153" s="2">
        <v>152</v>
      </c>
      <c r="C153" s="4">
        <v>45875.61</v>
      </c>
      <c r="D153" s="4">
        <f t="shared" si="22"/>
        <v>594374.58000000007</v>
      </c>
      <c r="E153" s="2">
        <f t="shared" si="23"/>
        <v>542823.65830078069</v>
      </c>
      <c r="F153" s="2">
        <f t="shared" si="24"/>
        <v>548498.97000000009</v>
      </c>
      <c r="G153" s="4">
        <f t="shared" si="25"/>
        <v>419148.65000000008</v>
      </c>
      <c r="H153" s="2">
        <f t="shared" si="29"/>
        <v>493791.65473031584</v>
      </c>
      <c r="I153" s="2">
        <f t="shared" si="30"/>
        <v>373273.0400000001</v>
      </c>
      <c r="J153" s="4">
        <f t="shared" si="27"/>
        <v>404121.46</v>
      </c>
      <c r="K153" s="2">
        <f t="shared" si="31"/>
        <v>396498.3606520677</v>
      </c>
      <c r="L153" s="2">
        <f t="shared" si="32"/>
        <v>358245.85000000003</v>
      </c>
      <c r="N153" s="4">
        <f t="shared" si="26"/>
        <v>492421.48660000006</v>
      </c>
      <c r="O153" s="2">
        <f t="shared" si="28"/>
        <v>446545.87660000008</v>
      </c>
    </row>
    <row r="154" spans="1:15" x14ac:dyDescent="0.3">
      <c r="A154" s="50">
        <v>43983</v>
      </c>
      <c r="B154" s="2">
        <v>153</v>
      </c>
      <c r="C154" s="4">
        <v>11466.57</v>
      </c>
      <c r="D154" s="4">
        <f t="shared" si="22"/>
        <v>28671.09</v>
      </c>
      <c r="E154" s="2">
        <f t="shared" si="23"/>
        <v>388038.08807866491</v>
      </c>
      <c r="F154" s="2">
        <f t="shared" si="24"/>
        <v>17204.52</v>
      </c>
      <c r="G154" s="4">
        <f t="shared" si="25"/>
        <v>400071.91000000009</v>
      </c>
      <c r="H154" s="2">
        <f t="shared" si="29"/>
        <v>473963.7654080817</v>
      </c>
      <c r="I154" s="2">
        <f t="shared" si="30"/>
        <v>388605.34000000008</v>
      </c>
      <c r="J154" s="4">
        <f t="shared" si="27"/>
        <v>317228.13000000006</v>
      </c>
      <c r="K154" s="2">
        <f t="shared" si="31"/>
        <v>413799.29824272619</v>
      </c>
      <c r="L154" s="2">
        <f t="shared" si="32"/>
        <v>305761.56000000006</v>
      </c>
      <c r="N154" s="4">
        <f t="shared" si="26"/>
        <v>539060.35290000006</v>
      </c>
      <c r="O154" s="2">
        <f t="shared" si="28"/>
        <v>527593.78290000011</v>
      </c>
    </row>
    <row r="155" spans="1:15" x14ac:dyDescent="0.3">
      <c r="A155" s="50">
        <v>43984</v>
      </c>
      <c r="B155" s="2">
        <v>154</v>
      </c>
      <c r="C155" s="4">
        <v>66261.66</v>
      </c>
      <c r="D155" s="4">
        <f t="shared" si="22"/>
        <v>38864.115000000005</v>
      </c>
      <c r="E155" s="2">
        <f t="shared" si="23"/>
        <v>22875.98063971712</v>
      </c>
      <c r="F155" s="2">
        <f t="shared" si="24"/>
        <v>27397.544999999998</v>
      </c>
      <c r="G155" s="4">
        <f t="shared" si="25"/>
        <v>41201.279999999999</v>
      </c>
      <c r="H155" s="2">
        <f t="shared" si="29"/>
        <v>311434.79537622945</v>
      </c>
      <c r="I155" s="2">
        <f t="shared" si="30"/>
        <v>25060.380000000005</v>
      </c>
      <c r="J155" s="4">
        <f t="shared" si="27"/>
        <v>316619.34750000003</v>
      </c>
      <c r="K155" s="2">
        <f t="shared" si="31"/>
        <v>353190.49951814325</v>
      </c>
      <c r="L155" s="2">
        <f t="shared" si="32"/>
        <v>250357.68750000003</v>
      </c>
      <c r="N155" s="4">
        <f t="shared" si="26"/>
        <v>275688.12839999999</v>
      </c>
      <c r="O155" s="2">
        <f t="shared" si="28"/>
        <v>209426.46839999998</v>
      </c>
    </row>
    <row r="156" spans="1:15" x14ac:dyDescent="0.3">
      <c r="A156" s="50">
        <v>43985</v>
      </c>
      <c r="B156" s="2">
        <v>155</v>
      </c>
      <c r="C156" s="4">
        <v>3995586.33</v>
      </c>
      <c r="D156" s="4">
        <f t="shared" si="22"/>
        <v>2030923.9950000001</v>
      </c>
      <c r="E156" s="2">
        <f t="shared" si="23"/>
        <v>1389361.1330463507</v>
      </c>
      <c r="F156" s="2">
        <f t="shared" si="24"/>
        <v>1964662.335</v>
      </c>
      <c r="G156" s="4">
        <f t="shared" si="25"/>
        <v>1357771.52</v>
      </c>
      <c r="H156" s="2">
        <f t="shared" si="29"/>
        <v>1539448.9387199127</v>
      </c>
      <c r="I156" s="2">
        <f t="shared" si="30"/>
        <v>2637814.81</v>
      </c>
      <c r="J156" s="4">
        <f t="shared" si="27"/>
        <v>1029797.5425</v>
      </c>
      <c r="K156" s="2">
        <f t="shared" si="31"/>
        <v>1506686.1256053734</v>
      </c>
      <c r="L156" s="2">
        <f t="shared" si="32"/>
        <v>2965788.7875000001</v>
      </c>
      <c r="N156" s="4">
        <f t="shared" si="26"/>
        <v>37392.913950000002</v>
      </c>
      <c r="O156" s="2">
        <f t="shared" si="28"/>
        <v>3958193.4160500001</v>
      </c>
    </row>
    <row r="157" spans="1:15" x14ac:dyDescent="0.3">
      <c r="A157" s="50">
        <v>43986</v>
      </c>
      <c r="B157" s="2">
        <v>156</v>
      </c>
      <c r="C157" s="4">
        <v>2170482.9300000002</v>
      </c>
      <c r="D157" s="4">
        <f t="shared" si="22"/>
        <v>3083034.63</v>
      </c>
      <c r="E157" s="2">
        <f t="shared" si="23"/>
        <v>1531771.6369845313</v>
      </c>
      <c r="F157" s="2">
        <f t="shared" si="24"/>
        <v>912551.69999999972</v>
      </c>
      <c r="G157" s="4">
        <f t="shared" si="25"/>
        <v>2077443.64</v>
      </c>
      <c r="H157" s="2">
        <f t="shared" si="29"/>
        <v>1523958.8034660236</v>
      </c>
      <c r="I157" s="2">
        <f t="shared" si="30"/>
        <v>93039.29000000027</v>
      </c>
      <c r="J157" s="4">
        <f t="shared" si="27"/>
        <v>1560949.3725000001</v>
      </c>
      <c r="K157" s="2">
        <f t="shared" si="31"/>
        <v>1526728.8063899321</v>
      </c>
      <c r="L157" s="2">
        <f t="shared" si="32"/>
        <v>609533.55750000011</v>
      </c>
      <c r="N157" s="4">
        <f t="shared" si="26"/>
        <v>1370530.5046500002</v>
      </c>
      <c r="O157" s="2">
        <f t="shared" si="28"/>
        <v>799952.42534999992</v>
      </c>
    </row>
    <row r="158" spans="1:15" x14ac:dyDescent="0.3">
      <c r="A158" s="50">
        <v>43987</v>
      </c>
      <c r="B158" s="2">
        <v>157</v>
      </c>
      <c r="C158" s="4">
        <v>1087520.7</v>
      </c>
      <c r="D158" s="4">
        <f t="shared" si="22"/>
        <v>1629001.8149999999</v>
      </c>
      <c r="E158" s="2">
        <f t="shared" si="23"/>
        <v>750317.4005294469</v>
      </c>
      <c r="F158" s="2">
        <f t="shared" si="24"/>
        <v>541481.11499999999</v>
      </c>
      <c r="G158" s="4">
        <f t="shared" si="25"/>
        <v>2417863.3199999998</v>
      </c>
      <c r="H158" s="2">
        <f t="shared" si="29"/>
        <v>1706510.5496233637</v>
      </c>
      <c r="I158" s="2">
        <f t="shared" si="30"/>
        <v>1330342.6199999999</v>
      </c>
      <c r="J158" s="4">
        <f t="shared" si="27"/>
        <v>1829962.905</v>
      </c>
      <c r="K158" s="2">
        <f t="shared" si="31"/>
        <v>1563756.1901743936</v>
      </c>
      <c r="L158" s="2">
        <f t="shared" si="32"/>
        <v>742442.20500000007</v>
      </c>
      <c r="N158" s="4">
        <f t="shared" si="26"/>
        <v>2519725.2636000002</v>
      </c>
      <c r="O158" s="2">
        <f t="shared" si="28"/>
        <v>1432204.5636000002</v>
      </c>
    </row>
    <row r="159" spans="1:15" x14ac:dyDescent="0.3">
      <c r="A159" s="50">
        <v>43988</v>
      </c>
      <c r="B159" s="2">
        <v>158</v>
      </c>
      <c r="C159" s="4">
        <v>451558.25</v>
      </c>
      <c r="D159" s="4">
        <f t="shared" si="22"/>
        <v>769539.47499999998</v>
      </c>
      <c r="E159" s="2">
        <f t="shared" si="23"/>
        <v>444023.56770454417</v>
      </c>
      <c r="F159" s="2">
        <f t="shared" si="24"/>
        <v>317981.22499999998</v>
      </c>
      <c r="G159" s="4">
        <f t="shared" si="25"/>
        <v>1236520.6266666667</v>
      </c>
      <c r="H159" s="2">
        <f t="shared" si="29"/>
        <v>893426.68582903326</v>
      </c>
      <c r="I159" s="2">
        <f t="shared" si="30"/>
        <v>784962.37666666671</v>
      </c>
      <c r="J159" s="4">
        <f t="shared" si="27"/>
        <v>1926287.0525</v>
      </c>
      <c r="K159" s="2">
        <f t="shared" si="31"/>
        <v>1724346.2354228394</v>
      </c>
      <c r="L159" s="2">
        <f t="shared" si="32"/>
        <v>1474728.8025</v>
      </c>
      <c r="N159" s="4">
        <f t="shared" si="26"/>
        <v>2209213.3309499999</v>
      </c>
      <c r="O159" s="2">
        <f t="shared" si="28"/>
        <v>1757655.0809499999</v>
      </c>
    </row>
    <row r="160" spans="1:15" x14ac:dyDescent="0.3">
      <c r="A160" s="50">
        <v>43989</v>
      </c>
      <c r="B160" s="2">
        <v>159</v>
      </c>
      <c r="C160" s="4">
        <v>4321033.82</v>
      </c>
      <c r="D160" s="4">
        <f t="shared" si="22"/>
        <v>2386296.0350000001</v>
      </c>
      <c r="E160" s="2">
        <f t="shared" si="23"/>
        <v>1386420.2746929242</v>
      </c>
      <c r="F160" s="2">
        <f t="shared" si="24"/>
        <v>1934737.7850000001</v>
      </c>
      <c r="G160" s="4">
        <f t="shared" si="25"/>
        <v>1953370.9233333336</v>
      </c>
      <c r="H160" s="2">
        <f t="shared" si="29"/>
        <v>1632156.5500509478</v>
      </c>
      <c r="I160" s="2">
        <f t="shared" si="30"/>
        <v>2367662.8966666665</v>
      </c>
      <c r="J160" s="4">
        <f t="shared" si="27"/>
        <v>2007648.925</v>
      </c>
      <c r="K160" s="2">
        <f t="shared" si="31"/>
        <v>1453386.2441571679</v>
      </c>
      <c r="L160" s="2">
        <f t="shared" si="32"/>
        <v>2313384.8950000005</v>
      </c>
      <c r="N160" s="4">
        <f t="shared" si="26"/>
        <v>1112724.96985</v>
      </c>
      <c r="O160" s="2">
        <f t="shared" si="28"/>
        <v>3208308.8501500003</v>
      </c>
    </row>
    <row r="161" spans="1:15" x14ac:dyDescent="0.3">
      <c r="A161" s="50">
        <v>43990</v>
      </c>
      <c r="B161" s="2">
        <v>160</v>
      </c>
      <c r="C161" s="4">
        <v>5268940.1100000003</v>
      </c>
      <c r="D161" s="4">
        <f t="shared" si="22"/>
        <v>4794986.9649999999</v>
      </c>
      <c r="E161" s="2">
        <f t="shared" si="23"/>
        <v>1408517.2843032666</v>
      </c>
      <c r="F161" s="2">
        <f t="shared" si="24"/>
        <v>473953.14500000048</v>
      </c>
      <c r="G161" s="4">
        <f t="shared" si="25"/>
        <v>3347177.3933333331</v>
      </c>
      <c r="H161" s="2">
        <f t="shared" si="29"/>
        <v>1817981.0655600184</v>
      </c>
      <c r="I161" s="2">
        <f t="shared" si="30"/>
        <v>1921762.7166666673</v>
      </c>
      <c r="J161" s="4">
        <f t="shared" si="27"/>
        <v>2782263.22</v>
      </c>
      <c r="K161" s="2">
        <f t="shared" si="31"/>
        <v>1888210.6010958219</v>
      </c>
      <c r="L161" s="2">
        <f t="shared" si="32"/>
        <v>2486676.89</v>
      </c>
      <c r="N161" s="4">
        <f t="shared" si="26"/>
        <v>1887744.3049500003</v>
      </c>
      <c r="O161" s="2">
        <f t="shared" si="28"/>
        <v>3381195.8050500001</v>
      </c>
    </row>
    <row r="162" spans="1:15" x14ac:dyDescent="0.3">
      <c r="A162" s="50">
        <v>43991</v>
      </c>
      <c r="B162" s="2">
        <v>161</v>
      </c>
      <c r="C162" s="4">
        <v>670746.30000000005</v>
      </c>
      <c r="D162" s="4">
        <f t="shared" si="22"/>
        <v>2969843.2050000001</v>
      </c>
      <c r="E162" s="2">
        <f t="shared" si="23"/>
        <v>1659891.2859335053</v>
      </c>
      <c r="F162" s="2">
        <f t="shared" si="24"/>
        <v>2299096.9050000003</v>
      </c>
      <c r="G162" s="4">
        <f t="shared" si="25"/>
        <v>3420240.0766666667</v>
      </c>
      <c r="H162" s="2">
        <f t="shared" si="29"/>
        <v>2370563.6150748883</v>
      </c>
      <c r="I162" s="2">
        <f t="shared" si="30"/>
        <v>2749493.7766666664</v>
      </c>
      <c r="J162" s="4">
        <f t="shared" si="27"/>
        <v>2678069.62</v>
      </c>
      <c r="K162" s="2">
        <f t="shared" si="31"/>
        <v>2105913.3160942988</v>
      </c>
      <c r="L162" s="2">
        <f t="shared" si="32"/>
        <v>2007323.32</v>
      </c>
      <c r="N162" s="4">
        <f t="shared" si="26"/>
        <v>3787297.8017500001</v>
      </c>
      <c r="O162" s="2">
        <f t="shared" si="28"/>
        <v>3116551.5017499998</v>
      </c>
    </row>
    <row r="163" spans="1:15" x14ac:dyDescent="0.3">
      <c r="A163" s="50">
        <v>43992</v>
      </c>
      <c r="B163" s="2">
        <v>162</v>
      </c>
      <c r="C163" s="4">
        <v>1224006.7</v>
      </c>
      <c r="D163" s="4">
        <f t="shared" si="22"/>
        <v>947376.5</v>
      </c>
      <c r="E163" s="2">
        <f t="shared" si="23"/>
        <v>1637432.5705403292</v>
      </c>
      <c r="F163" s="2">
        <f t="shared" si="24"/>
        <v>276630.19999999995</v>
      </c>
      <c r="G163" s="4">
        <f t="shared" si="25"/>
        <v>2387897.7033333336</v>
      </c>
      <c r="H163" s="2">
        <f t="shared" si="29"/>
        <v>2050002.4581073921</v>
      </c>
      <c r="I163" s="2">
        <f t="shared" si="30"/>
        <v>1163891.0033333336</v>
      </c>
      <c r="J163" s="4">
        <f t="shared" si="27"/>
        <v>2871181.7324999999</v>
      </c>
      <c r="K163" s="2">
        <f t="shared" si="31"/>
        <v>2137629.7695333865</v>
      </c>
      <c r="L163" s="2">
        <f t="shared" si="32"/>
        <v>1647175.0325</v>
      </c>
      <c r="N163" s="4">
        <f t="shared" si="26"/>
        <v>3520005.7998500005</v>
      </c>
      <c r="O163" s="2">
        <f t="shared" si="28"/>
        <v>2295999.0998500008</v>
      </c>
    </row>
    <row r="164" spans="1:15" x14ac:dyDescent="0.3">
      <c r="A164" s="50">
        <v>43993</v>
      </c>
      <c r="B164" s="2">
        <v>163</v>
      </c>
      <c r="C164" s="4">
        <v>3597456.03</v>
      </c>
      <c r="D164" s="4">
        <f t="shared" si="22"/>
        <v>2410731.3649999998</v>
      </c>
      <c r="E164" s="2">
        <f t="shared" si="23"/>
        <v>861637.88741889782</v>
      </c>
      <c r="F164" s="2">
        <f t="shared" si="24"/>
        <v>1186724.665</v>
      </c>
      <c r="G164" s="4">
        <f t="shared" si="25"/>
        <v>1830736.343333333</v>
      </c>
      <c r="H164" s="2">
        <f t="shared" si="29"/>
        <v>2002969.1915441074</v>
      </c>
      <c r="I164" s="2">
        <f t="shared" si="30"/>
        <v>1766719.6866666668</v>
      </c>
      <c r="J164" s="4">
        <f t="shared" si="27"/>
        <v>2690287.2850000001</v>
      </c>
      <c r="K164" s="2">
        <f t="shared" si="31"/>
        <v>1853985.5437591837</v>
      </c>
      <c r="L164" s="2">
        <f t="shared" si="32"/>
        <v>907168.74499999965</v>
      </c>
      <c r="N164" s="4">
        <f t="shared" si="26"/>
        <v>1867691.1722000001</v>
      </c>
      <c r="O164" s="2">
        <f t="shared" si="28"/>
        <v>1729764.8577999996</v>
      </c>
    </row>
    <row r="165" spans="1:15" x14ac:dyDescent="0.3">
      <c r="A165" s="50">
        <v>43994</v>
      </c>
      <c r="B165" s="2">
        <v>164</v>
      </c>
      <c r="C165" s="4">
        <v>2931096.21</v>
      </c>
      <c r="D165" s="4">
        <f t="shared" si="22"/>
        <v>3264276.12</v>
      </c>
      <c r="E165" s="2">
        <f t="shared" si="23"/>
        <v>871585.99201311474</v>
      </c>
      <c r="F165" s="2">
        <f t="shared" si="24"/>
        <v>333179.91000000015</v>
      </c>
      <c r="G165" s="4">
        <f t="shared" si="25"/>
        <v>2584186.313333333</v>
      </c>
      <c r="H165" s="2">
        <f t="shared" si="29"/>
        <v>1237778.5471428395</v>
      </c>
      <c r="I165" s="2">
        <f t="shared" si="30"/>
        <v>346909.89666666696</v>
      </c>
      <c r="J165" s="4">
        <f t="shared" si="27"/>
        <v>2105826.3099999996</v>
      </c>
      <c r="K165" s="2">
        <f t="shared" si="31"/>
        <v>1435841.0460822328</v>
      </c>
      <c r="L165" s="2">
        <f t="shared" si="32"/>
        <v>825269.90000000037</v>
      </c>
      <c r="N165" s="4">
        <f t="shared" si="26"/>
        <v>1897394.9375499999</v>
      </c>
      <c r="O165" s="2">
        <f t="shared" si="28"/>
        <v>1033701.27245</v>
      </c>
    </row>
    <row r="166" spans="1:15" x14ac:dyDescent="0.3">
      <c r="A166" s="50">
        <v>43995</v>
      </c>
      <c r="B166" s="2">
        <v>165</v>
      </c>
      <c r="C166" s="4">
        <v>1949553.69</v>
      </c>
      <c r="D166" s="4">
        <f t="shared" si="22"/>
        <v>2440324.9500000002</v>
      </c>
      <c r="E166" s="2">
        <f t="shared" si="23"/>
        <v>419443.25126862869</v>
      </c>
      <c r="F166" s="2">
        <f t="shared" si="24"/>
        <v>490771.26000000024</v>
      </c>
      <c r="G166" s="4">
        <f t="shared" si="25"/>
        <v>2826035.31</v>
      </c>
      <c r="H166" s="2">
        <f t="shared" si="29"/>
        <v>1156123.545569225</v>
      </c>
      <c r="I166" s="2">
        <f t="shared" si="30"/>
        <v>876481.62000000011</v>
      </c>
      <c r="J166" s="4">
        <f t="shared" si="27"/>
        <v>2425528.1574999997</v>
      </c>
      <c r="K166" s="2">
        <f t="shared" si="31"/>
        <v>1054011.719711191</v>
      </c>
      <c r="L166" s="2">
        <f t="shared" si="32"/>
        <v>475974.4674999998</v>
      </c>
      <c r="N166" s="4">
        <f t="shared" si="26"/>
        <v>2852066.6377000003</v>
      </c>
      <c r="O166" s="2">
        <f t="shared" si="28"/>
        <v>902512.94770000037</v>
      </c>
    </row>
    <row r="167" spans="1:15" x14ac:dyDescent="0.3">
      <c r="A167" s="50">
        <v>43996</v>
      </c>
      <c r="B167" s="2">
        <v>166</v>
      </c>
      <c r="C167" s="4">
        <v>1057065.44</v>
      </c>
      <c r="D167" s="4">
        <f t="shared" si="22"/>
        <v>1503309.5649999999</v>
      </c>
      <c r="E167" s="2">
        <f t="shared" si="23"/>
        <v>469036.37851397169</v>
      </c>
      <c r="F167" s="2">
        <f t="shared" si="24"/>
        <v>446244.125</v>
      </c>
      <c r="G167" s="4">
        <f t="shared" si="25"/>
        <v>1979238.4466666665</v>
      </c>
      <c r="H167" s="2">
        <f t="shared" si="29"/>
        <v>761351.77170340519</v>
      </c>
      <c r="I167" s="2">
        <f t="shared" si="30"/>
        <v>922173.0066666666</v>
      </c>
      <c r="J167" s="4">
        <f t="shared" si="27"/>
        <v>2383792.8424999998</v>
      </c>
      <c r="K167" s="2">
        <f t="shared" si="31"/>
        <v>934181.83909868298</v>
      </c>
      <c r="L167" s="2">
        <f t="shared" si="32"/>
        <v>1326727.4024999999</v>
      </c>
      <c r="N167" s="4">
        <f t="shared" si="26"/>
        <v>2748878.6262000003</v>
      </c>
      <c r="O167" s="2">
        <f t="shared" si="28"/>
        <v>1691813.1862000003</v>
      </c>
    </row>
    <row r="168" spans="1:15" x14ac:dyDescent="0.3">
      <c r="A168" s="50">
        <v>43997</v>
      </c>
      <c r="B168" s="2">
        <v>167</v>
      </c>
      <c r="C168" s="4">
        <v>3154049.64</v>
      </c>
      <c r="D168" s="4">
        <f t="shared" si="22"/>
        <v>2105557.54</v>
      </c>
      <c r="E168" s="2">
        <f t="shared" si="23"/>
        <v>805751.04804754234</v>
      </c>
      <c r="F168" s="2">
        <f t="shared" si="24"/>
        <v>1048492.1000000001</v>
      </c>
      <c r="G168" s="4">
        <f t="shared" si="25"/>
        <v>2053556.2566666666</v>
      </c>
      <c r="H168" s="2">
        <f t="shared" si="29"/>
        <v>971203.50960083061</v>
      </c>
      <c r="I168" s="2">
        <f t="shared" si="30"/>
        <v>1100493.3833333335</v>
      </c>
      <c r="J168" s="4">
        <f t="shared" si="27"/>
        <v>2272941.2450000001</v>
      </c>
      <c r="K168" s="2">
        <f t="shared" si="31"/>
        <v>927925.06511056586</v>
      </c>
      <c r="L168" s="2">
        <f t="shared" si="32"/>
        <v>881108.39500000002</v>
      </c>
      <c r="N168" s="4">
        <f t="shared" si="26"/>
        <v>1866509.4806499998</v>
      </c>
      <c r="O168" s="2">
        <f t="shared" si="28"/>
        <v>1287540.1593500003</v>
      </c>
    </row>
    <row r="169" spans="1:15" x14ac:dyDescent="0.3">
      <c r="A169" s="50">
        <v>43998</v>
      </c>
      <c r="B169" s="2">
        <v>168</v>
      </c>
      <c r="C169" s="4">
        <v>1201720.08</v>
      </c>
      <c r="D169" s="4">
        <f t="shared" si="22"/>
        <v>2177884.8600000003</v>
      </c>
      <c r="E169" s="2">
        <f t="shared" si="23"/>
        <v>1012974.1757505122</v>
      </c>
      <c r="F169" s="2">
        <f t="shared" si="24"/>
        <v>976164.78000000026</v>
      </c>
      <c r="G169" s="4">
        <f t="shared" si="25"/>
        <v>1804278.3866666667</v>
      </c>
      <c r="H169" s="2">
        <f t="shared" si="29"/>
        <v>898993.00218227273</v>
      </c>
      <c r="I169" s="2">
        <f t="shared" si="30"/>
        <v>602558.30666666664</v>
      </c>
      <c r="J169" s="4">
        <f t="shared" si="27"/>
        <v>1840597.2124999999</v>
      </c>
      <c r="K169" s="2">
        <f t="shared" si="31"/>
        <v>890403.46029583737</v>
      </c>
      <c r="L169" s="2">
        <f t="shared" si="32"/>
        <v>638877.13249999983</v>
      </c>
      <c r="N169" s="4">
        <f t="shared" si="26"/>
        <v>1955902.5620000002</v>
      </c>
      <c r="O169" s="2">
        <f t="shared" si="28"/>
        <v>754182.48200000008</v>
      </c>
    </row>
    <row r="170" spans="1:15" x14ac:dyDescent="0.3">
      <c r="A170" s="50">
        <v>43999</v>
      </c>
      <c r="B170" s="2">
        <v>169</v>
      </c>
      <c r="C170" s="4">
        <v>847466.4</v>
      </c>
      <c r="D170" s="4">
        <f t="shared" si="22"/>
        <v>1024593.24</v>
      </c>
      <c r="E170" s="2">
        <f t="shared" si="23"/>
        <v>701523.91091139382</v>
      </c>
      <c r="F170" s="2">
        <f t="shared" si="24"/>
        <v>177126.83999999997</v>
      </c>
      <c r="G170" s="4">
        <f t="shared" si="25"/>
        <v>1734412.0400000003</v>
      </c>
      <c r="H170" s="2">
        <f t="shared" si="29"/>
        <v>887099.16168908984</v>
      </c>
      <c r="I170" s="2">
        <f t="shared" si="30"/>
        <v>886945.64000000025</v>
      </c>
      <c r="J170" s="4">
        <f t="shared" si="27"/>
        <v>1565075.3900000001</v>
      </c>
      <c r="K170" s="2">
        <f t="shared" si="31"/>
        <v>930011.32482945011</v>
      </c>
      <c r="L170" s="2">
        <f t="shared" si="32"/>
        <v>717608.99000000011</v>
      </c>
      <c r="N170" s="4">
        <f t="shared" si="26"/>
        <v>2038682.7134000002</v>
      </c>
      <c r="O170" s="2">
        <f t="shared" si="28"/>
        <v>1191216.3134000003</v>
      </c>
    </row>
    <row r="171" spans="1:15" x14ac:dyDescent="0.3">
      <c r="A171" s="50">
        <v>44000</v>
      </c>
      <c r="B171" s="2">
        <v>170</v>
      </c>
      <c r="C171" s="4">
        <v>1239136.8</v>
      </c>
      <c r="D171" s="4">
        <f t="shared" si="22"/>
        <v>1043301.6000000001</v>
      </c>
      <c r="E171" s="2">
        <f t="shared" si="23"/>
        <v>186715.48276378363</v>
      </c>
      <c r="F171" s="2">
        <f t="shared" si="24"/>
        <v>195835.19999999995</v>
      </c>
      <c r="G171" s="4">
        <f t="shared" si="25"/>
        <v>1096107.76</v>
      </c>
      <c r="H171" s="2">
        <f t="shared" si="29"/>
        <v>624554.8781682658</v>
      </c>
      <c r="I171" s="2">
        <f t="shared" si="30"/>
        <v>143029.04000000004</v>
      </c>
      <c r="J171" s="4">
        <f t="shared" si="27"/>
        <v>1610593.2300000002</v>
      </c>
      <c r="K171" s="2">
        <f t="shared" si="31"/>
        <v>677764.43844599568</v>
      </c>
      <c r="L171" s="2">
        <f t="shared" si="32"/>
        <v>371456.43000000017</v>
      </c>
      <c r="N171" s="4">
        <f t="shared" si="26"/>
        <v>1512557.6004000001</v>
      </c>
      <c r="O171" s="2">
        <f t="shared" si="28"/>
        <v>273420.80040000007</v>
      </c>
    </row>
    <row r="172" spans="1:15" x14ac:dyDescent="0.3">
      <c r="A172" s="50">
        <v>44001</v>
      </c>
      <c r="B172" s="2">
        <v>171</v>
      </c>
      <c r="C172" s="4">
        <v>1315849.9200000002</v>
      </c>
      <c r="D172" s="4">
        <f t="shared" si="22"/>
        <v>1277493.3600000001</v>
      </c>
      <c r="E172" s="2">
        <f t="shared" si="23"/>
        <v>141107.49670742796</v>
      </c>
      <c r="F172" s="2">
        <f t="shared" si="24"/>
        <v>38356.560000000056</v>
      </c>
      <c r="G172" s="4">
        <f t="shared" si="25"/>
        <v>1134151.04</v>
      </c>
      <c r="H172" s="2">
        <f t="shared" si="29"/>
        <v>529195.72862712655</v>
      </c>
      <c r="I172" s="2">
        <f t="shared" si="30"/>
        <v>181698.88000000012</v>
      </c>
      <c r="J172" s="4">
        <f t="shared" si="27"/>
        <v>1151043.3</v>
      </c>
      <c r="K172" s="2">
        <f t="shared" si="31"/>
        <v>521600.36290833139</v>
      </c>
      <c r="L172" s="2">
        <f t="shared" si="32"/>
        <v>164806.62000000011</v>
      </c>
      <c r="N172" s="4">
        <f t="shared" si="26"/>
        <v>1056611.7936000002</v>
      </c>
      <c r="O172" s="2">
        <f t="shared" si="28"/>
        <v>259238.12639999995</v>
      </c>
    </row>
    <row r="173" spans="1:15" x14ac:dyDescent="0.3">
      <c r="A173" s="50">
        <v>44002</v>
      </c>
      <c r="B173" s="2">
        <v>172</v>
      </c>
      <c r="C173" s="4">
        <v>2358324.83</v>
      </c>
      <c r="D173" s="4">
        <f t="shared" si="22"/>
        <v>1837087.375</v>
      </c>
      <c r="E173" s="2">
        <f t="shared" si="23"/>
        <v>369567.11852511356</v>
      </c>
      <c r="F173" s="2">
        <f t="shared" si="24"/>
        <v>521237.45500000007</v>
      </c>
      <c r="G173" s="4">
        <f t="shared" si="25"/>
        <v>1637770.5166666668</v>
      </c>
      <c r="H173" s="2">
        <f t="shared" si="29"/>
        <v>436909.71902665327</v>
      </c>
      <c r="I173" s="2">
        <f t="shared" si="30"/>
        <v>720554.31333333324</v>
      </c>
      <c r="J173" s="4">
        <f t="shared" si="27"/>
        <v>1440194.4875</v>
      </c>
      <c r="K173" s="2">
        <f t="shared" si="31"/>
        <v>617063.02144354698</v>
      </c>
      <c r="L173" s="2">
        <f t="shared" si="32"/>
        <v>918130.34250000003</v>
      </c>
      <c r="N173" s="4">
        <f t="shared" si="26"/>
        <v>1178668.2072000001</v>
      </c>
      <c r="O173" s="2">
        <f t="shared" si="28"/>
        <v>1179656.6228</v>
      </c>
    </row>
    <row r="174" spans="1:15" x14ac:dyDescent="0.3">
      <c r="A174" s="50">
        <v>44003</v>
      </c>
      <c r="B174" s="2">
        <v>173</v>
      </c>
      <c r="C174" s="4">
        <v>3741201.45</v>
      </c>
      <c r="D174" s="4">
        <f t="shared" si="22"/>
        <v>3049763.14</v>
      </c>
      <c r="E174" s="2">
        <f t="shared" si="23"/>
        <v>612280.74485097651</v>
      </c>
      <c r="F174" s="2">
        <f t="shared" si="24"/>
        <v>691438.31</v>
      </c>
      <c r="G174" s="4">
        <f t="shared" si="25"/>
        <v>2471792.0666666669</v>
      </c>
      <c r="H174" s="2">
        <f t="shared" si="29"/>
        <v>849237.53723585082</v>
      </c>
      <c r="I174" s="2">
        <f t="shared" si="30"/>
        <v>1269409.3833333333</v>
      </c>
      <c r="J174" s="4">
        <f t="shared" si="27"/>
        <v>2163628.25</v>
      </c>
      <c r="K174" s="2">
        <f t="shared" si="31"/>
        <v>934992.1962991961</v>
      </c>
      <c r="L174" s="2">
        <f t="shared" si="32"/>
        <v>1577573.2000000002</v>
      </c>
      <c r="N174" s="4">
        <f t="shared" si="26"/>
        <v>1648202.1284500002</v>
      </c>
      <c r="O174" s="2">
        <f t="shared" si="28"/>
        <v>2092999.32155</v>
      </c>
    </row>
    <row r="175" spans="1:15" x14ac:dyDescent="0.3">
      <c r="A175" s="50">
        <v>44004</v>
      </c>
      <c r="B175" s="2">
        <v>174</v>
      </c>
      <c r="C175" s="4">
        <v>188632.84</v>
      </c>
      <c r="D175" s="4">
        <f t="shared" si="22"/>
        <v>1964917.145</v>
      </c>
      <c r="E175" s="2">
        <f t="shared" si="23"/>
        <v>1347826.5594513617</v>
      </c>
      <c r="F175" s="2">
        <f t="shared" si="24"/>
        <v>1776284.3049999999</v>
      </c>
      <c r="G175" s="4">
        <f t="shared" si="25"/>
        <v>2096053.04</v>
      </c>
      <c r="H175" s="2">
        <f t="shared" si="29"/>
        <v>1386704.7895792415</v>
      </c>
      <c r="I175" s="2">
        <f t="shared" si="30"/>
        <v>1907420.2</v>
      </c>
      <c r="J175" s="4">
        <f t="shared" si="27"/>
        <v>1901002.26</v>
      </c>
      <c r="K175" s="2">
        <f t="shared" si="31"/>
        <v>1254100.3528151533</v>
      </c>
      <c r="L175" s="2">
        <f t="shared" si="32"/>
        <v>1712369.42</v>
      </c>
      <c r="N175" s="4">
        <f t="shared" si="26"/>
        <v>2592244.0175000001</v>
      </c>
      <c r="O175" s="2">
        <f t="shared" si="28"/>
        <v>2403611.1775000002</v>
      </c>
    </row>
    <row r="176" spans="1:15" x14ac:dyDescent="0.3">
      <c r="A176" s="50">
        <v>44005</v>
      </c>
      <c r="B176" s="2">
        <v>175</v>
      </c>
      <c r="C176" s="4">
        <v>795995.52</v>
      </c>
      <c r="D176" s="4">
        <f t="shared" si="22"/>
        <v>492314.18</v>
      </c>
      <c r="E176" s="2">
        <f t="shared" si="23"/>
        <v>1274246.5005746591</v>
      </c>
      <c r="F176" s="2">
        <f t="shared" si="24"/>
        <v>303681.34000000003</v>
      </c>
      <c r="G176" s="4">
        <f t="shared" si="25"/>
        <v>1575276.6033333335</v>
      </c>
      <c r="H176" s="2">
        <f t="shared" si="29"/>
        <v>1397250.9925688521</v>
      </c>
      <c r="I176" s="2">
        <f t="shared" si="30"/>
        <v>779281.08333333349</v>
      </c>
      <c r="J176" s="4">
        <f t="shared" si="27"/>
        <v>1771038.6600000001</v>
      </c>
      <c r="K176" s="2">
        <f t="shared" si="31"/>
        <v>1343002.1111850126</v>
      </c>
      <c r="L176" s="2">
        <f t="shared" si="32"/>
        <v>975043.14000000013</v>
      </c>
      <c r="N176" s="4">
        <f t="shared" si="26"/>
        <v>2246858.1092500002</v>
      </c>
      <c r="O176" s="2">
        <f t="shared" si="28"/>
        <v>1450862.5892500002</v>
      </c>
    </row>
    <row r="177" spans="1:15" x14ac:dyDescent="0.3">
      <c r="A177" s="50">
        <v>44006</v>
      </c>
      <c r="B177" s="2">
        <v>176</v>
      </c>
      <c r="C177" s="4">
        <v>1043448.38</v>
      </c>
      <c r="D177" s="4">
        <f t="shared" si="22"/>
        <v>919721.95</v>
      </c>
      <c r="E177" s="2">
        <f t="shared" si="23"/>
        <v>231873.44149852579</v>
      </c>
      <c r="F177" s="2">
        <f t="shared" si="24"/>
        <v>123726.43000000005</v>
      </c>
      <c r="G177" s="4">
        <f t="shared" si="25"/>
        <v>676025.58</v>
      </c>
      <c r="H177" s="2">
        <f t="shared" si="29"/>
        <v>1208377.747253048</v>
      </c>
      <c r="I177" s="2">
        <f t="shared" si="30"/>
        <v>367422.80000000005</v>
      </c>
      <c r="J177" s="4">
        <f t="shared" si="27"/>
        <v>1442319.5475000001</v>
      </c>
      <c r="K177" s="2">
        <f t="shared" si="31"/>
        <v>1277766.9549876114</v>
      </c>
      <c r="L177" s="2">
        <f t="shared" si="32"/>
        <v>398871.1675000001</v>
      </c>
      <c r="N177" s="4">
        <f t="shared" si="26"/>
        <v>1173664.432</v>
      </c>
      <c r="O177" s="2">
        <f t="shared" si="28"/>
        <v>130216.05200000003</v>
      </c>
    </row>
    <row r="178" spans="1:15" x14ac:dyDescent="0.3">
      <c r="A178" s="50">
        <v>44007</v>
      </c>
      <c r="B178" s="2">
        <v>177</v>
      </c>
      <c r="C178" s="4">
        <v>595672.32000000007</v>
      </c>
      <c r="D178" s="4">
        <f t="shared" si="22"/>
        <v>819560.35000000009</v>
      </c>
      <c r="E178" s="2">
        <f t="shared" si="23"/>
        <v>180878.52202213759</v>
      </c>
      <c r="F178" s="2">
        <f t="shared" si="24"/>
        <v>223888.03000000003</v>
      </c>
      <c r="G178" s="4">
        <f t="shared" si="25"/>
        <v>811705.40666666662</v>
      </c>
      <c r="H178" s="2">
        <f t="shared" si="29"/>
        <v>512818.62139088428</v>
      </c>
      <c r="I178" s="2">
        <f t="shared" si="30"/>
        <v>216033.08666666655</v>
      </c>
      <c r="J178" s="4">
        <f t="shared" si="27"/>
        <v>655937.26500000001</v>
      </c>
      <c r="K178" s="2">
        <f t="shared" si="31"/>
        <v>1005689.8412620641</v>
      </c>
      <c r="L178" s="2">
        <f t="shared" si="32"/>
        <v>60264.944999999949</v>
      </c>
      <c r="N178" s="4">
        <f t="shared" si="26"/>
        <v>745272.43849999993</v>
      </c>
      <c r="O178" s="2">
        <f t="shared" si="28"/>
        <v>149600.11849999987</v>
      </c>
    </row>
    <row r="179" spans="1:15" x14ac:dyDescent="0.3">
      <c r="A179" s="50">
        <v>44008</v>
      </c>
      <c r="B179" s="2">
        <v>178</v>
      </c>
      <c r="C179" s="4">
        <v>2499995.19</v>
      </c>
      <c r="D179" s="4">
        <f t="shared" si="22"/>
        <v>1547833.7549999999</v>
      </c>
      <c r="E179" s="2">
        <f t="shared" si="23"/>
        <v>691641.97684876679</v>
      </c>
      <c r="F179" s="2">
        <f t="shared" si="24"/>
        <v>952161.43500000006</v>
      </c>
      <c r="G179" s="4">
        <f t="shared" si="25"/>
        <v>1379705.2966666666</v>
      </c>
      <c r="H179" s="2">
        <f t="shared" si="29"/>
        <v>692030.648068754</v>
      </c>
      <c r="I179" s="2">
        <f t="shared" si="30"/>
        <v>1120289.8933333333</v>
      </c>
      <c r="J179" s="4">
        <f t="shared" si="27"/>
        <v>1233777.8525</v>
      </c>
      <c r="K179" s="2">
        <f t="shared" si="31"/>
        <v>824127.65129337134</v>
      </c>
      <c r="L179" s="2">
        <f t="shared" si="32"/>
        <v>1266217.3374999999</v>
      </c>
      <c r="N179" s="4">
        <f t="shared" si="26"/>
        <v>839003.77070000011</v>
      </c>
      <c r="O179" s="2">
        <f t="shared" si="28"/>
        <v>1660991.4192999997</v>
      </c>
    </row>
    <row r="180" spans="1:15" x14ac:dyDescent="0.3">
      <c r="A180" s="50">
        <v>44009</v>
      </c>
      <c r="B180" s="2">
        <v>179</v>
      </c>
      <c r="C180" s="4">
        <v>5710460.4900000002</v>
      </c>
      <c r="D180" s="4">
        <f t="shared" si="22"/>
        <v>4105227.84</v>
      </c>
      <c r="E180" s="2">
        <f t="shared" si="23"/>
        <v>1319731.6505500812</v>
      </c>
      <c r="F180" s="2">
        <f t="shared" si="24"/>
        <v>1605232.6500000004</v>
      </c>
      <c r="G180" s="4">
        <f t="shared" si="25"/>
        <v>2935376</v>
      </c>
      <c r="H180" s="2">
        <f t="shared" si="29"/>
        <v>1732321.5315752923</v>
      </c>
      <c r="I180" s="2">
        <f t="shared" si="30"/>
        <v>2775084.49</v>
      </c>
      <c r="J180" s="4">
        <f t="shared" si="27"/>
        <v>2462394.0950000002</v>
      </c>
      <c r="K180" s="2">
        <f t="shared" si="31"/>
        <v>1754705.9386099819</v>
      </c>
      <c r="L180" s="2">
        <f t="shared" si="32"/>
        <v>3248066.395</v>
      </c>
      <c r="N180" s="4">
        <f t="shared" si="26"/>
        <v>1332131.21465</v>
      </c>
      <c r="O180" s="2">
        <f t="shared" si="28"/>
        <v>4378329.2753500007</v>
      </c>
    </row>
    <row r="181" spans="1:15" x14ac:dyDescent="0.3">
      <c r="A181" s="50">
        <v>44010</v>
      </c>
      <c r="B181" s="2">
        <v>180</v>
      </c>
      <c r="C181" s="4">
        <v>138506.55000000002</v>
      </c>
      <c r="D181" s="4">
        <f t="shared" si="22"/>
        <v>2924483.52</v>
      </c>
      <c r="E181" s="2">
        <f t="shared" si="23"/>
        <v>2273591.8211055836</v>
      </c>
      <c r="F181" s="2">
        <f t="shared" si="24"/>
        <v>2785976.97</v>
      </c>
      <c r="G181" s="4">
        <f t="shared" si="25"/>
        <v>2782987.4099999997</v>
      </c>
      <c r="H181" s="2">
        <f t="shared" si="29"/>
        <v>2305748.0630408367</v>
      </c>
      <c r="I181" s="2">
        <f t="shared" si="30"/>
        <v>2644480.86</v>
      </c>
      <c r="J181" s="4">
        <f t="shared" si="27"/>
        <v>2236158.6375000002</v>
      </c>
      <c r="K181" s="2">
        <f t="shared" si="31"/>
        <v>2034515.7775194843</v>
      </c>
      <c r="L181" s="2">
        <f t="shared" si="32"/>
        <v>2097652.0875000004</v>
      </c>
      <c r="N181" s="4">
        <f t="shared" si="26"/>
        <v>3156550.0341000003</v>
      </c>
      <c r="O181" s="2">
        <f t="shared" si="28"/>
        <v>3018043.4841000005</v>
      </c>
    </row>
    <row r="182" spans="1:15" x14ac:dyDescent="0.3">
      <c r="A182" s="50">
        <v>44011</v>
      </c>
      <c r="B182" s="2">
        <v>181</v>
      </c>
      <c r="C182" s="4">
        <v>1551800.7999999998</v>
      </c>
      <c r="D182" s="4">
        <f t="shared" si="22"/>
        <v>845153.67499999993</v>
      </c>
      <c r="E182" s="2">
        <f t="shared" si="23"/>
        <v>2032365.3506002738</v>
      </c>
      <c r="F182" s="2">
        <f t="shared" si="24"/>
        <v>706647.12499999988</v>
      </c>
      <c r="G182" s="4">
        <f t="shared" si="25"/>
        <v>2466922.6133333333</v>
      </c>
      <c r="H182" s="2">
        <f t="shared" si="29"/>
        <v>2275362.3065923215</v>
      </c>
      <c r="I182" s="2">
        <f t="shared" si="30"/>
        <v>915121.81333333347</v>
      </c>
      <c r="J182" s="4">
        <f t="shared" si="27"/>
        <v>2475190.7574999998</v>
      </c>
      <c r="K182" s="2">
        <f t="shared" si="31"/>
        <v>2086027.0219917363</v>
      </c>
      <c r="L182" s="2">
        <f t="shared" si="32"/>
        <v>923389.95750000002</v>
      </c>
      <c r="N182" s="4">
        <f t="shared" si="26"/>
        <v>3137553.5541000003</v>
      </c>
      <c r="O182" s="2">
        <f t="shared" si="28"/>
        <v>1585752.7541000005</v>
      </c>
    </row>
    <row r="183" spans="1:15" x14ac:dyDescent="0.3">
      <c r="A183" s="50">
        <v>44012</v>
      </c>
      <c r="B183" s="2">
        <v>182</v>
      </c>
      <c r="C183" s="4">
        <v>647921.12</v>
      </c>
      <c r="D183" s="4">
        <f t="shared" si="22"/>
        <v>1099860.96</v>
      </c>
      <c r="E183" s="2">
        <f t="shared" si="23"/>
        <v>593127.21158702159</v>
      </c>
      <c r="F183" s="2">
        <f t="shared" si="24"/>
        <v>451939.83999999997</v>
      </c>
      <c r="G183" s="4">
        <f t="shared" si="25"/>
        <v>779409.48999999987</v>
      </c>
      <c r="H183" s="2">
        <f t="shared" si="29"/>
        <v>1617406.9930591665</v>
      </c>
      <c r="I183" s="2">
        <f t="shared" si="30"/>
        <v>131488.36999999988</v>
      </c>
      <c r="J183" s="4">
        <f t="shared" si="27"/>
        <v>2012172.24</v>
      </c>
      <c r="K183" s="2">
        <f t="shared" si="31"/>
        <v>2101422.7155997502</v>
      </c>
      <c r="L183" s="2">
        <f t="shared" si="32"/>
        <v>1364251.12</v>
      </c>
      <c r="N183" s="4">
        <f t="shared" si="26"/>
        <v>1837789.9905500002</v>
      </c>
      <c r="O183" s="2">
        <f t="shared" si="28"/>
        <v>1189868.8705500001</v>
      </c>
    </row>
    <row r="184" spans="1:15" x14ac:dyDescent="0.3">
      <c r="A184" s="50">
        <v>44013</v>
      </c>
      <c r="B184" s="2">
        <v>183</v>
      </c>
      <c r="C184" s="4">
        <v>1726234.4</v>
      </c>
      <c r="D184" s="4">
        <f t="shared" si="22"/>
        <v>1187077.76</v>
      </c>
      <c r="E184" s="2">
        <f t="shared" si="23"/>
        <v>497463.3159516966</v>
      </c>
      <c r="F184" s="2">
        <f t="shared" si="24"/>
        <v>539156.6399999999</v>
      </c>
      <c r="G184" s="4">
        <f t="shared" si="25"/>
        <v>1308652.1066666667</v>
      </c>
      <c r="H184" s="2">
        <f t="shared" si="29"/>
        <v>585693.91789832548</v>
      </c>
      <c r="I184" s="2">
        <f t="shared" si="30"/>
        <v>417582.29333333322</v>
      </c>
      <c r="J184" s="4">
        <f t="shared" si="27"/>
        <v>1016115.7174999999</v>
      </c>
      <c r="K184" s="2">
        <f t="shared" si="31"/>
        <v>1380058.2374905192</v>
      </c>
      <c r="L184" s="2">
        <f t="shared" si="32"/>
        <v>710118.6825</v>
      </c>
      <c r="N184" s="4">
        <f t="shared" si="26"/>
        <v>938076.37219999998</v>
      </c>
      <c r="O184" s="2">
        <f t="shared" si="28"/>
        <v>788158.02779999992</v>
      </c>
    </row>
    <row r="185" spans="1:15" x14ac:dyDescent="0.3">
      <c r="A185" s="50">
        <v>44014</v>
      </c>
      <c r="B185" s="2">
        <v>184</v>
      </c>
      <c r="C185" s="4">
        <v>4865673.87</v>
      </c>
      <c r="D185" s="4">
        <f t="shared" si="22"/>
        <v>3295954.1349999998</v>
      </c>
      <c r="E185" s="2">
        <f t="shared" si="23"/>
        <v>1173607.6705834367</v>
      </c>
      <c r="F185" s="2">
        <f t="shared" si="24"/>
        <v>1569719.7350000003</v>
      </c>
      <c r="G185" s="4">
        <f t="shared" si="25"/>
        <v>2413276.4633333334</v>
      </c>
      <c r="H185" s="2">
        <f t="shared" si="29"/>
        <v>1438276.4225947871</v>
      </c>
      <c r="I185" s="2">
        <f t="shared" si="30"/>
        <v>2452397.4066666667</v>
      </c>
      <c r="J185" s="4">
        <f t="shared" si="27"/>
        <v>2197907.5474999999</v>
      </c>
      <c r="K185" s="2">
        <f t="shared" si="31"/>
        <v>1607410.6372310265</v>
      </c>
      <c r="L185" s="2">
        <f t="shared" si="32"/>
        <v>2667766.3225000002</v>
      </c>
      <c r="N185" s="4">
        <f t="shared" si="26"/>
        <v>1208009.5984</v>
      </c>
      <c r="O185" s="2">
        <f t="shared" si="28"/>
        <v>3657664.2716000001</v>
      </c>
    </row>
    <row r="186" spans="1:15" x14ac:dyDescent="0.3">
      <c r="A186" s="50">
        <v>44015</v>
      </c>
      <c r="B186" s="2">
        <v>185</v>
      </c>
      <c r="C186" s="4">
        <v>1287442.1700000002</v>
      </c>
      <c r="D186" s="4">
        <f t="shared" si="22"/>
        <v>3076558.02</v>
      </c>
      <c r="E186" s="2">
        <f t="shared" si="23"/>
        <v>1682996.6683225629</v>
      </c>
      <c r="F186" s="2">
        <f t="shared" si="24"/>
        <v>1789115.8499999999</v>
      </c>
      <c r="G186" s="4">
        <f t="shared" si="25"/>
        <v>2626450.1466666665</v>
      </c>
      <c r="H186" s="2">
        <f t="shared" si="29"/>
        <v>1631111.1114317011</v>
      </c>
      <c r="I186" s="2">
        <f t="shared" si="30"/>
        <v>1339007.9766666663</v>
      </c>
      <c r="J186" s="4">
        <f t="shared" si="27"/>
        <v>2131817.89</v>
      </c>
      <c r="K186" s="2">
        <f t="shared" si="31"/>
        <v>1596511.601089034</v>
      </c>
      <c r="L186" s="2">
        <f t="shared" si="32"/>
        <v>844375.72</v>
      </c>
      <c r="N186" s="4">
        <f t="shared" si="26"/>
        <v>2540717.7008500001</v>
      </c>
      <c r="O186" s="2">
        <f t="shared" si="28"/>
        <v>1253275.53085</v>
      </c>
    </row>
    <row r="187" spans="1:15" x14ac:dyDescent="0.3">
      <c r="A187" s="50">
        <v>44016</v>
      </c>
      <c r="B187" s="2">
        <v>186</v>
      </c>
      <c r="C187" s="4">
        <v>184580.5</v>
      </c>
      <c r="D187" s="4">
        <f t="shared" si="22"/>
        <v>736011.33500000008</v>
      </c>
      <c r="E187" s="2">
        <f t="shared" si="23"/>
        <v>1323822.3994384632</v>
      </c>
      <c r="F187" s="2">
        <f t="shared" si="24"/>
        <v>551430.83500000008</v>
      </c>
      <c r="G187" s="4">
        <f t="shared" si="25"/>
        <v>2112565.5133333332</v>
      </c>
      <c r="H187" s="2">
        <f t="shared" si="29"/>
        <v>1959959.320448623</v>
      </c>
      <c r="I187" s="2">
        <f t="shared" si="30"/>
        <v>1927985.0133333332</v>
      </c>
      <c r="J187" s="4">
        <f t="shared" si="27"/>
        <v>2015982.7349999999</v>
      </c>
      <c r="K187" s="2">
        <f t="shared" si="31"/>
        <v>1709404.1503978239</v>
      </c>
      <c r="L187" s="2">
        <f t="shared" si="32"/>
        <v>1831402.2349999999</v>
      </c>
      <c r="N187" s="4">
        <f t="shared" si="26"/>
        <v>2976289.5671000001</v>
      </c>
      <c r="O187" s="2">
        <f t="shared" si="28"/>
        <v>2791709.0671000001</v>
      </c>
    </row>
    <row r="188" spans="1:15" x14ac:dyDescent="0.3">
      <c r="A188" s="50">
        <v>44017</v>
      </c>
      <c r="B188" s="2">
        <v>187</v>
      </c>
      <c r="C188" s="4">
        <v>69466.8</v>
      </c>
      <c r="D188" s="4">
        <f t="shared" si="22"/>
        <v>127023.65</v>
      </c>
      <c r="E188" s="2">
        <f t="shared" si="23"/>
        <v>392038.74602564465</v>
      </c>
      <c r="F188" s="2">
        <f t="shared" si="24"/>
        <v>57556.849999999991</v>
      </c>
      <c r="G188" s="4">
        <f t="shared" si="25"/>
        <v>513829.82333333342</v>
      </c>
      <c r="H188" s="2">
        <f t="shared" si="29"/>
        <v>1379314.6933315389</v>
      </c>
      <c r="I188" s="2">
        <f t="shared" si="30"/>
        <v>444363.02333333343</v>
      </c>
      <c r="J188" s="4">
        <f t="shared" si="27"/>
        <v>1601790.835</v>
      </c>
      <c r="K188" s="2">
        <f t="shared" si="31"/>
        <v>1839293.2475948725</v>
      </c>
      <c r="L188" s="2">
        <f t="shared" si="32"/>
        <v>1532324.0349999999</v>
      </c>
      <c r="N188" s="4">
        <f t="shared" si="26"/>
        <v>1705194.4845500002</v>
      </c>
      <c r="O188" s="2">
        <f t="shared" si="28"/>
        <v>1635727.6845500001</v>
      </c>
    </row>
    <row r="189" spans="1:15" x14ac:dyDescent="0.3">
      <c r="A189" s="50">
        <v>44018</v>
      </c>
      <c r="B189" s="2">
        <v>188</v>
      </c>
      <c r="C189" s="4">
        <v>788991.18</v>
      </c>
      <c r="D189" s="4">
        <f t="shared" si="22"/>
        <v>429228.99000000005</v>
      </c>
      <c r="E189" s="2">
        <f t="shared" si="23"/>
        <v>257625.33293090432</v>
      </c>
      <c r="F189" s="2">
        <f t="shared" si="24"/>
        <v>359762.19</v>
      </c>
      <c r="G189" s="4">
        <f t="shared" si="25"/>
        <v>347679.49333333335</v>
      </c>
      <c r="H189" s="2">
        <f t="shared" si="29"/>
        <v>1170376.1094811149</v>
      </c>
      <c r="I189" s="2">
        <f t="shared" si="30"/>
        <v>441311.6866666667</v>
      </c>
      <c r="J189" s="4">
        <f t="shared" si="27"/>
        <v>582620.16250000009</v>
      </c>
      <c r="K189" s="2">
        <f t="shared" si="31"/>
        <v>1270591.4418088116</v>
      </c>
      <c r="L189" s="2">
        <f t="shared" si="32"/>
        <v>206371.01749999996</v>
      </c>
      <c r="N189" s="4">
        <f t="shared" si="26"/>
        <v>388646.9779</v>
      </c>
      <c r="O189" s="2">
        <f t="shared" si="28"/>
        <v>400344.20210000005</v>
      </c>
    </row>
    <row r="190" spans="1:15" x14ac:dyDescent="0.3">
      <c r="A190" s="50">
        <v>44019</v>
      </c>
      <c r="B190" s="2">
        <v>189</v>
      </c>
      <c r="C190" s="4">
        <v>517541.19999999995</v>
      </c>
      <c r="D190" s="4">
        <f t="shared" si="22"/>
        <v>653266.18999999994</v>
      </c>
      <c r="E190" s="2">
        <f t="shared" si="23"/>
        <v>271891.62019460637</v>
      </c>
      <c r="F190" s="2">
        <f t="shared" si="24"/>
        <v>135724.99</v>
      </c>
      <c r="G190" s="4">
        <f t="shared" si="25"/>
        <v>458666.39333333337</v>
      </c>
      <c r="H190" s="2">
        <f t="shared" si="29"/>
        <v>363171.5591629555</v>
      </c>
      <c r="I190" s="2">
        <f t="shared" si="30"/>
        <v>58874.806666666584</v>
      </c>
      <c r="J190" s="4">
        <f t="shared" si="27"/>
        <v>390144.92</v>
      </c>
      <c r="K190" s="2">
        <f t="shared" si="31"/>
        <v>1200090.6115397599</v>
      </c>
      <c r="L190" s="2">
        <f t="shared" si="32"/>
        <v>127396.27999999997</v>
      </c>
      <c r="N190" s="4">
        <f t="shared" si="26"/>
        <v>335832.48130000004</v>
      </c>
      <c r="O190" s="2">
        <f t="shared" si="28"/>
        <v>181708.71869999991</v>
      </c>
    </row>
    <row r="191" spans="1:15" x14ac:dyDescent="0.3">
      <c r="A191" s="50">
        <v>44020</v>
      </c>
      <c r="B191" s="2">
        <v>190</v>
      </c>
      <c r="C191" s="4">
        <v>1327339.2</v>
      </c>
      <c r="D191" s="4">
        <f t="shared" si="22"/>
        <v>922440.2</v>
      </c>
      <c r="E191" s="2">
        <f t="shared" si="23"/>
        <v>301963.96565774211</v>
      </c>
      <c r="F191" s="2">
        <f t="shared" si="24"/>
        <v>404899</v>
      </c>
      <c r="G191" s="4">
        <f t="shared" si="25"/>
        <v>877957.19333333336</v>
      </c>
      <c r="H191" s="2">
        <f t="shared" si="29"/>
        <v>365224.33086363762</v>
      </c>
      <c r="I191" s="2">
        <f t="shared" si="30"/>
        <v>449382.0066666666</v>
      </c>
      <c r="J191" s="4">
        <f t="shared" si="27"/>
        <v>675834.59499999997</v>
      </c>
      <c r="K191" s="2">
        <f t="shared" si="31"/>
        <v>841322.47200415237</v>
      </c>
      <c r="L191" s="2">
        <f t="shared" si="32"/>
        <v>651504.60499999998</v>
      </c>
      <c r="N191" s="4">
        <f t="shared" si="26"/>
        <v>539760.07309999992</v>
      </c>
      <c r="O191" s="2">
        <f t="shared" si="28"/>
        <v>787579.12690000003</v>
      </c>
    </row>
    <row r="192" spans="1:15" x14ac:dyDescent="0.3">
      <c r="A192" s="50">
        <v>44021</v>
      </c>
      <c r="B192" s="2">
        <v>191</v>
      </c>
      <c r="C192" s="4">
        <v>30770.34</v>
      </c>
      <c r="D192" s="4">
        <f t="shared" si="22"/>
        <v>679054.77</v>
      </c>
      <c r="E192" s="2">
        <f t="shared" si="23"/>
        <v>540470.12053462537</v>
      </c>
      <c r="F192" s="2">
        <f t="shared" si="24"/>
        <v>648284.43000000005</v>
      </c>
      <c r="G192" s="4">
        <f t="shared" si="25"/>
        <v>625216.91333333333</v>
      </c>
      <c r="H192" s="2">
        <f t="shared" si="29"/>
        <v>431577.40106248204</v>
      </c>
      <c r="I192" s="2">
        <f t="shared" si="30"/>
        <v>594446.57333333336</v>
      </c>
      <c r="J192" s="4">
        <f t="shared" si="27"/>
        <v>666160.48</v>
      </c>
      <c r="K192" s="2">
        <f t="shared" si="31"/>
        <v>470902.77376738004</v>
      </c>
      <c r="L192" s="2">
        <f t="shared" si="32"/>
        <v>635390.14</v>
      </c>
      <c r="N192" s="4">
        <f t="shared" si="26"/>
        <v>848542.52560000005</v>
      </c>
      <c r="O192" s="2">
        <f t="shared" si="28"/>
        <v>817772.18560000008</v>
      </c>
    </row>
    <row r="193" spans="1:15" x14ac:dyDescent="0.3">
      <c r="A193" s="50">
        <v>44022</v>
      </c>
      <c r="B193" s="2">
        <v>192</v>
      </c>
      <c r="C193" s="4">
        <v>155368.73000000001</v>
      </c>
      <c r="D193" s="4">
        <f t="shared" si="22"/>
        <v>93069.535000000003</v>
      </c>
      <c r="E193" s="2">
        <f t="shared" si="23"/>
        <v>460518.12769861351</v>
      </c>
      <c r="F193" s="2">
        <f t="shared" si="24"/>
        <v>62299.195000000007</v>
      </c>
      <c r="G193" s="4">
        <f t="shared" si="25"/>
        <v>504492.75666666665</v>
      </c>
      <c r="H193" s="2">
        <f t="shared" si="29"/>
        <v>475113.49607556907</v>
      </c>
      <c r="I193" s="2">
        <f t="shared" si="30"/>
        <v>349124.02666666661</v>
      </c>
      <c r="J193" s="4">
        <f t="shared" si="27"/>
        <v>507754.86749999999</v>
      </c>
      <c r="K193" s="2">
        <f t="shared" si="31"/>
        <v>492083.49962314137</v>
      </c>
      <c r="L193" s="2">
        <f t="shared" si="32"/>
        <v>352386.13749999995</v>
      </c>
      <c r="N193" s="4">
        <f t="shared" si="26"/>
        <v>714833.0719000001</v>
      </c>
      <c r="O193" s="2">
        <f t="shared" si="28"/>
        <v>559464.34190000012</v>
      </c>
    </row>
    <row r="194" spans="1:15" x14ac:dyDescent="0.3">
      <c r="A194" s="50">
        <v>44023</v>
      </c>
      <c r="B194" s="2">
        <v>193</v>
      </c>
      <c r="C194" s="4">
        <v>689264.44000000006</v>
      </c>
      <c r="D194" s="4">
        <f t="shared" si="22"/>
        <v>422316.58500000002</v>
      </c>
      <c r="E194" s="2">
        <f t="shared" si="23"/>
        <v>193832.84936608278</v>
      </c>
      <c r="F194" s="2">
        <f t="shared" si="24"/>
        <v>266947.85500000004</v>
      </c>
      <c r="G194" s="4">
        <f t="shared" si="25"/>
        <v>291801.17</v>
      </c>
      <c r="H194" s="2">
        <f t="shared" si="29"/>
        <v>459431.30264229287</v>
      </c>
      <c r="I194" s="2">
        <f t="shared" si="30"/>
        <v>397463.27000000008</v>
      </c>
      <c r="J194" s="4">
        <f t="shared" si="27"/>
        <v>550685.67749999999</v>
      </c>
      <c r="K194" s="2">
        <f t="shared" si="31"/>
        <v>492838.44809014892</v>
      </c>
      <c r="L194" s="2">
        <f t="shared" si="32"/>
        <v>138578.76250000007</v>
      </c>
      <c r="N194" s="4">
        <f t="shared" si="26"/>
        <v>357755.94985000003</v>
      </c>
      <c r="O194" s="2">
        <f t="shared" si="28"/>
        <v>331508.49015000003</v>
      </c>
    </row>
    <row r="195" spans="1:15" x14ac:dyDescent="0.3">
      <c r="A195" s="50">
        <v>44024</v>
      </c>
      <c r="B195" s="2">
        <v>194</v>
      </c>
      <c r="C195" s="4">
        <v>3661161.42</v>
      </c>
      <c r="D195" s="4">
        <f t="shared" si="22"/>
        <v>2175212.9300000002</v>
      </c>
      <c r="E195" s="2">
        <f t="shared" si="23"/>
        <v>1067544.8637463392</v>
      </c>
      <c r="F195" s="2">
        <f t="shared" si="24"/>
        <v>1485948.4899999998</v>
      </c>
      <c r="G195" s="4">
        <f t="shared" si="25"/>
        <v>1501931.53</v>
      </c>
      <c r="H195" s="2">
        <f t="shared" si="29"/>
        <v>1283502.8054591403</v>
      </c>
      <c r="I195" s="2">
        <f t="shared" si="30"/>
        <v>2159229.8899999997</v>
      </c>
      <c r="J195" s="4">
        <f t="shared" si="27"/>
        <v>1134141.2324999999</v>
      </c>
      <c r="K195" s="2">
        <f t="shared" si="31"/>
        <v>1316523.0458825964</v>
      </c>
      <c r="L195" s="2">
        <f t="shared" si="32"/>
        <v>2527020.1875</v>
      </c>
      <c r="N195" s="4">
        <f t="shared" si="26"/>
        <v>306812.14705000009</v>
      </c>
      <c r="O195" s="2">
        <f t="shared" si="28"/>
        <v>3354349.2729499997</v>
      </c>
    </row>
    <row r="196" spans="1:15" x14ac:dyDescent="0.3">
      <c r="A196" s="50">
        <v>44025</v>
      </c>
      <c r="B196" s="2">
        <v>195</v>
      </c>
      <c r="C196" s="4">
        <v>85901.31</v>
      </c>
      <c r="D196" s="4">
        <f t="shared" ref="D196:D259" si="33">AVERAGE(C195:C196)</f>
        <v>1873531.365</v>
      </c>
      <c r="E196" s="2">
        <f t="shared" si="23"/>
        <v>1643725.0573731274</v>
      </c>
      <c r="F196" s="2">
        <f t="shared" si="24"/>
        <v>1787630.0549999999</v>
      </c>
      <c r="G196" s="4">
        <f t="shared" si="25"/>
        <v>1478775.7233333334</v>
      </c>
      <c r="H196" s="2">
        <f t="shared" si="29"/>
        <v>1501149.5484224949</v>
      </c>
      <c r="I196" s="2">
        <f t="shared" si="30"/>
        <v>1392874.4133333333</v>
      </c>
      <c r="J196" s="4">
        <f t="shared" si="27"/>
        <v>1147923.9749999999</v>
      </c>
      <c r="K196" s="2">
        <f t="shared" si="31"/>
        <v>1383573.5643908167</v>
      </c>
      <c r="L196" s="2">
        <f t="shared" si="32"/>
        <v>1062022.6649999998</v>
      </c>
      <c r="N196" s="4">
        <f t="shared" si="26"/>
        <v>1567392.8721000003</v>
      </c>
      <c r="O196" s="2">
        <f t="shared" si="28"/>
        <v>1481491.5621000002</v>
      </c>
    </row>
    <row r="197" spans="1:15" x14ac:dyDescent="0.3">
      <c r="A197" s="50">
        <v>44026</v>
      </c>
      <c r="B197" s="2">
        <v>196</v>
      </c>
      <c r="C197" s="4">
        <v>1216727.5999999999</v>
      </c>
      <c r="D197" s="4">
        <f t="shared" si="33"/>
        <v>651314.45499999996</v>
      </c>
      <c r="E197" s="2">
        <f t="shared" ref="E197:E260" si="34">SQRT(SUMXMY2(C196:C197,D196:D197)/2)</f>
        <v>1325766.4270296812</v>
      </c>
      <c r="F197" s="2">
        <f t="shared" ref="F197:F260" si="35">ABS(D197-C197)</f>
        <v>565413.1449999999</v>
      </c>
      <c r="G197" s="4">
        <f t="shared" ref="G197:G260" si="36">AVERAGE(C195:C197)</f>
        <v>1654596.7766666666</v>
      </c>
      <c r="H197" s="2">
        <f t="shared" si="29"/>
        <v>1504892.2735601193</v>
      </c>
      <c r="I197" s="2">
        <f t="shared" si="30"/>
        <v>437869.17666666675</v>
      </c>
      <c r="J197" s="4">
        <f t="shared" si="27"/>
        <v>1413263.6924999999</v>
      </c>
      <c r="K197" s="2">
        <f t="shared" si="31"/>
        <v>1375822.8154523966</v>
      </c>
      <c r="L197" s="2">
        <f t="shared" si="32"/>
        <v>196536.09250000003</v>
      </c>
      <c r="N197" s="4">
        <f t="shared" ref="N197:N260" si="37">($M$2*D196)+($M$3*C195)+($M$4*C194)</f>
        <v>1809631.9475499999</v>
      </c>
      <c r="O197" s="2">
        <f t="shared" si="28"/>
        <v>592904.34755000006</v>
      </c>
    </row>
    <row r="198" spans="1:15" x14ac:dyDescent="0.3">
      <c r="A198" s="50">
        <v>44027</v>
      </c>
      <c r="B198" s="2">
        <v>197</v>
      </c>
      <c r="C198" s="4">
        <v>487137.72000000003</v>
      </c>
      <c r="D198" s="4">
        <f t="shared" si="33"/>
        <v>851932.65999999992</v>
      </c>
      <c r="E198" s="2">
        <f t="shared" si="34"/>
        <v>475797.94702604297</v>
      </c>
      <c r="F198" s="2">
        <f t="shared" si="35"/>
        <v>364794.93999999989</v>
      </c>
      <c r="G198" s="4">
        <f t="shared" si="36"/>
        <v>596588.87666666659</v>
      </c>
      <c r="H198" s="2">
        <f t="shared" si="29"/>
        <v>845341.76577466645</v>
      </c>
      <c r="I198" s="2">
        <f t="shared" si="30"/>
        <v>109451.15666666656</v>
      </c>
      <c r="J198" s="4">
        <f t="shared" ref="J198:J261" si="38">AVERAGE(C195:C198)</f>
        <v>1362732.0125</v>
      </c>
      <c r="K198" s="2">
        <f t="shared" si="31"/>
        <v>1442135.1332070082</v>
      </c>
      <c r="L198" s="2">
        <f t="shared" si="32"/>
        <v>875594.29249999998</v>
      </c>
      <c r="N198" s="4">
        <f t="shared" si="37"/>
        <v>1251285.3413499999</v>
      </c>
      <c r="O198" s="2">
        <f t="shared" ref="O198:O261" si="39">ABS(N198-C198)</f>
        <v>764147.62134999991</v>
      </c>
    </row>
    <row r="199" spans="1:15" x14ac:dyDescent="0.3">
      <c r="A199" s="50">
        <v>44028</v>
      </c>
      <c r="B199" s="2">
        <v>198</v>
      </c>
      <c r="C199" s="4">
        <v>3991917.3000000003</v>
      </c>
      <c r="D199" s="4">
        <f t="shared" si="33"/>
        <v>2239527.5100000002</v>
      </c>
      <c r="E199" s="2">
        <f t="shared" si="34"/>
        <v>1265690.5870602515</v>
      </c>
      <c r="F199" s="2">
        <f t="shared" si="35"/>
        <v>1752389.79</v>
      </c>
      <c r="G199" s="4">
        <f t="shared" si="36"/>
        <v>1898594.2066666668</v>
      </c>
      <c r="H199" s="2">
        <f t="shared" ref="H199:H262" si="40">SQRT(SUMXMY2(C197:C199,G197:G199)/3)</f>
        <v>1236353.58273878</v>
      </c>
      <c r="I199" s="2">
        <f t="shared" ref="I199:I262" si="41">ABS(G199-C199)</f>
        <v>2093323.0933333335</v>
      </c>
      <c r="J199" s="4">
        <f t="shared" si="38"/>
        <v>1445420.9824999999</v>
      </c>
      <c r="K199" s="2">
        <f t="shared" si="31"/>
        <v>1450674.6220921241</v>
      </c>
      <c r="L199" s="2">
        <f t="shared" si="32"/>
        <v>2546496.3175000004</v>
      </c>
      <c r="N199" s="4">
        <f t="shared" si="37"/>
        <v>723533.20639999991</v>
      </c>
      <c r="O199" s="2">
        <f t="shared" si="39"/>
        <v>3268384.0936000003</v>
      </c>
    </row>
    <row r="200" spans="1:15" x14ac:dyDescent="0.3">
      <c r="A200" s="50">
        <v>44029</v>
      </c>
      <c r="B200" s="2">
        <v>199</v>
      </c>
      <c r="C200" s="4">
        <v>926267.1</v>
      </c>
      <c r="D200" s="4">
        <f t="shared" si="33"/>
        <v>2459092.2000000002</v>
      </c>
      <c r="E200" s="2">
        <f t="shared" si="34"/>
        <v>1646271.9646653547</v>
      </c>
      <c r="F200" s="2">
        <f t="shared" si="35"/>
        <v>1532825.1</v>
      </c>
      <c r="G200" s="4">
        <f t="shared" si="36"/>
        <v>1801774.04</v>
      </c>
      <c r="H200" s="2">
        <f t="shared" si="40"/>
        <v>1311550.4223076941</v>
      </c>
      <c r="I200" s="2">
        <f t="shared" si="41"/>
        <v>875506.94000000006</v>
      </c>
      <c r="J200" s="4">
        <f t="shared" si="38"/>
        <v>1655512.43</v>
      </c>
      <c r="K200" s="2">
        <f t="shared" si="31"/>
        <v>1398368.1603105827</v>
      </c>
      <c r="L200" s="2">
        <f t="shared" si="32"/>
        <v>729245.33</v>
      </c>
      <c r="N200" s="4">
        <f t="shared" si="37"/>
        <v>1821748.6529000003</v>
      </c>
      <c r="O200" s="2">
        <f t="shared" si="39"/>
        <v>895481.55290000036</v>
      </c>
    </row>
    <row r="201" spans="1:15" x14ac:dyDescent="0.3">
      <c r="A201" s="50">
        <v>44030</v>
      </c>
      <c r="B201" s="2">
        <v>200</v>
      </c>
      <c r="C201" s="4">
        <v>477727.98000000004</v>
      </c>
      <c r="D201" s="4">
        <f t="shared" si="33"/>
        <v>701997.54</v>
      </c>
      <c r="E201" s="2">
        <f t="shared" si="34"/>
        <v>1095410.7957137825</v>
      </c>
      <c r="F201" s="2">
        <f t="shared" si="35"/>
        <v>224269.56</v>
      </c>
      <c r="G201" s="4">
        <f t="shared" si="36"/>
        <v>1798637.4600000002</v>
      </c>
      <c r="H201" s="2">
        <f t="shared" si="40"/>
        <v>1515840.3422331645</v>
      </c>
      <c r="I201" s="2">
        <f t="shared" si="41"/>
        <v>1320909.4800000002</v>
      </c>
      <c r="J201" s="4">
        <f t="shared" si="38"/>
        <v>1470762.5250000001</v>
      </c>
      <c r="K201" s="2">
        <f t="shared" ref="K201:K264" si="42">SQRT(SUMXMY2(C198:C201,J198:J201)/4)</f>
        <v>1480643.8818120484</v>
      </c>
      <c r="L201" s="2">
        <f t="shared" ref="L201:L264" si="43">ABS(J201-C201)</f>
        <v>993034.54500000016</v>
      </c>
      <c r="N201" s="4">
        <f t="shared" si="37"/>
        <v>2193872.9754000003</v>
      </c>
      <c r="O201" s="2">
        <f t="shared" si="39"/>
        <v>1716144.9954000004</v>
      </c>
    </row>
    <row r="202" spans="1:15" x14ac:dyDescent="0.3">
      <c r="A202" s="50">
        <v>44031</v>
      </c>
      <c r="B202" s="2">
        <v>201</v>
      </c>
      <c r="C202" s="4">
        <v>599909.64</v>
      </c>
      <c r="D202" s="4">
        <f t="shared" si="33"/>
        <v>538818.81000000006</v>
      </c>
      <c r="E202" s="2">
        <f t="shared" si="34"/>
        <v>164360.76942610499</v>
      </c>
      <c r="F202" s="2">
        <f t="shared" si="35"/>
        <v>61090.829999999958</v>
      </c>
      <c r="G202" s="4">
        <f t="shared" si="36"/>
        <v>667968.24000000011</v>
      </c>
      <c r="H202" s="2">
        <f t="shared" si="40"/>
        <v>915777.67123103165</v>
      </c>
      <c r="I202" s="2">
        <f t="shared" si="41"/>
        <v>68058.600000000093</v>
      </c>
      <c r="J202" s="4">
        <f t="shared" si="38"/>
        <v>1498955.5050000001</v>
      </c>
      <c r="K202" s="2">
        <f t="shared" si="42"/>
        <v>1484153.2368075093</v>
      </c>
      <c r="L202" s="2">
        <f t="shared" si="43"/>
        <v>899045.86500000011</v>
      </c>
      <c r="N202" s="4">
        <f t="shared" si="37"/>
        <v>1450449.5388000002</v>
      </c>
      <c r="O202" s="2">
        <f t="shared" si="39"/>
        <v>850539.8988000002</v>
      </c>
    </row>
    <row r="203" spans="1:15" x14ac:dyDescent="0.3">
      <c r="A203" s="50">
        <v>44032</v>
      </c>
      <c r="B203" s="2">
        <v>202</v>
      </c>
      <c r="C203" s="4">
        <v>33357.35</v>
      </c>
      <c r="D203" s="4">
        <f t="shared" si="33"/>
        <v>316633.495</v>
      </c>
      <c r="E203" s="2">
        <f t="shared" si="34"/>
        <v>204911.52217011849</v>
      </c>
      <c r="F203" s="2">
        <f t="shared" si="35"/>
        <v>283276.14500000002</v>
      </c>
      <c r="G203" s="4">
        <f t="shared" si="36"/>
        <v>370331.65666666673</v>
      </c>
      <c r="H203" s="2">
        <f t="shared" si="40"/>
        <v>788032.46776202309</v>
      </c>
      <c r="I203" s="2">
        <f t="shared" si="41"/>
        <v>336974.30666666676</v>
      </c>
      <c r="J203" s="4">
        <f t="shared" si="38"/>
        <v>509315.51750000007</v>
      </c>
      <c r="K203" s="2">
        <f t="shared" si="42"/>
        <v>798864.19425859279</v>
      </c>
      <c r="L203" s="2">
        <f t="shared" si="43"/>
        <v>475958.1675000001</v>
      </c>
      <c r="N203" s="4">
        <f t="shared" si="37"/>
        <v>617337.44250000012</v>
      </c>
      <c r="O203" s="2">
        <f t="shared" si="39"/>
        <v>583980.09250000014</v>
      </c>
    </row>
    <row r="204" spans="1:15" x14ac:dyDescent="0.3">
      <c r="A204" s="50">
        <v>44033</v>
      </c>
      <c r="B204" s="2">
        <v>203</v>
      </c>
      <c r="C204" s="4">
        <v>1148504.72</v>
      </c>
      <c r="D204" s="4">
        <f t="shared" si="33"/>
        <v>590931.03500000003</v>
      </c>
      <c r="E204" s="2">
        <f t="shared" si="34"/>
        <v>442229.45883926604</v>
      </c>
      <c r="F204" s="2">
        <f t="shared" si="35"/>
        <v>557573.68499999994</v>
      </c>
      <c r="G204" s="4">
        <f t="shared" si="36"/>
        <v>593923.90333333332</v>
      </c>
      <c r="H204" s="2">
        <f t="shared" si="40"/>
        <v>376715.4269038756</v>
      </c>
      <c r="I204" s="2">
        <f t="shared" si="41"/>
        <v>554580.81666666665</v>
      </c>
      <c r="J204" s="4">
        <f t="shared" si="38"/>
        <v>564874.9225000001</v>
      </c>
      <c r="K204" s="2">
        <f t="shared" si="42"/>
        <v>768368.56271531642</v>
      </c>
      <c r="L204" s="2">
        <f t="shared" si="43"/>
        <v>583629.79749999987</v>
      </c>
      <c r="N204" s="4">
        <f t="shared" si="37"/>
        <v>383234.65765000001</v>
      </c>
      <c r="O204" s="2">
        <f t="shared" si="39"/>
        <v>765270.06235000002</v>
      </c>
    </row>
    <row r="205" spans="1:15" x14ac:dyDescent="0.3">
      <c r="A205" s="50">
        <v>44034</v>
      </c>
      <c r="B205" s="2">
        <v>204</v>
      </c>
      <c r="C205" s="4">
        <v>902324.96</v>
      </c>
      <c r="D205" s="4">
        <f t="shared" si="33"/>
        <v>1025414.84</v>
      </c>
      <c r="E205" s="2">
        <f t="shared" si="34"/>
        <v>403757.06356848642</v>
      </c>
      <c r="F205" s="2">
        <f t="shared" si="35"/>
        <v>123089.88</v>
      </c>
      <c r="G205" s="4">
        <f t="shared" si="36"/>
        <v>694729.01</v>
      </c>
      <c r="H205" s="2">
        <f t="shared" si="40"/>
        <v>393364.81965411792</v>
      </c>
      <c r="I205" s="2">
        <f t="shared" si="41"/>
        <v>207595.94999999995</v>
      </c>
      <c r="J205" s="4">
        <f t="shared" si="38"/>
        <v>671024.16749999998</v>
      </c>
      <c r="K205" s="2">
        <f t="shared" si="42"/>
        <v>597692.1117357529</v>
      </c>
      <c r="L205" s="2">
        <f t="shared" si="43"/>
        <v>231300.79249999998</v>
      </c>
      <c r="N205" s="4">
        <f t="shared" si="37"/>
        <v>531573.22275000007</v>
      </c>
      <c r="O205" s="2">
        <f t="shared" si="39"/>
        <v>370751.73724999989</v>
      </c>
    </row>
    <row r="206" spans="1:15" x14ac:dyDescent="0.3">
      <c r="A206" s="50">
        <v>44035</v>
      </c>
      <c r="B206" s="2">
        <v>205</v>
      </c>
      <c r="C206" s="4">
        <v>836185.98</v>
      </c>
      <c r="D206" s="4">
        <f t="shared" si="33"/>
        <v>869255.47</v>
      </c>
      <c r="E206" s="2">
        <f t="shared" si="34"/>
        <v>90124.108115627139</v>
      </c>
      <c r="F206" s="2">
        <f t="shared" si="35"/>
        <v>33069.489999999991</v>
      </c>
      <c r="G206" s="4">
        <f t="shared" si="36"/>
        <v>962338.55333333334</v>
      </c>
      <c r="H206" s="2">
        <f t="shared" si="40"/>
        <v>349557.06850703288</v>
      </c>
      <c r="I206" s="2">
        <f t="shared" si="41"/>
        <v>126152.57333333336</v>
      </c>
      <c r="J206" s="4">
        <f t="shared" si="38"/>
        <v>730093.25249999994</v>
      </c>
      <c r="K206" s="2">
        <f t="shared" si="42"/>
        <v>397465.60894603393</v>
      </c>
      <c r="L206" s="2">
        <f t="shared" si="43"/>
        <v>106092.72750000004</v>
      </c>
      <c r="N206" s="4">
        <f t="shared" si="37"/>
        <v>820702.07900000003</v>
      </c>
      <c r="O206" s="2">
        <f t="shared" si="39"/>
        <v>15483.900999999954</v>
      </c>
    </row>
    <row r="207" spans="1:15" x14ac:dyDescent="0.3">
      <c r="A207" s="50">
        <v>44036</v>
      </c>
      <c r="B207" s="2">
        <v>206</v>
      </c>
      <c r="C207" s="4">
        <v>71934.3</v>
      </c>
      <c r="D207" s="4">
        <f t="shared" si="33"/>
        <v>454060.14</v>
      </c>
      <c r="E207" s="2">
        <f t="shared" si="34"/>
        <v>271213.70611066627</v>
      </c>
      <c r="F207" s="2">
        <f t="shared" si="35"/>
        <v>382125.84</v>
      </c>
      <c r="G207" s="4">
        <f t="shared" si="36"/>
        <v>603481.7466666667</v>
      </c>
      <c r="H207" s="2">
        <f t="shared" si="40"/>
        <v>337418.25591436581</v>
      </c>
      <c r="I207" s="2">
        <f t="shared" si="41"/>
        <v>531547.44666666666</v>
      </c>
      <c r="J207" s="4">
        <f t="shared" si="38"/>
        <v>739737.49</v>
      </c>
      <c r="K207" s="2">
        <f t="shared" si="42"/>
        <v>461340.59125107998</v>
      </c>
      <c r="L207" s="2">
        <f t="shared" si="43"/>
        <v>667803.18999999994</v>
      </c>
      <c r="N207" s="4">
        <f t="shared" si="37"/>
        <v>934327.94889999996</v>
      </c>
      <c r="O207" s="2">
        <f t="shared" si="39"/>
        <v>862393.64889999991</v>
      </c>
    </row>
    <row r="208" spans="1:15" x14ac:dyDescent="0.3">
      <c r="A208" s="50">
        <v>44037</v>
      </c>
      <c r="B208" s="2">
        <v>207</v>
      </c>
      <c r="C208" s="4">
        <v>42050.31</v>
      </c>
      <c r="D208" s="4">
        <f t="shared" si="33"/>
        <v>56992.305</v>
      </c>
      <c r="E208" s="2">
        <f t="shared" si="34"/>
        <v>270410.2631283488</v>
      </c>
      <c r="F208" s="2">
        <f t="shared" si="35"/>
        <v>14941.995000000003</v>
      </c>
      <c r="G208" s="4">
        <f t="shared" si="36"/>
        <v>316723.53000000003</v>
      </c>
      <c r="H208" s="2">
        <f t="shared" si="40"/>
        <v>353035.66278854571</v>
      </c>
      <c r="I208" s="2">
        <f t="shared" si="41"/>
        <v>274673.22000000003</v>
      </c>
      <c r="J208" s="4">
        <f t="shared" si="38"/>
        <v>463123.88750000001</v>
      </c>
      <c r="K208" s="2">
        <f t="shared" si="42"/>
        <v>414734.78925764776</v>
      </c>
      <c r="L208" s="2">
        <f t="shared" si="43"/>
        <v>421073.57750000001</v>
      </c>
      <c r="N208" s="4">
        <f t="shared" si="37"/>
        <v>594712.24280000012</v>
      </c>
      <c r="O208" s="2">
        <f t="shared" si="39"/>
        <v>552661.93280000007</v>
      </c>
    </row>
    <row r="209" spans="1:15" x14ac:dyDescent="0.3">
      <c r="A209" s="50">
        <v>44038</v>
      </c>
      <c r="B209" s="2">
        <v>208</v>
      </c>
      <c r="C209" s="4">
        <v>1518832.8</v>
      </c>
      <c r="D209" s="4">
        <f t="shared" si="33"/>
        <v>780441.55500000005</v>
      </c>
      <c r="E209" s="2">
        <f t="shared" si="34"/>
        <v>522228.34752013895</v>
      </c>
      <c r="F209" s="2">
        <f t="shared" si="35"/>
        <v>738391.245</v>
      </c>
      <c r="G209" s="4">
        <f t="shared" si="36"/>
        <v>544272.47000000009</v>
      </c>
      <c r="H209" s="2">
        <f t="shared" si="40"/>
        <v>660241.34543178731</v>
      </c>
      <c r="I209" s="2">
        <f t="shared" si="41"/>
        <v>974560.33</v>
      </c>
      <c r="J209" s="4">
        <f t="shared" si="38"/>
        <v>617250.84750000003</v>
      </c>
      <c r="K209" s="2">
        <f t="shared" si="42"/>
        <v>601533.40350826038</v>
      </c>
      <c r="L209" s="2">
        <f t="shared" si="43"/>
        <v>901581.95250000001</v>
      </c>
      <c r="N209" s="4">
        <f t="shared" si="37"/>
        <v>230058.53295000002</v>
      </c>
      <c r="O209" s="2">
        <f t="shared" si="39"/>
        <v>1288774.2670499999</v>
      </c>
    </row>
    <row r="210" spans="1:15" x14ac:dyDescent="0.3">
      <c r="A210" s="50">
        <v>44039</v>
      </c>
      <c r="B210" s="2">
        <v>209</v>
      </c>
      <c r="C210" s="4">
        <v>563412.29999999993</v>
      </c>
      <c r="D210" s="4">
        <f t="shared" si="33"/>
        <v>1041122.55</v>
      </c>
      <c r="E210" s="2">
        <f t="shared" si="34"/>
        <v>621863.6159350829</v>
      </c>
      <c r="F210" s="2">
        <f t="shared" si="35"/>
        <v>477710.25000000012</v>
      </c>
      <c r="G210" s="4">
        <f t="shared" si="36"/>
        <v>708098.47000000009</v>
      </c>
      <c r="H210" s="2">
        <f t="shared" si="40"/>
        <v>590521.6062612629</v>
      </c>
      <c r="I210" s="2">
        <f t="shared" si="41"/>
        <v>144686.17000000016</v>
      </c>
      <c r="J210" s="4">
        <f t="shared" si="38"/>
        <v>549057.42749999999</v>
      </c>
      <c r="K210" s="2">
        <f t="shared" si="42"/>
        <v>599232.87161191099</v>
      </c>
      <c r="L210" s="2">
        <f t="shared" si="43"/>
        <v>14354.872499999939</v>
      </c>
      <c r="N210" s="4">
        <f t="shared" si="37"/>
        <v>543346.92195000011</v>
      </c>
      <c r="O210" s="2">
        <f t="shared" si="39"/>
        <v>20065.378049999825</v>
      </c>
    </row>
    <row r="211" spans="1:15" x14ac:dyDescent="0.3">
      <c r="A211" s="50">
        <v>44040</v>
      </c>
      <c r="B211" s="2">
        <v>210</v>
      </c>
      <c r="C211" s="4">
        <v>269156.64</v>
      </c>
      <c r="D211" s="4">
        <f t="shared" si="33"/>
        <v>416284.47</v>
      </c>
      <c r="E211" s="2">
        <f t="shared" si="34"/>
        <v>353449.91251630796</v>
      </c>
      <c r="F211" s="2">
        <f t="shared" si="35"/>
        <v>147127.82999999996</v>
      </c>
      <c r="G211" s="4">
        <f t="shared" si="36"/>
        <v>783800.58000000007</v>
      </c>
      <c r="H211" s="2">
        <f t="shared" si="40"/>
        <v>641758.08255595854</v>
      </c>
      <c r="I211" s="2">
        <f t="shared" si="41"/>
        <v>514643.94000000006</v>
      </c>
      <c r="J211" s="4">
        <f t="shared" si="38"/>
        <v>598363.01250000007</v>
      </c>
      <c r="K211" s="2">
        <f t="shared" si="42"/>
        <v>524103.01296631107</v>
      </c>
      <c r="L211" s="2">
        <f t="shared" si="43"/>
        <v>329206.37250000006</v>
      </c>
      <c r="N211" s="4">
        <f t="shared" si="37"/>
        <v>873874.78470000008</v>
      </c>
      <c r="O211" s="2">
        <f t="shared" si="39"/>
        <v>604718.14470000006</v>
      </c>
    </row>
    <row r="212" spans="1:15" x14ac:dyDescent="0.3">
      <c r="A212" s="50">
        <v>44041</v>
      </c>
      <c r="B212" s="2">
        <v>211</v>
      </c>
      <c r="C212" s="4">
        <v>2511955.2000000002</v>
      </c>
      <c r="D212" s="4">
        <f t="shared" si="33"/>
        <v>1390555.9200000002</v>
      </c>
      <c r="E212" s="2">
        <f t="shared" si="34"/>
        <v>799744.62909888534</v>
      </c>
      <c r="F212" s="2">
        <f t="shared" si="35"/>
        <v>1121399.28</v>
      </c>
      <c r="G212" s="4">
        <f t="shared" si="36"/>
        <v>1114841.3800000001</v>
      </c>
      <c r="H212" s="2">
        <f t="shared" si="40"/>
        <v>863658.78655924939</v>
      </c>
      <c r="I212" s="2">
        <f t="shared" si="41"/>
        <v>1397113.82</v>
      </c>
      <c r="J212" s="4">
        <f t="shared" si="38"/>
        <v>1215839.2350000001</v>
      </c>
      <c r="K212" s="2">
        <f t="shared" si="42"/>
        <v>806434.98030850163</v>
      </c>
      <c r="L212" s="2">
        <f t="shared" si="43"/>
        <v>1296115.9650000001</v>
      </c>
      <c r="N212" s="4">
        <f t="shared" si="37"/>
        <v>675029.16390000004</v>
      </c>
      <c r="O212" s="2">
        <f t="shared" si="39"/>
        <v>1836926.0361000001</v>
      </c>
    </row>
    <row r="213" spans="1:15" x14ac:dyDescent="0.3">
      <c r="A213" s="50">
        <v>44042</v>
      </c>
      <c r="B213" s="2">
        <v>212</v>
      </c>
      <c r="C213" s="4">
        <v>38187.69</v>
      </c>
      <c r="D213" s="4">
        <f t="shared" si="33"/>
        <v>1275071.4450000001</v>
      </c>
      <c r="E213" s="2">
        <f t="shared" si="34"/>
        <v>1180554.4817092135</v>
      </c>
      <c r="F213" s="2">
        <f t="shared" si="35"/>
        <v>1236883.7550000001</v>
      </c>
      <c r="G213" s="4">
        <f t="shared" si="36"/>
        <v>939766.51000000013</v>
      </c>
      <c r="H213" s="2">
        <f t="shared" si="40"/>
        <v>1004926.1630730735</v>
      </c>
      <c r="I213" s="2">
        <f t="shared" si="41"/>
        <v>901578.82000000007</v>
      </c>
      <c r="J213" s="4">
        <f t="shared" si="38"/>
        <v>845677.95750000002</v>
      </c>
      <c r="K213" s="2">
        <f t="shared" si="42"/>
        <v>781111.39168722334</v>
      </c>
      <c r="L213" s="2">
        <f t="shared" si="43"/>
        <v>807490.26750000007</v>
      </c>
      <c r="N213" s="4">
        <f t="shared" si="37"/>
        <v>1085230.4028</v>
      </c>
      <c r="O213" s="2">
        <f t="shared" si="39"/>
        <v>1047042.7128000001</v>
      </c>
    </row>
    <row r="214" spans="1:15" x14ac:dyDescent="0.3">
      <c r="A214" s="50">
        <v>44043</v>
      </c>
      <c r="B214" s="2">
        <v>213</v>
      </c>
      <c r="C214" s="4">
        <v>227392.56</v>
      </c>
      <c r="D214" s="4">
        <f t="shared" si="33"/>
        <v>132790.125</v>
      </c>
      <c r="E214" s="2">
        <f t="shared" si="34"/>
        <v>877163.33829305402</v>
      </c>
      <c r="F214" s="2">
        <f t="shared" si="35"/>
        <v>94602.434999999998</v>
      </c>
      <c r="G214" s="4">
        <f t="shared" si="36"/>
        <v>925845.15</v>
      </c>
      <c r="H214" s="2">
        <f t="shared" si="40"/>
        <v>1041250.436604197</v>
      </c>
      <c r="I214" s="2">
        <f t="shared" si="41"/>
        <v>698452.59000000008</v>
      </c>
      <c r="J214" s="4">
        <f t="shared" si="38"/>
        <v>761673.02250000008</v>
      </c>
      <c r="K214" s="2">
        <f t="shared" si="42"/>
        <v>825498.27000710997</v>
      </c>
      <c r="L214" s="2">
        <f t="shared" si="43"/>
        <v>534280.46250000014</v>
      </c>
      <c r="N214" s="4">
        <f t="shared" si="37"/>
        <v>1189827.4009500002</v>
      </c>
      <c r="O214" s="2">
        <f t="shared" si="39"/>
        <v>962434.8409500001</v>
      </c>
    </row>
    <row r="215" spans="1:15" x14ac:dyDescent="0.3">
      <c r="A215" s="50">
        <v>44044</v>
      </c>
      <c r="B215" s="2">
        <v>214</v>
      </c>
      <c r="C215" s="4">
        <v>22557.48</v>
      </c>
      <c r="D215" s="4">
        <f t="shared" si="33"/>
        <v>124975.02</v>
      </c>
      <c r="E215" s="2">
        <f t="shared" si="34"/>
        <v>98587.456625021077</v>
      </c>
      <c r="F215" s="2">
        <f t="shared" si="35"/>
        <v>102417.54000000001</v>
      </c>
      <c r="G215" s="4">
        <f t="shared" si="36"/>
        <v>96045.909999999989</v>
      </c>
      <c r="H215" s="2">
        <f t="shared" si="40"/>
        <v>659818.39382620167</v>
      </c>
      <c r="I215" s="2">
        <f t="shared" si="41"/>
        <v>73488.429999999993</v>
      </c>
      <c r="J215" s="4">
        <f t="shared" si="38"/>
        <v>700023.23250000004</v>
      </c>
      <c r="K215" s="2">
        <f t="shared" si="42"/>
        <v>876979.55866352841</v>
      </c>
      <c r="L215" s="2">
        <f t="shared" si="43"/>
        <v>677465.75250000006</v>
      </c>
      <c r="N215" s="4">
        <f t="shared" si="37"/>
        <v>645800.17365000013</v>
      </c>
      <c r="O215" s="2">
        <f t="shared" si="39"/>
        <v>623242.69365000015</v>
      </c>
    </row>
    <row r="216" spans="1:15" x14ac:dyDescent="0.3">
      <c r="A216" s="50">
        <v>44045</v>
      </c>
      <c r="B216" s="2">
        <v>215</v>
      </c>
      <c r="C216" s="4">
        <v>2451180.9</v>
      </c>
      <c r="D216" s="4">
        <f t="shared" si="33"/>
        <v>1236869.19</v>
      </c>
      <c r="E216" s="2">
        <f t="shared" si="34"/>
        <v>861696.66401314782</v>
      </c>
      <c r="F216" s="2">
        <f t="shared" si="35"/>
        <v>1214311.71</v>
      </c>
      <c r="G216" s="4">
        <f t="shared" si="36"/>
        <v>900376.98</v>
      </c>
      <c r="H216" s="2">
        <f t="shared" si="40"/>
        <v>982891.88420513121</v>
      </c>
      <c r="I216" s="2">
        <f t="shared" si="41"/>
        <v>1550803.92</v>
      </c>
      <c r="J216" s="4">
        <f t="shared" si="38"/>
        <v>684829.65749999997</v>
      </c>
      <c r="K216" s="2">
        <f t="shared" si="42"/>
        <v>1062597.3722920786</v>
      </c>
      <c r="L216" s="2">
        <f t="shared" si="43"/>
        <v>1766351.2424999999</v>
      </c>
      <c r="N216" s="4">
        <f t="shared" si="37"/>
        <v>117147.73680000001</v>
      </c>
      <c r="O216" s="2">
        <f t="shared" si="39"/>
        <v>2334033.1631999998</v>
      </c>
    </row>
    <row r="217" spans="1:15" x14ac:dyDescent="0.3">
      <c r="A217" s="50">
        <v>44046</v>
      </c>
      <c r="B217" s="2">
        <v>216</v>
      </c>
      <c r="C217" s="4">
        <v>836083.62</v>
      </c>
      <c r="D217" s="4">
        <f t="shared" si="33"/>
        <v>1643632.26</v>
      </c>
      <c r="E217" s="2">
        <f t="shared" si="34"/>
        <v>1031185.6610254464</v>
      </c>
      <c r="F217" s="2">
        <f t="shared" si="35"/>
        <v>807548.64</v>
      </c>
      <c r="G217" s="4">
        <f t="shared" si="36"/>
        <v>1103274</v>
      </c>
      <c r="H217" s="2">
        <f t="shared" si="40"/>
        <v>909539.0859836234</v>
      </c>
      <c r="I217" s="2">
        <f t="shared" si="41"/>
        <v>267190.38</v>
      </c>
      <c r="J217" s="4">
        <f t="shared" si="38"/>
        <v>884303.64</v>
      </c>
      <c r="K217" s="2">
        <f t="shared" si="42"/>
        <v>983201.06547817821</v>
      </c>
      <c r="L217" s="2">
        <f t="shared" si="43"/>
        <v>48220.020000000019</v>
      </c>
      <c r="N217" s="4">
        <f t="shared" si="37"/>
        <v>881210.04330000002</v>
      </c>
      <c r="O217" s="2">
        <f t="shared" si="39"/>
        <v>45126.423300000024</v>
      </c>
    </row>
    <row r="218" spans="1:15" x14ac:dyDescent="0.3">
      <c r="A218" s="50">
        <v>44047</v>
      </c>
      <c r="B218" s="2">
        <v>217</v>
      </c>
      <c r="C218" s="4">
        <v>2283793.4700000002</v>
      </c>
      <c r="D218" s="4">
        <f t="shared" si="33"/>
        <v>1559938.5450000002</v>
      </c>
      <c r="E218" s="2">
        <f t="shared" si="34"/>
        <v>766844.42959853506</v>
      </c>
      <c r="F218" s="2">
        <f t="shared" si="35"/>
        <v>723854.92500000005</v>
      </c>
      <c r="G218" s="4">
        <f t="shared" si="36"/>
        <v>1857019.33</v>
      </c>
      <c r="H218" s="2">
        <f t="shared" si="40"/>
        <v>941367.73969663423</v>
      </c>
      <c r="I218" s="2">
        <f t="shared" si="41"/>
        <v>426774.14000000013</v>
      </c>
      <c r="J218" s="4">
        <f t="shared" si="38"/>
        <v>1398403.8675000002</v>
      </c>
      <c r="K218" s="2">
        <f t="shared" si="42"/>
        <v>1044652.6308103083</v>
      </c>
      <c r="L218" s="2">
        <f t="shared" si="43"/>
        <v>885389.60250000004</v>
      </c>
      <c r="N218" s="4">
        <f t="shared" si="37"/>
        <v>1375826.1588000001</v>
      </c>
      <c r="O218" s="2">
        <f t="shared" si="39"/>
        <v>907967.31120000011</v>
      </c>
    </row>
    <row r="219" spans="1:15" x14ac:dyDescent="0.3">
      <c r="A219" s="50">
        <v>44048</v>
      </c>
      <c r="B219" s="2">
        <v>218</v>
      </c>
      <c r="C219" s="4">
        <v>306527</v>
      </c>
      <c r="D219" s="4">
        <f t="shared" si="33"/>
        <v>1295160.2350000001</v>
      </c>
      <c r="E219" s="2">
        <f t="shared" si="34"/>
        <v>866418.38213224709</v>
      </c>
      <c r="F219" s="2">
        <f t="shared" si="35"/>
        <v>988633.2350000001</v>
      </c>
      <c r="G219" s="4">
        <f t="shared" si="36"/>
        <v>1142134.6966666668</v>
      </c>
      <c r="H219" s="2">
        <f t="shared" si="40"/>
        <v>563254.55715447653</v>
      </c>
      <c r="I219" s="2">
        <f t="shared" si="41"/>
        <v>835607.69666666677</v>
      </c>
      <c r="J219" s="4">
        <f t="shared" si="38"/>
        <v>1469396.2475000001</v>
      </c>
      <c r="K219" s="2">
        <f t="shared" si="42"/>
        <v>1146571.1400962456</v>
      </c>
      <c r="L219" s="2">
        <f t="shared" si="43"/>
        <v>1162869.2475000001</v>
      </c>
      <c r="N219" s="4">
        <f t="shared" si="37"/>
        <v>1676387.8213500001</v>
      </c>
      <c r="O219" s="2">
        <f t="shared" si="39"/>
        <v>1369860.8213500001</v>
      </c>
    </row>
    <row r="220" spans="1:15" x14ac:dyDescent="0.3">
      <c r="A220" s="50">
        <v>44049</v>
      </c>
      <c r="B220" s="2">
        <v>219</v>
      </c>
      <c r="C220" s="4">
        <v>1973314.4</v>
      </c>
      <c r="D220" s="4">
        <f t="shared" si="33"/>
        <v>1139920.7</v>
      </c>
      <c r="E220" s="2">
        <f t="shared" si="34"/>
        <v>914314.1507562527</v>
      </c>
      <c r="F220" s="2">
        <f t="shared" si="35"/>
        <v>833393.7</v>
      </c>
      <c r="G220" s="4">
        <f t="shared" si="36"/>
        <v>1521211.6233333333</v>
      </c>
      <c r="H220" s="2">
        <f t="shared" si="40"/>
        <v>601324.45761308749</v>
      </c>
      <c r="I220" s="2">
        <f t="shared" si="41"/>
        <v>452102.77666666661</v>
      </c>
      <c r="J220" s="4">
        <f t="shared" si="38"/>
        <v>1349929.6225000001</v>
      </c>
      <c r="K220" s="2">
        <f t="shared" si="42"/>
        <v>794844.85689722013</v>
      </c>
      <c r="L220" s="2">
        <f t="shared" si="43"/>
        <v>623384.77749999985</v>
      </c>
      <c r="N220" s="4">
        <f t="shared" si="37"/>
        <v>1302913.0355500001</v>
      </c>
      <c r="O220" s="2">
        <f t="shared" si="39"/>
        <v>670401.36444999976</v>
      </c>
    </row>
    <row r="221" spans="1:15" x14ac:dyDescent="0.3">
      <c r="A221" s="50">
        <v>44050</v>
      </c>
      <c r="B221" s="2">
        <v>220</v>
      </c>
      <c r="C221" s="4">
        <v>1176651.21</v>
      </c>
      <c r="D221" s="4">
        <f t="shared" si="33"/>
        <v>1574982.8049999999</v>
      </c>
      <c r="E221" s="2">
        <f t="shared" si="34"/>
        <v>653151.25307042548</v>
      </c>
      <c r="F221" s="2">
        <f t="shared" si="35"/>
        <v>398331.59499999997</v>
      </c>
      <c r="G221" s="4">
        <f t="shared" si="36"/>
        <v>1152164.2033333334</v>
      </c>
      <c r="H221" s="2">
        <f t="shared" si="40"/>
        <v>548706.58731656556</v>
      </c>
      <c r="I221" s="2">
        <f t="shared" si="41"/>
        <v>24487.006666666595</v>
      </c>
      <c r="J221" s="4">
        <f t="shared" si="38"/>
        <v>1435071.52</v>
      </c>
      <c r="K221" s="2">
        <f t="shared" si="42"/>
        <v>804917.58466869523</v>
      </c>
      <c r="L221" s="2">
        <f t="shared" si="43"/>
        <v>258420.31000000006</v>
      </c>
      <c r="N221" s="4">
        <f t="shared" si="37"/>
        <v>1299899.4024</v>
      </c>
      <c r="O221" s="2">
        <f t="shared" si="39"/>
        <v>123248.19240000006</v>
      </c>
    </row>
    <row r="222" spans="1:15" x14ac:dyDescent="0.3">
      <c r="A222" s="50">
        <v>44051</v>
      </c>
      <c r="B222" s="2">
        <v>221</v>
      </c>
      <c r="C222" s="4">
        <v>338689.12</v>
      </c>
      <c r="D222" s="4">
        <f t="shared" si="33"/>
        <v>757670.16500000004</v>
      </c>
      <c r="E222" s="2">
        <f t="shared" si="34"/>
        <v>408786.72657299921</v>
      </c>
      <c r="F222" s="2">
        <f t="shared" si="35"/>
        <v>418981.04500000004</v>
      </c>
      <c r="G222" s="4">
        <f t="shared" si="36"/>
        <v>1162884.9099999999</v>
      </c>
      <c r="H222" s="2">
        <f t="shared" si="40"/>
        <v>542922.71838599863</v>
      </c>
      <c r="I222" s="2">
        <f t="shared" si="41"/>
        <v>824195.78999999992</v>
      </c>
      <c r="J222" s="4">
        <f t="shared" si="38"/>
        <v>948795.4325</v>
      </c>
      <c r="K222" s="2">
        <f t="shared" si="42"/>
        <v>738221.55156375386</v>
      </c>
      <c r="L222" s="2">
        <f t="shared" si="43"/>
        <v>610106.3125</v>
      </c>
      <c r="N222" s="4">
        <f t="shared" si="37"/>
        <v>1339739.0033499999</v>
      </c>
      <c r="O222" s="2">
        <f t="shared" si="39"/>
        <v>1001049.8833499999</v>
      </c>
    </row>
    <row r="223" spans="1:15" x14ac:dyDescent="0.3">
      <c r="A223" s="50">
        <v>44052</v>
      </c>
      <c r="B223" s="2">
        <v>222</v>
      </c>
      <c r="C223" s="4">
        <v>1615667.12</v>
      </c>
      <c r="D223" s="4">
        <f t="shared" si="33"/>
        <v>977178.12000000011</v>
      </c>
      <c r="E223" s="2">
        <f t="shared" si="34"/>
        <v>540006.16625659564</v>
      </c>
      <c r="F223" s="2">
        <f t="shared" si="35"/>
        <v>638489</v>
      </c>
      <c r="G223" s="4">
        <f t="shared" si="36"/>
        <v>1043669.15</v>
      </c>
      <c r="H223" s="2">
        <f t="shared" si="40"/>
        <v>579390.48186674539</v>
      </c>
      <c r="I223" s="2">
        <f t="shared" si="41"/>
        <v>571997.97000000009</v>
      </c>
      <c r="J223" s="4">
        <f t="shared" si="38"/>
        <v>1276080.4624999999</v>
      </c>
      <c r="K223" s="2">
        <f t="shared" si="42"/>
        <v>485525.08893557463</v>
      </c>
      <c r="L223" s="2">
        <f t="shared" si="43"/>
        <v>339586.6575000002</v>
      </c>
      <c r="N223" s="4">
        <f t="shared" si="37"/>
        <v>1071199.81165</v>
      </c>
      <c r="O223" s="2">
        <f t="shared" si="39"/>
        <v>544467.30835000006</v>
      </c>
    </row>
    <row r="224" spans="1:15" x14ac:dyDescent="0.3">
      <c r="A224" s="50">
        <v>44053</v>
      </c>
      <c r="B224" s="2">
        <v>223</v>
      </c>
      <c r="C224" s="4">
        <v>609462.24</v>
      </c>
      <c r="D224" s="4">
        <f t="shared" si="33"/>
        <v>1112564.6800000002</v>
      </c>
      <c r="E224" s="2">
        <f t="shared" si="34"/>
        <v>574795.73252371734</v>
      </c>
      <c r="F224" s="2">
        <f t="shared" si="35"/>
        <v>503102.44000000018</v>
      </c>
      <c r="G224" s="4">
        <f t="shared" si="36"/>
        <v>854606.16000000015</v>
      </c>
      <c r="H224" s="2">
        <f t="shared" si="40"/>
        <v>596259.42884251638</v>
      </c>
      <c r="I224" s="2">
        <f t="shared" si="41"/>
        <v>245143.92000000016</v>
      </c>
      <c r="J224" s="4">
        <f t="shared" si="38"/>
        <v>935117.4225000001</v>
      </c>
      <c r="K224" s="2">
        <f t="shared" si="42"/>
        <v>406319.19872619072</v>
      </c>
      <c r="L224" s="2">
        <f t="shared" si="43"/>
        <v>325655.18250000011</v>
      </c>
      <c r="N224" s="4">
        <f t="shared" si="37"/>
        <v>950828.40980000002</v>
      </c>
      <c r="O224" s="2">
        <f t="shared" si="39"/>
        <v>341366.16980000003</v>
      </c>
    </row>
    <row r="225" spans="1:15" x14ac:dyDescent="0.3">
      <c r="A225" s="50">
        <v>44054</v>
      </c>
      <c r="B225" s="2">
        <v>224</v>
      </c>
      <c r="C225" s="4">
        <v>306904.39999999997</v>
      </c>
      <c r="D225" s="4">
        <f t="shared" si="33"/>
        <v>458183.31999999995</v>
      </c>
      <c r="E225" s="2">
        <f t="shared" si="34"/>
        <v>371481.74704170873</v>
      </c>
      <c r="F225" s="2">
        <f t="shared" si="35"/>
        <v>151278.91999999998</v>
      </c>
      <c r="G225" s="4">
        <f t="shared" si="36"/>
        <v>844011.25333333341</v>
      </c>
      <c r="H225" s="2">
        <f t="shared" si="40"/>
        <v>474608.95872100943</v>
      </c>
      <c r="I225" s="2">
        <f t="shared" si="41"/>
        <v>537106.85333333351</v>
      </c>
      <c r="J225" s="4">
        <f t="shared" si="38"/>
        <v>717680.72000000009</v>
      </c>
      <c r="K225" s="2">
        <f t="shared" si="42"/>
        <v>436559.64468392543</v>
      </c>
      <c r="L225" s="2">
        <f t="shared" si="43"/>
        <v>410776.32000000012</v>
      </c>
      <c r="N225" s="4">
        <f t="shared" si="37"/>
        <v>997653.3252000002</v>
      </c>
      <c r="O225" s="2">
        <f t="shared" si="39"/>
        <v>690748.92520000017</v>
      </c>
    </row>
    <row r="226" spans="1:15" x14ac:dyDescent="0.3">
      <c r="A226" s="50">
        <v>44055</v>
      </c>
      <c r="B226" s="2">
        <v>225</v>
      </c>
      <c r="C226" s="4">
        <v>1789384.2999999998</v>
      </c>
      <c r="D226" s="4">
        <f t="shared" si="33"/>
        <v>1048144.3499999999</v>
      </c>
      <c r="E226" s="2">
        <f t="shared" si="34"/>
        <v>534940.1719409232</v>
      </c>
      <c r="F226" s="2">
        <f t="shared" si="35"/>
        <v>741239.95</v>
      </c>
      <c r="G226" s="4">
        <f t="shared" si="36"/>
        <v>901916.97999999986</v>
      </c>
      <c r="H226" s="2">
        <f t="shared" si="40"/>
        <v>615407.06243336305</v>
      </c>
      <c r="I226" s="2">
        <f t="shared" si="41"/>
        <v>887467.32</v>
      </c>
      <c r="J226" s="4">
        <f t="shared" si="38"/>
        <v>1080354.5150000001</v>
      </c>
      <c r="K226" s="2">
        <f t="shared" si="42"/>
        <v>472448.62602483539</v>
      </c>
      <c r="L226" s="2">
        <f t="shared" si="43"/>
        <v>709029.78499999968</v>
      </c>
      <c r="N226" s="4">
        <f t="shared" si="37"/>
        <v>729470.43720000004</v>
      </c>
      <c r="O226" s="2">
        <f t="shared" si="39"/>
        <v>1059913.8627999998</v>
      </c>
    </row>
    <row r="227" spans="1:15" x14ac:dyDescent="0.3">
      <c r="A227" s="50">
        <v>44056</v>
      </c>
      <c r="B227" s="2">
        <v>226</v>
      </c>
      <c r="C227" s="4">
        <v>1068200.0999999999</v>
      </c>
      <c r="D227" s="4">
        <f t="shared" si="33"/>
        <v>1428792.1999999997</v>
      </c>
      <c r="E227" s="2">
        <f t="shared" si="34"/>
        <v>582865.04701277649</v>
      </c>
      <c r="F227" s="2">
        <f t="shared" si="35"/>
        <v>360592.09999999986</v>
      </c>
      <c r="G227" s="4">
        <f t="shared" si="36"/>
        <v>1054829.5999999999</v>
      </c>
      <c r="H227" s="2">
        <f t="shared" si="40"/>
        <v>598960.42891993769</v>
      </c>
      <c r="I227" s="2">
        <f t="shared" si="41"/>
        <v>13370.5</v>
      </c>
      <c r="J227" s="4">
        <f t="shared" si="38"/>
        <v>943487.75999999978</v>
      </c>
      <c r="K227" s="2">
        <f t="shared" si="42"/>
        <v>445270.95310812502</v>
      </c>
      <c r="L227" s="2">
        <f t="shared" si="43"/>
        <v>124712.34000000008</v>
      </c>
      <c r="N227" s="4">
        <f t="shared" si="37"/>
        <v>870097.8912999999</v>
      </c>
      <c r="O227" s="2">
        <f t="shared" si="39"/>
        <v>198102.20869999996</v>
      </c>
    </row>
    <row r="228" spans="1:15" x14ac:dyDescent="0.3">
      <c r="A228" s="50">
        <v>44057</v>
      </c>
      <c r="B228" s="2">
        <v>227</v>
      </c>
      <c r="C228" s="4">
        <v>446404.36</v>
      </c>
      <c r="D228" s="4">
        <f t="shared" si="33"/>
        <v>757302.23</v>
      </c>
      <c r="E228" s="2">
        <f t="shared" si="34"/>
        <v>336663.14629978937</v>
      </c>
      <c r="F228" s="2">
        <f t="shared" si="35"/>
        <v>310897.87</v>
      </c>
      <c r="G228" s="4">
        <f t="shared" si="36"/>
        <v>1101329.5866666664</v>
      </c>
      <c r="H228" s="2">
        <f t="shared" si="40"/>
        <v>636842.22715484165</v>
      </c>
      <c r="I228" s="2">
        <f t="shared" si="41"/>
        <v>654925.22666666645</v>
      </c>
      <c r="J228" s="4">
        <f t="shared" si="38"/>
        <v>902723.28999999992</v>
      </c>
      <c r="K228" s="2">
        <f t="shared" si="42"/>
        <v>473085.76249833091</v>
      </c>
      <c r="L228" s="2">
        <f t="shared" si="43"/>
        <v>456318.92999999993</v>
      </c>
      <c r="N228" s="4">
        <f t="shared" si="37"/>
        <v>1221642.0149999997</v>
      </c>
      <c r="O228" s="2">
        <f t="shared" si="39"/>
        <v>775237.65499999968</v>
      </c>
    </row>
    <row r="229" spans="1:15" x14ac:dyDescent="0.3">
      <c r="A229" s="50">
        <v>44058</v>
      </c>
      <c r="B229" s="2">
        <v>228</v>
      </c>
      <c r="C229" s="4">
        <v>2993508.4</v>
      </c>
      <c r="D229" s="4">
        <f t="shared" si="33"/>
        <v>1719956.38</v>
      </c>
      <c r="E229" s="2">
        <f t="shared" si="34"/>
        <v>926982.26337309647</v>
      </c>
      <c r="F229" s="2">
        <f t="shared" si="35"/>
        <v>1273552.02</v>
      </c>
      <c r="G229" s="4">
        <f t="shared" si="36"/>
        <v>1502704.2866666664</v>
      </c>
      <c r="H229" s="2">
        <f t="shared" si="40"/>
        <v>940142.3167312172</v>
      </c>
      <c r="I229" s="2">
        <f t="shared" si="41"/>
        <v>1490804.1133333335</v>
      </c>
      <c r="J229" s="4">
        <f t="shared" si="38"/>
        <v>1574374.2899999998</v>
      </c>
      <c r="K229" s="2">
        <f t="shared" si="42"/>
        <v>827714.47247937787</v>
      </c>
      <c r="L229" s="2">
        <f t="shared" si="43"/>
        <v>1419134.11</v>
      </c>
      <c r="N229" s="4">
        <f t="shared" si="37"/>
        <v>1018559.0510999999</v>
      </c>
      <c r="O229" s="2">
        <f t="shared" si="39"/>
        <v>1974949.3489000001</v>
      </c>
    </row>
    <row r="230" spans="1:15" x14ac:dyDescent="0.3">
      <c r="A230" s="50">
        <v>44059</v>
      </c>
      <c r="B230" s="2">
        <v>229</v>
      </c>
      <c r="C230" s="4">
        <v>511164.5</v>
      </c>
      <c r="D230" s="4">
        <f t="shared" si="33"/>
        <v>1752336.45</v>
      </c>
      <c r="E230" s="2">
        <f t="shared" si="34"/>
        <v>1257466.2136838674</v>
      </c>
      <c r="F230" s="2">
        <f t="shared" si="35"/>
        <v>1241171.95</v>
      </c>
      <c r="G230" s="4">
        <f t="shared" si="36"/>
        <v>1317025.7533333332</v>
      </c>
      <c r="H230" s="2">
        <f t="shared" si="40"/>
        <v>1048941.7391638015</v>
      </c>
      <c r="I230" s="2">
        <f t="shared" si="41"/>
        <v>805861.25333333318</v>
      </c>
      <c r="J230" s="4">
        <f t="shared" si="38"/>
        <v>1254819.3399999999</v>
      </c>
      <c r="K230" s="2">
        <f t="shared" si="42"/>
        <v>835276.04371931113</v>
      </c>
      <c r="L230" s="2">
        <f t="shared" si="43"/>
        <v>743654.83999999985</v>
      </c>
      <c r="N230" s="4">
        <f t="shared" si="37"/>
        <v>1436479.2761999997</v>
      </c>
      <c r="O230" s="2">
        <f t="shared" si="39"/>
        <v>925314.77619999973</v>
      </c>
    </row>
    <row r="231" spans="1:15" x14ac:dyDescent="0.3">
      <c r="A231" s="50">
        <v>44060</v>
      </c>
      <c r="B231" s="2">
        <v>230</v>
      </c>
      <c r="C231" s="4">
        <v>1289020.02</v>
      </c>
      <c r="D231" s="4">
        <f t="shared" si="33"/>
        <v>900092.26</v>
      </c>
      <c r="E231" s="2">
        <f t="shared" si="34"/>
        <v>919720.77609604434</v>
      </c>
      <c r="F231" s="2">
        <f t="shared" si="35"/>
        <v>388927.76</v>
      </c>
      <c r="G231" s="4">
        <f t="shared" si="36"/>
        <v>1597897.64</v>
      </c>
      <c r="H231" s="2">
        <f t="shared" si="40"/>
        <v>994537.52201587346</v>
      </c>
      <c r="I231" s="2">
        <f t="shared" si="41"/>
        <v>308877.61999999988</v>
      </c>
      <c r="J231" s="4">
        <f t="shared" si="38"/>
        <v>1310024.3199999998</v>
      </c>
      <c r="K231" s="2">
        <f t="shared" si="42"/>
        <v>833011.44795791269</v>
      </c>
      <c r="L231" s="2">
        <f t="shared" si="43"/>
        <v>21004.299999999814</v>
      </c>
      <c r="N231" s="4">
        <f t="shared" si="37"/>
        <v>1601560.3046999997</v>
      </c>
      <c r="O231" s="2">
        <f t="shared" si="39"/>
        <v>312540.28469999973</v>
      </c>
    </row>
    <row r="232" spans="1:15" x14ac:dyDescent="0.3">
      <c r="A232" s="50">
        <v>44061</v>
      </c>
      <c r="B232" s="2">
        <v>231</v>
      </c>
      <c r="C232" s="4">
        <v>1505597.52</v>
      </c>
      <c r="D232" s="4">
        <f t="shared" si="33"/>
        <v>1397308.77</v>
      </c>
      <c r="E232" s="2">
        <f t="shared" si="34"/>
        <v>285474.39103637659</v>
      </c>
      <c r="F232" s="2">
        <f t="shared" si="35"/>
        <v>108288.75</v>
      </c>
      <c r="G232" s="4">
        <f t="shared" si="36"/>
        <v>1101927.3466666667</v>
      </c>
      <c r="H232" s="2">
        <f t="shared" si="40"/>
        <v>550081.00997331843</v>
      </c>
      <c r="I232" s="2">
        <f t="shared" si="41"/>
        <v>403670.17333333334</v>
      </c>
      <c r="J232" s="4">
        <f t="shared" si="38"/>
        <v>1574822.6099999999</v>
      </c>
      <c r="K232" s="2">
        <f t="shared" si="42"/>
        <v>801903.58474771085</v>
      </c>
      <c r="L232" s="2">
        <f t="shared" si="43"/>
        <v>69225.089999999851</v>
      </c>
      <c r="N232" s="4">
        <f t="shared" si="37"/>
        <v>1317861.7571999999</v>
      </c>
      <c r="O232" s="2">
        <f t="shared" si="39"/>
        <v>187735.76280000014</v>
      </c>
    </row>
    <row r="233" spans="1:15" x14ac:dyDescent="0.3">
      <c r="A233" s="50">
        <v>44062</v>
      </c>
      <c r="B233" s="2">
        <v>232</v>
      </c>
      <c r="C233" s="4">
        <v>1822249.5999999999</v>
      </c>
      <c r="D233" s="4">
        <f t="shared" si="33"/>
        <v>1663923.56</v>
      </c>
      <c r="E233" s="2">
        <f t="shared" si="34"/>
        <v>135634.78226222808</v>
      </c>
      <c r="F233" s="2">
        <f t="shared" si="35"/>
        <v>158326.0399999998</v>
      </c>
      <c r="G233" s="4">
        <f t="shared" si="36"/>
        <v>1538955.7133333331</v>
      </c>
      <c r="H233" s="2">
        <f t="shared" si="40"/>
        <v>335961.51525560877</v>
      </c>
      <c r="I233" s="2">
        <f t="shared" si="41"/>
        <v>283293.88666666672</v>
      </c>
      <c r="J233" s="4">
        <f t="shared" si="38"/>
        <v>1282007.9099999999</v>
      </c>
      <c r="K233" s="2">
        <f t="shared" si="42"/>
        <v>461008.92029696115</v>
      </c>
      <c r="L233" s="2">
        <f t="shared" si="43"/>
        <v>540241.68999999994</v>
      </c>
      <c r="N233" s="4">
        <f t="shared" si="37"/>
        <v>1190445.2681</v>
      </c>
      <c r="O233" s="2">
        <f t="shared" si="39"/>
        <v>631804.33189999987</v>
      </c>
    </row>
    <row r="234" spans="1:15" x14ac:dyDescent="0.3">
      <c r="A234" s="50">
        <v>44063</v>
      </c>
      <c r="B234" s="2">
        <v>233</v>
      </c>
      <c r="C234" s="4">
        <v>89063.2</v>
      </c>
      <c r="D234" s="4">
        <f t="shared" si="33"/>
        <v>955656.39999999991</v>
      </c>
      <c r="E234" s="2">
        <f t="shared" si="34"/>
        <v>622916.89222091308</v>
      </c>
      <c r="F234" s="2">
        <f t="shared" si="35"/>
        <v>866593.2</v>
      </c>
      <c r="G234" s="4">
        <f t="shared" si="36"/>
        <v>1138970.1066666667</v>
      </c>
      <c r="H234" s="2">
        <f t="shared" si="40"/>
        <v>669703.80212151469</v>
      </c>
      <c r="I234" s="2">
        <f t="shared" si="41"/>
        <v>1049906.9066666667</v>
      </c>
      <c r="J234" s="4">
        <f t="shared" si="38"/>
        <v>1176482.585</v>
      </c>
      <c r="K234" s="2">
        <f t="shared" si="42"/>
        <v>608188.97067273268</v>
      </c>
      <c r="L234" s="2">
        <f t="shared" si="43"/>
        <v>1087419.385</v>
      </c>
      <c r="N234" s="4">
        <f t="shared" si="37"/>
        <v>1564028.9168000002</v>
      </c>
      <c r="O234" s="2">
        <f t="shared" si="39"/>
        <v>1474965.7168000003</v>
      </c>
    </row>
    <row r="235" spans="1:15" x14ac:dyDescent="0.3">
      <c r="A235" s="50">
        <v>44064</v>
      </c>
      <c r="B235" s="2">
        <v>234</v>
      </c>
      <c r="C235" s="4">
        <v>296890.64</v>
      </c>
      <c r="D235" s="4">
        <f t="shared" si="33"/>
        <v>192976.92</v>
      </c>
      <c r="E235" s="2">
        <f t="shared" si="34"/>
        <v>617163.60695138131</v>
      </c>
      <c r="F235" s="2">
        <f t="shared" si="35"/>
        <v>103913.72</v>
      </c>
      <c r="G235" s="4">
        <f t="shared" si="36"/>
        <v>736067.81333333335</v>
      </c>
      <c r="H235" s="2">
        <f t="shared" si="40"/>
        <v>677110.65773774672</v>
      </c>
      <c r="I235" s="2">
        <f t="shared" si="41"/>
        <v>439177.17333333334</v>
      </c>
      <c r="J235" s="4">
        <f t="shared" si="38"/>
        <v>928450.24000000011</v>
      </c>
      <c r="K235" s="2">
        <f t="shared" si="42"/>
        <v>685201.00042350753</v>
      </c>
      <c r="L235" s="2">
        <f t="shared" si="43"/>
        <v>631559.60000000009</v>
      </c>
      <c r="N235" s="4">
        <f t="shared" si="37"/>
        <v>1171968.6983999999</v>
      </c>
      <c r="O235" s="2">
        <f t="shared" si="39"/>
        <v>875078.05839999986</v>
      </c>
    </row>
    <row r="236" spans="1:15" x14ac:dyDescent="0.3">
      <c r="A236" s="50">
        <v>44065</v>
      </c>
      <c r="B236" s="2">
        <v>235</v>
      </c>
      <c r="C236" s="4">
        <v>54852.200000000004</v>
      </c>
      <c r="D236" s="4">
        <f t="shared" si="33"/>
        <v>175871.42</v>
      </c>
      <c r="E236" s="2">
        <f t="shared" si="34"/>
        <v>112791.20713434802</v>
      </c>
      <c r="F236" s="2">
        <f t="shared" si="35"/>
        <v>121019.22</v>
      </c>
      <c r="G236" s="4">
        <f t="shared" si="36"/>
        <v>146935.34666666668</v>
      </c>
      <c r="H236" s="2">
        <f t="shared" si="40"/>
        <v>659206.69700872537</v>
      </c>
      <c r="I236" s="2">
        <f t="shared" si="41"/>
        <v>92083.146666666667</v>
      </c>
      <c r="J236" s="4">
        <f t="shared" si="38"/>
        <v>565763.91</v>
      </c>
      <c r="K236" s="2">
        <f t="shared" si="42"/>
        <v>730451.9673214521</v>
      </c>
      <c r="L236" s="2">
        <f t="shared" si="43"/>
        <v>510911.71</v>
      </c>
      <c r="N236" s="4">
        <f t="shared" si="37"/>
        <v>539986.40039999993</v>
      </c>
      <c r="O236" s="2">
        <f t="shared" si="39"/>
        <v>485134.20039999991</v>
      </c>
    </row>
    <row r="237" spans="1:15" x14ac:dyDescent="0.3">
      <c r="A237" s="50">
        <v>44066</v>
      </c>
      <c r="B237" s="2">
        <v>236</v>
      </c>
      <c r="C237" s="4">
        <v>1803371.9</v>
      </c>
      <c r="D237" s="4">
        <f t="shared" si="33"/>
        <v>929112.04999999993</v>
      </c>
      <c r="E237" s="2">
        <f t="shared" si="34"/>
        <v>624089.71187299304</v>
      </c>
      <c r="F237" s="2">
        <f t="shared" si="35"/>
        <v>874259.85</v>
      </c>
      <c r="G237" s="4">
        <f t="shared" si="36"/>
        <v>718371.58</v>
      </c>
      <c r="H237" s="2">
        <f t="shared" si="40"/>
        <v>677884.353430385</v>
      </c>
      <c r="I237" s="2">
        <f t="shared" si="41"/>
        <v>1085000.3199999998</v>
      </c>
      <c r="J237" s="4">
        <f t="shared" si="38"/>
        <v>561044.48499999999</v>
      </c>
      <c r="K237" s="2">
        <f t="shared" si="42"/>
        <v>920021.28082746605</v>
      </c>
      <c r="L237" s="2">
        <f t="shared" si="43"/>
        <v>1242327.415</v>
      </c>
      <c r="N237" s="4">
        <f t="shared" si="37"/>
        <v>170085.72580000001</v>
      </c>
      <c r="O237" s="2">
        <f t="shared" si="39"/>
        <v>1633286.1741999998</v>
      </c>
    </row>
    <row r="238" spans="1:15" x14ac:dyDescent="0.3">
      <c r="A238" s="50">
        <v>44067</v>
      </c>
      <c r="B238" s="2">
        <v>237</v>
      </c>
      <c r="C238" s="4">
        <v>5860890</v>
      </c>
      <c r="D238" s="4">
        <f t="shared" si="33"/>
        <v>3832130.95</v>
      </c>
      <c r="E238" s="2">
        <f t="shared" si="34"/>
        <v>1562080.9147222375</v>
      </c>
      <c r="F238" s="2">
        <f t="shared" si="35"/>
        <v>2028759.0499999998</v>
      </c>
      <c r="G238" s="4">
        <f t="shared" si="36"/>
        <v>2573038.0333333332</v>
      </c>
      <c r="H238" s="2">
        <f t="shared" si="40"/>
        <v>1999639.5971119402</v>
      </c>
      <c r="I238" s="2">
        <f t="shared" si="41"/>
        <v>3287851.9666666668</v>
      </c>
      <c r="J238" s="4">
        <f t="shared" si="38"/>
        <v>2004001.1850000001</v>
      </c>
      <c r="K238" s="2">
        <f t="shared" si="42"/>
        <v>2066329.2961856278</v>
      </c>
      <c r="L238" s="2">
        <f t="shared" si="43"/>
        <v>3856888.8149999999</v>
      </c>
      <c r="N238" s="4">
        <f t="shared" si="37"/>
        <v>693854.75629999989</v>
      </c>
      <c r="O238" s="2">
        <f t="shared" si="39"/>
        <v>5167035.2437000005</v>
      </c>
    </row>
    <row r="239" spans="1:15" x14ac:dyDescent="0.3">
      <c r="A239" s="50">
        <v>44068</v>
      </c>
      <c r="B239" s="2">
        <v>238</v>
      </c>
      <c r="C239" s="4">
        <v>1370055.58</v>
      </c>
      <c r="D239" s="4">
        <f t="shared" si="33"/>
        <v>3615472.79</v>
      </c>
      <c r="E239" s="2">
        <f t="shared" si="34"/>
        <v>2139831.9711978654</v>
      </c>
      <c r="F239" s="2">
        <f t="shared" si="35"/>
        <v>2245417.21</v>
      </c>
      <c r="G239" s="4">
        <f t="shared" si="36"/>
        <v>3011439.16</v>
      </c>
      <c r="H239" s="2">
        <f t="shared" si="40"/>
        <v>2212188.6828664793</v>
      </c>
      <c r="I239" s="2">
        <f t="shared" si="41"/>
        <v>1641383.58</v>
      </c>
      <c r="J239" s="4">
        <f t="shared" si="38"/>
        <v>2272292.42</v>
      </c>
      <c r="K239" s="2">
        <f t="shared" si="42"/>
        <v>2091293.3096651577</v>
      </c>
      <c r="L239" s="2">
        <f t="shared" si="43"/>
        <v>902236.83999999985</v>
      </c>
      <c r="N239" s="4">
        <f t="shared" si="37"/>
        <v>2777966.1295000003</v>
      </c>
      <c r="O239" s="2">
        <f t="shared" si="39"/>
        <v>1407910.5495000002</v>
      </c>
    </row>
    <row r="240" spans="1:15" x14ac:dyDescent="0.3">
      <c r="A240" s="50">
        <v>44069</v>
      </c>
      <c r="B240" s="2">
        <v>239</v>
      </c>
      <c r="C240" s="4">
        <v>1059787.68</v>
      </c>
      <c r="D240" s="4">
        <f t="shared" si="33"/>
        <v>1214921.6299999999</v>
      </c>
      <c r="E240" s="2">
        <f t="shared" si="34"/>
        <v>1591534.6350938748</v>
      </c>
      <c r="F240" s="2">
        <f t="shared" si="35"/>
        <v>155133.94999999995</v>
      </c>
      <c r="G240" s="4">
        <f t="shared" si="36"/>
        <v>2763577.7533333334</v>
      </c>
      <c r="H240" s="2">
        <f t="shared" si="40"/>
        <v>2338590.1183830607</v>
      </c>
      <c r="I240" s="2">
        <f t="shared" si="41"/>
        <v>1703790.0733333335</v>
      </c>
      <c r="J240" s="4">
        <f t="shared" si="38"/>
        <v>2523526.29</v>
      </c>
      <c r="K240" s="2">
        <f t="shared" si="42"/>
        <v>2200882.2532788189</v>
      </c>
      <c r="L240" s="2">
        <f t="shared" si="43"/>
        <v>1463738.61</v>
      </c>
      <c r="N240" s="4">
        <f t="shared" si="37"/>
        <v>3463806.4873000002</v>
      </c>
      <c r="O240" s="2">
        <f t="shared" si="39"/>
        <v>2404018.8073000005</v>
      </c>
    </row>
    <row r="241" spans="1:15" x14ac:dyDescent="0.3">
      <c r="A241" s="50">
        <v>44070</v>
      </c>
      <c r="B241" s="2">
        <v>240</v>
      </c>
      <c r="C241" s="4">
        <v>917427.3</v>
      </c>
      <c r="D241" s="4">
        <f t="shared" si="33"/>
        <v>988607.49</v>
      </c>
      <c r="E241" s="2">
        <f t="shared" si="34"/>
        <v>120692.09147876794</v>
      </c>
      <c r="F241" s="2">
        <f t="shared" si="35"/>
        <v>71180.189999999944</v>
      </c>
      <c r="G241" s="4">
        <f t="shared" si="36"/>
        <v>1115756.8533333333</v>
      </c>
      <c r="H241" s="2">
        <f t="shared" si="40"/>
        <v>1370690.2497656939</v>
      </c>
      <c r="I241" s="2">
        <f t="shared" si="41"/>
        <v>198329.55333333323</v>
      </c>
      <c r="J241" s="4">
        <f t="shared" si="38"/>
        <v>2302040.14</v>
      </c>
      <c r="K241" s="2">
        <f t="shared" si="42"/>
        <v>2222009.5680387435</v>
      </c>
      <c r="L241" s="2">
        <f t="shared" si="43"/>
        <v>1384612.84</v>
      </c>
      <c r="N241" s="4">
        <f t="shared" si="37"/>
        <v>2254099.4059000001</v>
      </c>
      <c r="O241" s="2">
        <f t="shared" si="39"/>
        <v>1336672.1059000001</v>
      </c>
    </row>
    <row r="242" spans="1:15" x14ac:dyDescent="0.3">
      <c r="A242" s="50">
        <v>44071</v>
      </c>
      <c r="B242" s="2">
        <v>241</v>
      </c>
      <c r="C242" s="4">
        <v>21962.82</v>
      </c>
      <c r="D242" s="4">
        <f t="shared" si="33"/>
        <v>469695.06</v>
      </c>
      <c r="E242" s="2">
        <f t="shared" si="34"/>
        <v>320570.41206562851</v>
      </c>
      <c r="F242" s="2">
        <f t="shared" si="35"/>
        <v>447732.24</v>
      </c>
      <c r="G242" s="4">
        <f t="shared" si="36"/>
        <v>666392.6</v>
      </c>
      <c r="H242" s="2">
        <f t="shared" si="40"/>
        <v>1057910.6715700612</v>
      </c>
      <c r="I242" s="2">
        <f t="shared" si="41"/>
        <v>644429.78</v>
      </c>
      <c r="J242" s="4">
        <f t="shared" si="38"/>
        <v>842308.34499999986</v>
      </c>
      <c r="K242" s="2">
        <f t="shared" si="42"/>
        <v>1177569.6933662046</v>
      </c>
      <c r="L242" s="2">
        <f t="shared" si="43"/>
        <v>820345.52499999991</v>
      </c>
      <c r="N242" s="4">
        <f t="shared" si="37"/>
        <v>1080355.8907000001</v>
      </c>
      <c r="O242" s="2">
        <f t="shared" si="39"/>
        <v>1058393.0707</v>
      </c>
    </row>
    <row r="243" spans="1:15" x14ac:dyDescent="0.3">
      <c r="A243" s="50">
        <v>44072</v>
      </c>
      <c r="B243" s="2">
        <v>242</v>
      </c>
      <c r="C243" s="4">
        <v>2897962.4099999997</v>
      </c>
      <c r="D243" s="4">
        <f t="shared" si="33"/>
        <v>1459962.6149999998</v>
      </c>
      <c r="E243" s="2">
        <f t="shared" si="34"/>
        <v>1064966.5650046153</v>
      </c>
      <c r="F243" s="2">
        <f t="shared" si="35"/>
        <v>1437999.7949999999</v>
      </c>
      <c r="G243" s="4">
        <f t="shared" si="36"/>
        <v>1279117.51</v>
      </c>
      <c r="H243" s="2">
        <f t="shared" si="40"/>
        <v>1012469.4502933997</v>
      </c>
      <c r="I243" s="2">
        <f t="shared" si="41"/>
        <v>1618844.8999999997</v>
      </c>
      <c r="J243" s="4">
        <f t="shared" si="38"/>
        <v>1224285.0525</v>
      </c>
      <c r="K243" s="2">
        <f t="shared" si="42"/>
        <v>1372392.6289962819</v>
      </c>
      <c r="L243" s="2">
        <f t="shared" si="43"/>
        <v>1673677.3574999997</v>
      </c>
      <c r="N243" s="4">
        <f t="shared" si="37"/>
        <v>648765.9828</v>
      </c>
      <c r="O243" s="2">
        <f t="shared" si="39"/>
        <v>2249196.4271999998</v>
      </c>
    </row>
    <row r="244" spans="1:15" x14ac:dyDescent="0.3">
      <c r="A244" s="50">
        <v>44073</v>
      </c>
      <c r="B244" s="2">
        <v>243</v>
      </c>
      <c r="C244" s="4">
        <v>260669.52</v>
      </c>
      <c r="D244" s="4">
        <f t="shared" si="33"/>
        <v>1579315.9649999999</v>
      </c>
      <c r="E244" s="2">
        <f t="shared" si="34"/>
        <v>1379614.413039234</v>
      </c>
      <c r="F244" s="2">
        <f t="shared" si="35"/>
        <v>1318646.4449999998</v>
      </c>
      <c r="G244" s="4">
        <f t="shared" si="36"/>
        <v>1060198.2499999998</v>
      </c>
      <c r="H244" s="2">
        <f t="shared" si="40"/>
        <v>1106826.5057816228</v>
      </c>
      <c r="I244" s="2">
        <f t="shared" si="41"/>
        <v>799528.72999999975</v>
      </c>
      <c r="J244" s="4">
        <f t="shared" si="38"/>
        <v>1024505.5125</v>
      </c>
      <c r="K244" s="2">
        <f t="shared" si="42"/>
        <v>1222166.1934376021</v>
      </c>
      <c r="L244" s="2">
        <f t="shared" si="43"/>
        <v>763835.99249999993</v>
      </c>
      <c r="N244" s="4">
        <f t="shared" si="37"/>
        <v>1182424.8682499998</v>
      </c>
      <c r="O244" s="2">
        <f t="shared" si="39"/>
        <v>921755.34824999981</v>
      </c>
    </row>
    <row r="245" spans="1:15" x14ac:dyDescent="0.3">
      <c r="A245" s="50">
        <v>44074</v>
      </c>
      <c r="B245" s="2">
        <v>244</v>
      </c>
      <c r="C245" s="4">
        <v>49680.15</v>
      </c>
      <c r="D245" s="4">
        <f t="shared" si="33"/>
        <v>155174.83499999999</v>
      </c>
      <c r="E245" s="2">
        <f t="shared" si="34"/>
        <v>935403.00819336344</v>
      </c>
      <c r="F245" s="2">
        <f t="shared" si="35"/>
        <v>105494.685</v>
      </c>
      <c r="G245" s="4">
        <f t="shared" si="36"/>
        <v>1069437.3599999999</v>
      </c>
      <c r="H245" s="2">
        <f t="shared" si="40"/>
        <v>1197192.5169187014</v>
      </c>
      <c r="I245" s="2">
        <f t="shared" si="41"/>
        <v>1019757.2099999998</v>
      </c>
      <c r="J245" s="4">
        <f t="shared" si="38"/>
        <v>807568.72499999986</v>
      </c>
      <c r="K245" s="2">
        <f t="shared" si="42"/>
        <v>1076104.4550773983</v>
      </c>
      <c r="L245" s="2">
        <f t="shared" si="43"/>
        <v>757888.57499999984</v>
      </c>
      <c r="N245" s="4">
        <f t="shared" si="37"/>
        <v>1381749.3820500001</v>
      </c>
      <c r="O245" s="2">
        <f t="shared" si="39"/>
        <v>1332069.2320500002</v>
      </c>
    </row>
    <row r="246" spans="1:15" x14ac:dyDescent="0.3">
      <c r="A246" s="50">
        <v>44075</v>
      </c>
      <c r="B246" s="2">
        <v>245</v>
      </c>
      <c r="C246" s="4">
        <v>4030338.6900000004</v>
      </c>
      <c r="D246" s="4">
        <f t="shared" si="33"/>
        <v>2040009.4200000002</v>
      </c>
      <c r="E246" s="2">
        <f t="shared" si="34"/>
        <v>1409350.8668145742</v>
      </c>
      <c r="F246" s="2">
        <f t="shared" si="35"/>
        <v>1990329.2700000003</v>
      </c>
      <c r="G246" s="4">
        <f t="shared" si="36"/>
        <v>1446896.12</v>
      </c>
      <c r="H246" s="2">
        <f t="shared" si="40"/>
        <v>1668664.7825862251</v>
      </c>
      <c r="I246" s="2">
        <f t="shared" si="41"/>
        <v>2583442.5700000003</v>
      </c>
      <c r="J246" s="4">
        <f t="shared" si="38"/>
        <v>1809662.6924999999</v>
      </c>
      <c r="K246" s="2">
        <f t="shared" si="42"/>
        <v>1490841.9012788371</v>
      </c>
      <c r="L246" s="2">
        <f t="shared" si="43"/>
        <v>2220675.9975000005</v>
      </c>
      <c r="N246" s="4">
        <f t="shared" si="37"/>
        <v>770192.51685000001</v>
      </c>
      <c r="O246" s="2">
        <f t="shared" si="39"/>
        <v>3260146.1731500002</v>
      </c>
    </row>
    <row r="247" spans="1:15" x14ac:dyDescent="0.3">
      <c r="A247" s="50">
        <v>44076</v>
      </c>
      <c r="B247" s="2">
        <v>246</v>
      </c>
      <c r="C247" s="4">
        <v>269981.08</v>
      </c>
      <c r="D247" s="4">
        <f t="shared" si="33"/>
        <v>2150159.8850000002</v>
      </c>
      <c r="E247" s="2">
        <f t="shared" si="34"/>
        <v>1936037.5695980131</v>
      </c>
      <c r="F247" s="2">
        <f t="shared" si="35"/>
        <v>1880178.8050000002</v>
      </c>
      <c r="G247" s="4">
        <f t="shared" si="36"/>
        <v>1449999.9733333334</v>
      </c>
      <c r="H247" s="2">
        <f t="shared" si="40"/>
        <v>1742271.0149360436</v>
      </c>
      <c r="I247" s="2">
        <f t="shared" si="41"/>
        <v>1180018.8933333333</v>
      </c>
      <c r="J247" s="4">
        <f t="shared" si="38"/>
        <v>1152667.3600000001</v>
      </c>
      <c r="K247" s="2">
        <f t="shared" si="42"/>
        <v>1310379.4746491234</v>
      </c>
      <c r="L247" s="2">
        <f t="shared" si="43"/>
        <v>882686.28</v>
      </c>
      <c r="N247" s="4">
        <f t="shared" si="37"/>
        <v>1429618.4223000002</v>
      </c>
      <c r="O247" s="2">
        <f t="shared" si="39"/>
        <v>1159637.3423000001</v>
      </c>
    </row>
    <row r="248" spans="1:15" x14ac:dyDescent="0.3">
      <c r="A248" s="50">
        <v>44077</v>
      </c>
      <c r="B248" s="2">
        <v>247</v>
      </c>
      <c r="C248" s="4">
        <v>438212.8</v>
      </c>
      <c r="D248" s="4">
        <f t="shared" si="33"/>
        <v>354096.94</v>
      </c>
      <c r="E248" s="2">
        <f t="shared" si="34"/>
        <v>1330817.0078329267</v>
      </c>
      <c r="F248" s="2">
        <f t="shared" si="35"/>
        <v>84115.859999999986</v>
      </c>
      <c r="G248" s="4">
        <f t="shared" si="36"/>
        <v>1579510.8566666667</v>
      </c>
      <c r="H248" s="2">
        <f t="shared" si="40"/>
        <v>1767218.2807322682</v>
      </c>
      <c r="I248" s="2">
        <f t="shared" si="41"/>
        <v>1141298.0566666666</v>
      </c>
      <c r="J248" s="4">
        <f t="shared" si="38"/>
        <v>1197053.18</v>
      </c>
      <c r="K248" s="2">
        <f t="shared" si="42"/>
        <v>1309653.6535671307</v>
      </c>
      <c r="L248" s="2">
        <f t="shared" si="43"/>
        <v>758840.37999999989</v>
      </c>
      <c r="N248" s="4">
        <f t="shared" si="37"/>
        <v>1894874.0118500001</v>
      </c>
      <c r="O248" s="2">
        <f t="shared" si="39"/>
        <v>1456661.2118500001</v>
      </c>
    </row>
    <row r="249" spans="1:15" x14ac:dyDescent="0.3">
      <c r="A249" s="50">
        <v>44078</v>
      </c>
      <c r="B249" s="2">
        <v>248</v>
      </c>
      <c r="C249" s="4">
        <v>87272.82</v>
      </c>
      <c r="D249" s="4">
        <f t="shared" si="33"/>
        <v>262742.81</v>
      </c>
      <c r="E249" s="2">
        <f t="shared" si="34"/>
        <v>137595.77626900416</v>
      </c>
      <c r="F249" s="2">
        <f t="shared" si="35"/>
        <v>175469.99</v>
      </c>
      <c r="G249" s="4">
        <f t="shared" si="36"/>
        <v>265155.56666666665</v>
      </c>
      <c r="H249" s="2">
        <f t="shared" si="40"/>
        <v>953353.39973107772</v>
      </c>
      <c r="I249" s="2">
        <f t="shared" si="41"/>
        <v>177882.74666666664</v>
      </c>
      <c r="J249" s="4">
        <f t="shared" si="38"/>
        <v>1206451.3475000001</v>
      </c>
      <c r="K249" s="2">
        <f t="shared" si="42"/>
        <v>1372856.1699526715</v>
      </c>
      <c r="L249" s="2">
        <f t="shared" si="43"/>
        <v>1119178.5275000001</v>
      </c>
      <c r="N249" s="4">
        <f t="shared" si="37"/>
        <v>1153617.3804000001</v>
      </c>
      <c r="O249" s="2">
        <f t="shared" si="39"/>
        <v>1066344.5604000001</v>
      </c>
    </row>
    <row r="250" spans="1:15" x14ac:dyDescent="0.3">
      <c r="A250" s="50">
        <v>44079</v>
      </c>
      <c r="B250" s="2">
        <v>249</v>
      </c>
      <c r="C250" s="4">
        <v>54281.94</v>
      </c>
      <c r="D250" s="4">
        <f t="shared" si="33"/>
        <v>70777.38</v>
      </c>
      <c r="E250" s="2">
        <f t="shared" si="34"/>
        <v>124623.06554445229</v>
      </c>
      <c r="F250" s="2">
        <f t="shared" si="35"/>
        <v>16495.440000000002</v>
      </c>
      <c r="G250" s="4">
        <f t="shared" si="36"/>
        <v>193255.85333333336</v>
      </c>
      <c r="H250" s="2">
        <f t="shared" si="40"/>
        <v>671693.69862062577</v>
      </c>
      <c r="I250" s="2">
        <f t="shared" si="41"/>
        <v>138973.91333333336</v>
      </c>
      <c r="J250" s="4">
        <f t="shared" si="38"/>
        <v>212437.15999999997</v>
      </c>
      <c r="K250" s="2">
        <f t="shared" si="42"/>
        <v>811256.3468548489</v>
      </c>
      <c r="L250" s="2">
        <f t="shared" si="43"/>
        <v>158155.21999999997</v>
      </c>
      <c r="N250" s="4">
        <f t="shared" si="37"/>
        <v>283636.92830000003</v>
      </c>
      <c r="O250" s="2">
        <f t="shared" si="39"/>
        <v>229354.98830000003</v>
      </c>
    </row>
    <row r="251" spans="1:15" x14ac:dyDescent="0.3">
      <c r="A251" s="50">
        <v>44080</v>
      </c>
      <c r="B251" s="2">
        <v>250</v>
      </c>
      <c r="C251" s="4">
        <v>2103369.1999999997</v>
      </c>
      <c r="D251" s="4">
        <f t="shared" si="33"/>
        <v>1078825.5699999998</v>
      </c>
      <c r="E251" s="2">
        <f t="shared" si="34"/>
        <v>724555.63944888674</v>
      </c>
      <c r="F251" s="2">
        <f t="shared" si="35"/>
        <v>1024543.6299999999</v>
      </c>
      <c r="G251" s="4">
        <f t="shared" si="36"/>
        <v>748307.98666666669</v>
      </c>
      <c r="H251" s="2">
        <f t="shared" si="40"/>
        <v>793126.07489378436</v>
      </c>
      <c r="I251" s="2">
        <f t="shared" si="41"/>
        <v>1355061.2133333329</v>
      </c>
      <c r="J251" s="4">
        <f t="shared" si="38"/>
        <v>670784.18999999994</v>
      </c>
      <c r="K251" s="2">
        <f t="shared" si="42"/>
        <v>988143.73742203624</v>
      </c>
      <c r="L251" s="2">
        <f t="shared" si="43"/>
        <v>1432585.0099999998</v>
      </c>
      <c r="N251" s="4">
        <f t="shared" si="37"/>
        <v>153427.67079999999</v>
      </c>
      <c r="O251" s="2">
        <f t="shared" si="39"/>
        <v>1949941.5291999998</v>
      </c>
    </row>
    <row r="252" spans="1:15" x14ac:dyDescent="0.3">
      <c r="A252" s="50">
        <v>44081</v>
      </c>
      <c r="B252" s="2">
        <v>251</v>
      </c>
      <c r="C252" s="4">
        <v>728874.66</v>
      </c>
      <c r="D252" s="4">
        <f t="shared" si="33"/>
        <v>1416121.93</v>
      </c>
      <c r="E252" s="2">
        <f t="shared" si="34"/>
        <v>872352.69813763665</v>
      </c>
      <c r="F252" s="2">
        <f t="shared" si="35"/>
        <v>687247.2699999999</v>
      </c>
      <c r="G252" s="4">
        <f t="shared" si="36"/>
        <v>962175.2666666666</v>
      </c>
      <c r="H252" s="2">
        <f t="shared" si="40"/>
        <v>797900.12189049902</v>
      </c>
      <c r="I252" s="2">
        <f t="shared" si="41"/>
        <v>233300.60666666657</v>
      </c>
      <c r="J252" s="4">
        <f t="shared" si="38"/>
        <v>743449.65500000003</v>
      </c>
      <c r="K252" s="2">
        <f t="shared" si="42"/>
        <v>912426.14651629014</v>
      </c>
      <c r="L252" s="2">
        <f t="shared" si="43"/>
        <v>14574.994999999995</v>
      </c>
      <c r="N252" s="4">
        <f t="shared" si="37"/>
        <v>747984.16570000001</v>
      </c>
      <c r="O252" s="2">
        <f t="shared" si="39"/>
        <v>19109.50569999998</v>
      </c>
    </row>
    <row r="253" spans="1:15" x14ac:dyDescent="0.3">
      <c r="A253" s="50">
        <v>44082</v>
      </c>
      <c r="B253" s="2">
        <v>252</v>
      </c>
      <c r="C253" s="4">
        <v>2611077.21</v>
      </c>
      <c r="D253" s="4">
        <f t="shared" si="33"/>
        <v>1669975.9350000001</v>
      </c>
      <c r="E253" s="2">
        <f t="shared" si="34"/>
        <v>824008.62250618415</v>
      </c>
      <c r="F253" s="2">
        <f t="shared" si="35"/>
        <v>941101.27499999991</v>
      </c>
      <c r="G253" s="4">
        <f t="shared" si="36"/>
        <v>1814440.3566666667</v>
      </c>
      <c r="H253" s="2">
        <f t="shared" si="40"/>
        <v>917469.40749002155</v>
      </c>
      <c r="I253" s="2">
        <f t="shared" si="41"/>
        <v>796636.85333333327</v>
      </c>
      <c r="J253" s="4">
        <f t="shared" si="38"/>
        <v>1374400.7524999999</v>
      </c>
      <c r="K253" s="2">
        <f t="shared" si="42"/>
        <v>949591.22462035564</v>
      </c>
      <c r="L253" s="2">
        <f t="shared" si="43"/>
        <v>1236676.4575</v>
      </c>
      <c r="N253" s="4">
        <f t="shared" si="37"/>
        <v>1192114.3319000001</v>
      </c>
      <c r="O253" s="2">
        <f t="shared" si="39"/>
        <v>1418962.8780999999</v>
      </c>
    </row>
    <row r="254" spans="1:15" x14ac:dyDescent="0.3">
      <c r="A254" s="50">
        <v>44083</v>
      </c>
      <c r="B254" s="2">
        <v>253</v>
      </c>
      <c r="C254" s="4">
        <v>310892.40000000002</v>
      </c>
      <c r="D254" s="4">
        <f t="shared" si="33"/>
        <v>1460984.8049999999</v>
      </c>
      <c r="E254" s="2">
        <f t="shared" si="34"/>
        <v>1050805.4410416109</v>
      </c>
      <c r="F254" s="2">
        <f t="shared" si="35"/>
        <v>1150092.4049999998</v>
      </c>
      <c r="G254" s="4">
        <f t="shared" si="36"/>
        <v>1216948.0900000001</v>
      </c>
      <c r="H254" s="2">
        <f t="shared" si="40"/>
        <v>709459.03394564078</v>
      </c>
      <c r="I254" s="2">
        <f t="shared" si="41"/>
        <v>906055.69000000006</v>
      </c>
      <c r="J254" s="4">
        <f t="shared" si="38"/>
        <v>1438553.3675000002</v>
      </c>
      <c r="K254" s="2">
        <f t="shared" si="42"/>
        <v>1101533.0407565783</v>
      </c>
      <c r="L254" s="2">
        <f t="shared" si="43"/>
        <v>1127660.9675000003</v>
      </c>
      <c r="N254" s="4">
        <f t="shared" si="37"/>
        <v>1661801.31305</v>
      </c>
      <c r="O254" s="2">
        <f t="shared" si="39"/>
        <v>1350908.9130500001</v>
      </c>
    </row>
    <row r="255" spans="1:15" x14ac:dyDescent="0.3">
      <c r="A255" s="50">
        <v>44084</v>
      </c>
      <c r="B255" s="2">
        <v>254</v>
      </c>
      <c r="C255" s="4">
        <v>2361754.4</v>
      </c>
      <c r="D255" s="4">
        <f t="shared" si="33"/>
        <v>1336323.3999999999</v>
      </c>
      <c r="E255" s="2">
        <f t="shared" si="34"/>
        <v>1089546.0696546254</v>
      </c>
      <c r="F255" s="2">
        <f t="shared" si="35"/>
        <v>1025431</v>
      </c>
      <c r="G255" s="4">
        <f t="shared" si="36"/>
        <v>1761241.3366666667</v>
      </c>
      <c r="H255" s="2">
        <f t="shared" si="40"/>
        <v>778070.93264992977</v>
      </c>
      <c r="I255" s="2">
        <f t="shared" si="41"/>
        <v>600513.06333333324</v>
      </c>
      <c r="J255" s="4">
        <f t="shared" si="38"/>
        <v>1503149.6675</v>
      </c>
      <c r="K255" s="2">
        <f t="shared" si="42"/>
        <v>940532.08814325312</v>
      </c>
      <c r="L255" s="2">
        <f t="shared" si="43"/>
        <v>858604.73249999993</v>
      </c>
      <c r="N255" s="4">
        <f t="shared" si="37"/>
        <v>1426430.73765</v>
      </c>
      <c r="O255" s="2">
        <f t="shared" si="39"/>
        <v>935323.66234999988</v>
      </c>
    </row>
    <row r="256" spans="1:15" x14ac:dyDescent="0.3">
      <c r="A256" s="50">
        <v>44085</v>
      </c>
      <c r="B256" s="2">
        <v>255</v>
      </c>
      <c r="C256" s="4">
        <v>1420062.06</v>
      </c>
      <c r="D256" s="4">
        <f t="shared" si="33"/>
        <v>1890908.23</v>
      </c>
      <c r="E256" s="2">
        <f t="shared" si="34"/>
        <v>797873.69036855351</v>
      </c>
      <c r="F256" s="2">
        <f t="shared" si="35"/>
        <v>470846.16999999993</v>
      </c>
      <c r="G256" s="4">
        <f t="shared" si="36"/>
        <v>1364236.2866666666</v>
      </c>
      <c r="H256" s="2">
        <f t="shared" si="40"/>
        <v>628402.56990340853</v>
      </c>
      <c r="I256" s="2">
        <f t="shared" si="41"/>
        <v>55825.773333333433</v>
      </c>
      <c r="J256" s="4">
        <f t="shared" si="38"/>
        <v>1675946.5175000001</v>
      </c>
      <c r="K256" s="2">
        <f t="shared" si="42"/>
        <v>949166.32636478054</v>
      </c>
      <c r="L256" s="2">
        <f t="shared" si="43"/>
        <v>255884.45750000002</v>
      </c>
      <c r="N256" s="4">
        <f t="shared" si="37"/>
        <v>1503971.8281999999</v>
      </c>
      <c r="O256" s="2">
        <f t="shared" si="39"/>
        <v>83909.768199999817</v>
      </c>
    </row>
    <row r="257" spans="1:15" x14ac:dyDescent="0.3">
      <c r="A257" s="50">
        <v>44086</v>
      </c>
      <c r="B257" s="2">
        <v>256</v>
      </c>
      <c r="C257" s="4">
        <v>1047309.1200000001</v>
      </c>
      <c r="D257" s="4">
        <f t="shared" si="33"/>
        <v>1233685.5900000001</v>
      </c>
      <c r="E257" s="2">
        <f t="shared" si="34"/>
        <v>358072.83084124781</v>
      </c>
      <c r="F257" s="2">
        <f t="shared" si="35"/>
        <v>186376.46999999997</v>
      </c>
      <c r="G257" s="4">
        <f t="shared" si="36"/>
        <v>1609708.5266666666</v>
      </c>
      <c r="H257" s="2">
        <f t="shared" si="40"/>
        <v>476104.1723619132</v>
      </c>
      <c r="I257" s="2">
        <f t="shared" si="41"/>
        <v>562399.4066666665</v>
      </c>
      <c r="J257" s="4">
        <f t="shared" si="38"/>
        <v>1285004.4950000001</v>
      </c>
      <c r="K257" s="2">
        <f t="shared" si="42"/>
        <v>729862.53691720834</v>
      </c>
      <c r="L257" s="2">
        <f t="shared" si="43"/>
        <v>237695.375</v>
      </c>
      <c r="N257" s="4">
        <f t="shared" si="37"/>
        <v>1595097.8260999999</v>
      </c>
      <c r="O257" s="2">
        <f t="shared" si="39"/>
        <v>547788.70609999984</v>
      </c>
    </row>
    <row r="258" spans="1:15" x14ac:dyDescent="0.3">
      <c r="A258" s="50">
        <v>44087</v>
      </c>
      <c r="B258" s="2">
        <v>257</v>
      </c>
      <c r="C258" s="4">
        <v>302809.65000000002</v>
      </c>
      <c r="D258" s="4">
        <f t="shared" si="33"/>
        <v>675059.38500000001</v>
      </c>
      <c r="E258" s="2">
        <f t="shared" si="34"/>
        <v>294368.8619548874</v>
      </c>
      <c r="F258" s="2">
        <f t="shared" si="35"/>
        <v>372249.73499999999</v>
      </c>
      <c r="G258" s="4">
        <f t="shared" si="36"/>
        <v>923393.61</v>
      </c>
      <c r="H258" s="2">
        <f t="shared" si="40"/>
        <v>484607.76613551599</v>
      </c>
      <c r="I258" s="2">
        <f t="shared" si="41"/>
        <v>620583.96</v>
      </c>
      <c r="J258" s="4">
        <f t="shared" si="38"/>
        <v>1282983.8075000001</v>
      </c>
      <c r="K258" s="2">
        <f t="shared" si="42"/>
        <v>674521.94415539433</v>
      </c>
      <c r="L258" s="2">
        <f t="shared" si="43"/>
        <v>980174.15750000009</v>
      </c>
      <c r="N258" s="4">
        <f t="shared" si="37"/>
        <v>1502362.1399000003</v>
      </c>
      <c r="O258" s="2">
        <f t="shared" si="39"/>
        <v>1199552.4899000004</v>
      </c>
    </row>
    <row r="259" spans="1:15" x14ac:dyDescent="0.3">
      <c r="A259" s="50">
        <v>44088</v>
      </c>
      <c r="B259" s="2">
        <v>258</v>
      </c>
      <c r="C259" s="4">
        <v>355400.5</v>
      </c>
      <c r="D259" s="4">
        <f t="shared" si="33"/>
        <v>329105.07500000001</v>
      </c>
      <c r="E259" s="2">
        <f t="shared" si="34"/>
        <v>263876.21585082356</v>
      </c>
      <c r="F259" s="2">
        <f t="shared" si="35"/>
        <v>26295.424999999988</v>
      </c>
      <c r="G259" s="4">
        <f t="shared" si="36"/>
        <v>568506.42333333334</v>
      </c>
      <c r="H259" s="2">
        <f t="shared" si="40"/>
        <v>498942.77513827593</v>
      </c>
      <c r="I259" s="2">
        <f t="shared" si="41"/>
        <v>213105.92333333334</v>
      </c>
      <c r="J259" s="4">
        <f t="shared" si="38"/>
        <v>781395.33250000002</v>
      </c>
      <c r="K259" s="2">
        <f t="shared" si="42"/>
        <v>562180.78125145787</v>
      </c>
      <c r="L259" s="2">
        <f t="shared" si="43"/>
        <v>425994.83250000002</v>
      </c>
      <c r="N259" s="4">
        <f t="shared" si="37"/>
        <v>879907.44435000001</v>
      </c>
      <c r="O259" s="2">
        <f t="shared" si="39"/>
        <v>524506.94435000001</v>
      </c>
    </row>
    <row r="260" spans="1:15" x14ac:dyDescent="0.3">
      <c r="A260" s="50">
        <v>44089</v>
      </c>
      <c r="B260" s="2">
        <v>259</v>
      </c>
      <c r="C260" s="4">
        <v>743120.08</v>
      </c>
      <c r="D260" s="4">
        <f t="shared" ref="D260:D323" si="44">AVERAGE(C259:C260)</f>
        <v>549260.29</v>
      </c>
      <c r="E260" s="2">
        <f t="shared" si="34"/>
        <v>138334.86103432984</v>
      </c>
      <c r="F260" s="2">
        <f t="shared" si="35"/>
        <v>193859.78999999992</v>
      </c>
      <c r="G260" s="4">
        <f t="shared" si="36"/>
        <v>467110.07666666666</v>
      </c>
      <c r="H260" s="2">
        <f t="shared" si="40"/>
        <v>410982.60624552827</v>
      </c>
      <c r="I260" s="2">
        <f t="shared" si="41"/>
        <v>276010.0033333333</v>
      </c>
      <c r="J260" s="4">
        <f t="shared" si="38"/>
        <v>612159.83750000002</v>
      </c>
      <c r="K260" s="2">
        <f t="shared" si="42"/>
        <v>551330.81102900172</v>
      </c>
      <c r="L260" s="2">
        <f t="shared" si="43"/>
        <v>130960.24249999993</v>
      </c>
      <c r="N260" s="4">
        <f t="shared" si="37"/>
        <v>484217.46815000009</v>
      </c>
      <c r="O260" s="2">
        <f t="shared" si="39"/>
        <v>258902.61184999987</v>
      </c>
    </row>
    <row r="261" spans="1:15" x14ac:dyDescent="0.3">
      <c r="A261" s="50">
        <v>44090</v>
      </c>
      <c r="B261" s="2">
        <v>260</v>
      </c>
      <c r="C261" s="4">
        <v>2823287.88</v>
      </c>
      <c r="D261" s="4">
        <f t="shared" si="44"/>
        <v>1783203.98</v>
      </c>
      <c r="E261" s="2">
        <f t="shared" ref="E261:E324" si="45">SQRT(SUMXMY2(C260:C261,D260:D261)/2)</f>
        <v>748116.34697353526</v>
      </c>
      <c r="F261" s="2">
        <f t="shared" ref="F261:F324" si="46">ABS(D261-C261)</f>
        <v>1040083.8999999999</v>
      </c>
      <c r="G261" s="4">
        <f t="shared" ref="G261:G324" si="47">AVERAGE(C259:C261)</f>
        <v>1307269.4866666666</v>
      </c>
      <c r="H261" s="2">
        <f t="shared" si="40"/>
        <v>898129.06003253988</v>
      </c>
      <c r="I261" s="2">
        <f t="shared" si="41"/>
        <v>1516018.3933333333</v>
      </c>
      <c r="J261" s="4">
        <f t="shared" si="38"/>
        <v>1056154.5274999999</v>
      </c>
      <c r="K261" s="2">
        <f t="shared" si="42"/>
        <v>1034664.6614943759</v>
      </c>
      <c r="L261" s="2">
        <f t="shared" si="43"/>
        <v>1767133.3525</v>
      </c>
      <c r="N261" s="4">
        <f t="shared" ref="N261:N324" si="48">($M$2*D260)+($M$3*C259)+($M$4*C258)</f>
        <v>473716.57230000006</v>
      </c>
      <c r="O261" s="2">
        <f t="shared" si="39"/>
        <v>2349571.3076999998</v>
      </c>
    </row>
    <row r="262" spans="1:15" x14ac:dyDescent="0.3">
      <c r="A262" s="50">
        <v>44091</v>
      </c>
      <c r="B262" s="2">
        <v>261</v>
      </c>
      <c r="C262" s="4">
        <v>1092273.21</v>
      </c>
      <c r="D262" s="4">
        <f t="shared" si="44"/>
        <v>1957780.5449999999</v>
      </c>
      <c r="E262" s="2">
        <f t="shared" si="45"/>
        <v>956785.62540885096</v>
      </c>
      <c r="F262" s="2">
        <f t="shared" si="46"/>
        <v>865507.33499999996</v>
      </c>
      <c r="G262" s="4">
        <f t="shared" si="47"/>
        <v>1552893.7233333334</v>
      </c>
      <c r="H262" s="2">
        <f t="shared" si="40"/>
        <v>928558.83823060477</v>
      </c>
      <c r="I262" s="2">
        <f t="shared" si="41"/>
        <v>460620.51333333342</v>
      </c>
      <c r="J262" s="4">
        <f t="shared" ref="J262:J325" si="49">AVERAGE(C259:C262)</f>
        <v>1253520.4175</v>
      </c>
      <c r="K262" s="2">
        <f t="shared" si="42"/>
        <v>914792.75383509661</v>
      </c>
      <c r="L262" s="2">
        <f t="shared" si="43"/>
        <v>161247.20750000002</v>
      </c>
      <c r="N262" s="4">
        <f t="shared" si="48"/>
        <v>1354677.9854000001</v>
      </c>
      <c r="O262" s="2">
        <f t="shared" ref="O262:O325" si="50">ABS(N262-C262)</f>
        <v>262404.77540000016</v>
      </c>
    </row>
    <row r="263" spans="1:15" x14ac:dyDescent="0.3">
      <c r="A263" s="50">
        <v>44092</v>
      </c>
      <c r="B263" s="2">
        <v>262</v>
      </c>
      <c r="C263" s="4">
        <v>521927.78</v>
      </c>
      <c r="D263" s="4">
        <f t="shared" si="44"/>
        <v>807100.495</v>
      </c>
      <c r="E263" s="2">
        <f t="shared" si="45"/>
        <v>644370.39981646941</v>
      </c>
      <c r="F263" s="2">
        <f t="shared" si="46"/>
        <v>285172.71499999997</v>
      </c>
      <c r="G263" s="4">
        <f t="shared" si="47"/>
        <v>1479162.9566666668</v>
      </c>
      <c r="H263" s="2">
        <f t="shared" ref="H263:H326" si="51">SQRT(SUMXMY2(C261:C263,G261:G263)/3)</f>
        <v>1068765.9877442005</v>
      </c>
      <c r="I263" s="2">
        <f t="shared" ref="I263:I326" si="52">ABS(G263-C263)</f>
        <v>957235.17666666675</v>
      </c>
      <c r="J263" s="4">
        <f t="shared" si="49"/>
        <v>1295152.2375</v>
      </c>
      <c r="K263" s="2">
        <f t="shared" si="42"/>
        <v>970024.17421374936</v>
      </c>
      <c r="L263" s="2">
        <f t="shared" si="43"/>
        <v>773224.45750000002</v>
      </c>
      <c r="N263" s="4">
        <f t="shared" si="48"/>
        <v>1785761.0495500001</v>
      </c>
      <c r="O263" s="2">
        <f t="shared" si="50"/>
        <v>1263833.2695500001</v>
      </c>
    </row>
    <row r="264" spans="1:15" x14ac:dyDescent="0.3">
      <c r="A264" s="50">
        <v>44093</v>
      </c>
      <c r="B264" s="2">
        <v>263</v>
      </c>
      <c r="C264" s="4">
        <v>380966.67</v>
      </c>
      <c r="D264" s="4">
        <f t="shared" si="44"/>
        <v>451447.22499999998</v>
      </c>
      <c r="E264" s="2">
        <f t="shared" si="45"/>
        <v>207714.93207468165</v>
      </c>
      <c r="F264" s="2">
        <f t="shared" si="46"/>
        <v>70480.554999999993</v>
      </c>
      <c r="G264" s="4">
        <f t="shared" si="47"/>
        <v>665055.8866666666</v>
      </c>
      <c r="H264" s="2">
        <f t="shared" si="51"/>
        <v>634869.31037755287</v>
      </c>
      <c r="I264" s="2">
        <f t="shared" si="52"/>
        <v>284089.21666666662</v>
      </c>
      <c r="J264" s="4">
        <f t="shared" si="49"/>
        <v>1204613.885</v>
      </c>
      <c r="K264" s="2">
        <f t="shared" si="42"/>
        <v>1051787.9710162433</v>
      </c>
      <c r="L264" s="2">
        <f t="shared" si="43"/>
        <v>823647.21500000008</v>
      </c>
      <c r="N264" s="4">
        <f t="shared" si="48"/>
        <v>1282030.7183500002</v>
      </c>
      <c r="O264" s="2">
        <f t="shared" si="50"/>
        <v>901064.04835000029</v>
      </c>
    </row>
    <row r="265" spans="1:15" x14ac:dyDescent="0.3">
      <c r="A265" s="50">
        <v>44094</v>
      </c>
      <c r="B265" s="2">
        <v>264</v>
      </c>
      <c r="C265" s="4">
        <v>107750.08</v>
      </c>
      <c r="D265" s="4">
        <f t="shared" si="44"/>
        <v>244358.375</v>
      </c>
      <c r="E265" s="2">
        <f t="shared" si="45"/>
        <v>108695.29634697871</v>
      </c>
      <c r="F265" s="2">
        <f t="shared" si="46"/>
        <v>136608.29499999998</v>
      </c>
      <c r="G265" s="4">
        <f t="shared" si="47"/>
        <v>336881.50999999995</v>
      </c>
      <c r="H265" s="2">
        <f t="shared" si="51"/>
        <v>591469.0971606744</v>
      </c>
      <c r="I265" s="2">
        <f t="shared" si="52"/>
        <v>229131.42999999993</v>
      </c>
      <c r="J265" s="4">
        <f t="shared" si="49"/>
        <v>525729.43499999994</v>
      </c>
      <c r="K265" s="2">
        <f t="shared" ref="K265:K328" si="53">SQRT(SUMXMY2(C262:C265,J262:J265)/4)</f>
        <v>607654.9595753724</v>
      </c>
      <c r="L265" s="2">
        <f t="shared" ref="L265:L328" si="54">ABS(J265-C265)</f>
        <v>417979.35499999992</v>
      </c>
      <c r="N265" s="4">
        <f t="shared" si="48"/>
        <v>600181.80275000003</v>
      </c>
      <c r="O265" s="2">
        <f t="shared" si="50"/>
        <v>492431.72275000002</v>
      </c>
    </row>
    <row r="266" spans="1:15" x14ac:dyDescent="0.3">
      <c r="A266" s="50">
        <v>44095</v>
      </c>
      <c r="B266" s="2">
        <v>265</v>
      </c>
      <c r="C266" s="4">
        <v>404084.2</v>
      </c>
      <c r="D266" s="4">
        <f t="shared" si="44"/>
        <v>255917.14</v>
      </c>
      <c r="E266" s="2">
        <f t="shared" si="45"/>
        <v>142504.91909378185</v>
      </c>
      <c r="F266" s="2">
        <f t="shared" si="46"/>
        <v>148167.06</v>
      </c>
      <c r="G266" s="4">
        <f t="shared" si="47"/>
        <v>297600.31666666665</v>
      </c>
      <c r="H266" s="2">
        <f t="shared" si="51"/>
        <v>219504.52740195897</v>
      </c>
      <c r="I266" s="2">
        <f t="shared" si="52"/>
        <v>106483.88333333336</v>
      </c>
      <c r="J266" s="4">
        <f t="shared" si="49"/>
        <v>353682.1825</v>
      </c>
      <c r="K266" s="2">
        <f t="shared" si="53"/>
        <v>602809.6509321396</v>
      </c>
      <c r="L266" s="2">
        <f t="shared" si="54"/>
        <v>50402.017500000016</v>
      </c>
      <c r="N266" s="4">
        <f t="shared" si="48"/>
        <v>320450.55654999998</v>
      </c>
      <c r="O266" s="2">
        <f t="shared" si="50"/>
        <v>83633.643450000032</v>
      </c>
    </row>
    <row r="267" spans="1:15" x14ac:dyDescent="0.3">
      <c r="A267" s="50">
        <v>44096</v>
      </c>
      <c r="B267" s="2">
        <v>266</v>
      </c>
      <c r="C267" s="4">
        <v>4822210.05</v>
      </c>
      <c r="D267" s="4">
        <f t="shared" si="44"/>
        <v>2613147.125</v>
      </c>
      <c r="E267" s="2">
        <f t="shared" si="45"/>
        <v>1565553.0147967839</v>
      </c>
      <c r="F267" s="2">
        <f t="shared" si="46"/>
        <v>2209062.9249999998</v>
      </c>
      <c r="G267" s="4">
        <f t="shared" si="47"/>
        <v>1778014.7766666666</v>
      </c>
      <c r="H267" s="2">
        <f t="shared" si="51"/>
        <v>1763610.3964886537</v>
      </c>
      <c r="I267" s="2">
        <f t="shared" si="52"/>
        <v>3044195.2733333334</v>
      </c>
      <c r="J267" s="4">
        <f t="shared" si="49"/>
        <v>1428752.75</v>
      </c>
      <c r="K267" s="2">
        <f t="shared" si="53"/>
        <v>1758635.428839277</v>
      </c>
      <c r="L267" s="2">
        <f t="shared" si="54"/>
        <v>3393457.3</v>
      </c>
      <c r="N267" s="4">
        <f t="shared" si="48"/>
        <v>267129.66000000003</v>
      </c>
      <c r="O267" s="2">
        <f t="shared" si="50"/>
        <v>4555080.3899999997</v>
      </c>
    </row>
    <row r="268" spans="1:15" x14ac:dyDescent="0.3">
      <c r="A268" s="50">
        <v>44097</v>
      </c>
      <c r="B268" s="2">
        <v>267</v>
      </c>
      <c r="C268" s="4">
        <v>5743112.3799999999</v>
      </c>
      <c r="D268" s="4">
        <f t="shared" si="44"/>
        <v>5282661.2149999999</v>
      </c>
      <c r="E268" s="2">
        <f t="shared" si="45"/>
        <v>1595614.9726609192</v>
      </c>
      <c r="F268" s="2">
        <f t="shared" si="46"/>
        <v>460451.16500000004</v>
      </c>
      <c r="G268" s="4">
        <f t="shared" si="47"/>
        <v>3656468.8766666665</v>
      </c>
      <c r="H268" s="2">
        <f t="shared" si="51"/>
        <v>2131708.6096679941</v>
      </c>
      <c r="I268" s="2">
        <f t="shared" si="52"/>
        <v>2086643.5033333334</v>
      </c>
      <c r="J268" s="4">
        <f t="shared" si="49"/>
        <v>2769289.1775000002</v>
      </c>
      <c r="K268" s="2">
        <f t="shared" si="53"/>
        <v>2265856.5704400251</v>
      </c>
      <c r="L268" s="2">
        <f t="shared" si="54"/>
        <v>2973823.2024999997</v>
      </c>
      <c r="N268" s="4">
        <f t="shared" si="48"/>
        <v>1818962.8533500002</v>
      </c>
      <c r="O268" s="2">
        <f t="shared" si="50"/>
        <v>3924149.5266499994</v>
      </c>
    </row>
    <row r="269" spans="1:15" x14ac:dyDescent="0.3">
      <c r="A269" s="50">
        <v>44098</v>
      </c>
      <c r="B269" s="2">
        <v>268</v>
      </c>
      <c r="C269" s="4">
        <v>552628.96</v>
      </c>
      <c r="D269" s="4">
        <f t="shared" si="44"/>
        <v>3147870.67</v>
      </c>
      <c r="E269" s="2">
        <f t="shared" si="45"/>
        <v>1863772.3585075487</v>
      </c>
      <c r="F269" s="2">
        <f t="shared" si="46"/>
        <v>2595241.71</v>
      </c>
      <c r="G269" s="4">
        <f t="shared" si="47"/>
        <v>3705983.7966666669</v>
      </c>
      <c r="H269" s="2">
        <f t="shared" si="51"/>
        <v>2802668.5318411137</v>
      </c>
      <c r="I269" s="2">
        <f t="shared" si="52"/>
        <v>3153354.8366666669</v>
      </c>
      <c r="J269" s="4">
        <f t="shared" si="49"/>
        <v>2880508.8975</v>
      </c>
      <c r="K269" s="2">
        <f t="shared" si="53"/>
        <v>2538737.0016128942</v>
      </c>
      <c r="L269" s="2">
        <f t="shared" si="54"/>
        <v>2327879.9375</v>
      </c>
      <c r="N269" s="4">
        <f t="shared" si="48"/>
        <v>4158724.6435500002</v>
      </c>
      <c r="O269" s="2">
        <f t="shared" si="50"/>
        <v>3606095.6835500002</v>
      </c>
    </row>
    <row r="270" spans="1:15" x14ac:dyDescent="0.3">
      <c r="A270" s="50">
        <v>44099</v>
      </c>
      <c r="B270" s="2">
        <v>269</v>
      </c>
      <c r="C270" s="4">
        <v>1398554.2999999998</v>
      </c>
      <c r="D270" s="4">
        <f t="shared" si="44"/>
        <v>975591.62999999989</v>
      </c>
      <c r="E270" s="2">
        <f t="shared" si="45"/>
        <v>1859324.736771021</v>
      </c>
      <c r="F270" s="2">
        <f t="shared" si="46"/>
        <v>422962.66999999993</v>
      </c>
      <c r="G270" s="4">
        <f t="shared" si="47"/>
        <v>2564765.2133333334</v>
      </c>
      <c r="H270" s="2">
        <f t="shared" si="51"/>
        <v>2284569.6699313005</v>
      </c>
      <c r="I270" s="2">
        <f t="shared" si="52"/>
        <v>1166210.9133333336</v>
      </c>
      <c r="J270" s="4">
        <f t="shared" si="49"/>
        <v>3129126.4225000003</v>
      </c>
      <c r="K270" s="2">
        <f t="shared" si="53"/>
        <v>2682027.3004408344</v>
      </c>
      <c r="L270" s="2">
        <f t="shared" si="54"/>
        <v>1730572.1225000005</v>
      </c>
      <c r="N270" s="4">
        <f t="shared" si="48"/>
        <v>3801701.9216999998</v>
      </c>
      <c r="O270" s="2">
        <f t="shared" si="50"/>
        <v>2403147.6217</v>
      </c>
    </row>
    <row r="271" spans="1:15" x14ac:dyDescent="0.3">
      <c r="A271" s="50">
        <v>44100</v>
      </c>
      <c r="B271" s="2">
        <v>270</v>
      </c>
      <c r="C271" s="4">
        <v>3914057.3899999997</v>
      </c>
      <c r="D271" s="4">
        <f t="shared" si="44"/>
        <v>2656305.8449999997</v>
      </c>
      <c r="E271" s="2">
        <f t="shared" si="45"/>
        <v>938306.01862170093</v>
      </c>
      <c r="F271" s="2">
        <f t="shared" si="46"/>
        <v>1257751.5449999999</v>
      </c>
      <c r="G271" s="4">
        <f t="shared" si="47"/>
        <v>1955080.2166666666</v>
      </c>
      <c r="H271" s="2">
        <f t="shared" si="51"/>
        <v>2246574.1464095861</v>
      </c>
      <c r="I271" s="2">
        <f t="shared" si="52"/>
        <v>1958977.1733333331</v>
      </c>
      <c r="J271" s="4">
        <f t="shared" si="49"/>
        <v>2902088.2574999998</v>
      </c>
      <c r="K271" s="2">
        <f t="shared" si="53"/>
        <v>2137850.0204322869</v>
      </c>
      <c r="L271" s="2">
        <f t="shared" si="54"/>
        <v>1011969.1324999998</v>
      </c>
      <c r="N271" s="4">
        <f t="shared" si="48"/>
        <v>1977920.3012999999</v>
      </c>
      <c r="O271" s="2">
        <f t="shared" si="50"/>
        <v>1936137.0886999997</v>
      </c>
    </row>
    <row r="272" spans="1:15" x14ac:dyDescent="0.3">
      <c r="A272" s="50">
        <v>44101</v>
      </c>
      <c r="B272" s="2">
        <v>271</v>
      </c>
      <c r="C272" s="4">
        <v>106003.81000000001</v>
      </c>
      <c r="D272" s="4">
        <f t="shared" si="44"/>
        <v>2010030.5999999999</v>
      </c>
      <c r="E272" s="2">
        <f t="shared" si="45"/>
        <v>1613576.3021914379</v>
      </c>
      <c r="F272" s="2">
        <f t="shared" si="46"/>
        <v>1904026.7899999998</v>
      </c>
      <c r="G272" s="4">
        <f t="shared" si="47"/>
        <v>1806205.1666666663</v>
      </c>
      <c r="H272" s="2">
        <f t="shared" si="51"/>
        <v>1641982.9590295181</v>
      </c>
      <c r="I272" s="2">
        <f t="shared" si="52"/>
        <v>1700201.3566666662</v>
      </c>
      <c r="J272" s="4">
        <f t="shared" si="49"/>
        <v>1492811.1149999998</v>
      </c>
      <c r="K272" s="2">
        <f t="shared" si="53"/>
        <v>1685320.5111286195</v>
      </c>
      <c r="L272" s="2">
        <f t="shared" si="54"/>
        <v>1386807.3049999997</v>
      </c>
      <c r="N272" s="4">
        <f t="shared" si="48"/>
        <v>2055144.2603499999</v>
      </c>
      <c r="O272" s="2">
        <f t="shared" si="50"/>
        <v>1949140.4503499998</v>
      </c>
    </row>
    <row r="273" spans="1:15" x14ac:dyDescent="0.3">
      <c r="A273" s="50">
        <v>44102</v>
      </c>
      <c r="B273" s="2">
        <v>272</v>
      </c>
      <c r="C273" s="4">
        <v>461052.32</v>
      </c>
      <c r="D273" s="4">
        <f t="shared" si="44"/>
        <v>283528.065</v>
      </c>
      <c r="E273" s="2">
        <f t="shared" si="45"/>
        <v>1352189.4982122527</v>
      </c>
      <c r="F273" s="2">
        <f t="shared" si="46"/>
        <v>177524.255</v>
      </c>
      <c r="G273" s="4">
        <f t="shared" si="47"/>
        <v>1493704.5066666666</v>
      </c>
      <c r="H273" s="2">
        <f t="shared" si="51"/>
        <v>1611898.131342846</v>
      </c>
      <c r="I273" s="2">
        <f t="shared" si="52"/>
        <v>1032652.1866666665</v>
      </c>
      <c r="J273" s="4">
        <f t="shared" si="49"/>
        <v>1469916.9549999998</v>
      </c>
      <c r="K273" s="2">
        <f t="shared" si="53"/>
        <v>1319090.9511157679</v>
      </c>
      <c r="L273" s="2">
        <f t="shared" si="54"/>
        <v>1008864.6349999998</v>
      </c>
      <c r="N273" s="4">
        <f t="shared" si="48"/>
        <v>2084948.7609000001</v>
      </c>
      <c r="O273" s="2">
        <f t="shared" si="50"/>
        <v>1623896.4409</v>
      </c>
    </row>
    <row r="274" spans="1:15" x14ac:dyDescent="0.3">
      <c r="A274" s="50">
        <v>44103</v>
      </c>
      <c r="B274" s="2">
        <v>273</v>
      </c>
      <c r="C274" s="4">
        <v>1202737.2</v>
      </c>
      <c r="D274" s="4">
        <f t="shared" si="44"/>
        <v>831894.76</v>
      </c>
      <c r="E274" s="2">
        <f t="shared" si="45"/>
        <v>290722.35588139639</v>
      </c>
      <c r="F274" s="2">
        <f t="shared" si="46"/>
        <v>370842.43999999994</v>
      </c>
      <c r="G274" s="4">
        <f t="shared" si="47"/>
        <v>589931.11</v>
      </c>
      <c r="H274" s="2">
        <f t="shared" si="51"/>
        <v>1201746.852957492</v>
      </c>
      <c r="I274" s="2">
        <f t="shared" si="52"/>
        <v>612806.09</v>
      </c>
      <c r="J274" s="4">
        <f t="shared" si="49"/>
        <v>1420962.68</v>
      </c>
      <c r="K274" s="2">
        <f t="shared" si="53"/>
        <v>1001592.0125241961</v>
      </c>
      <c r="L274" s="2">
        <f t="shared" si="54"/>
        <v>218225.47999999998</v>
      </c>
      <c r="N274" s="4">
        <f t="shared" si="48"/>
        <v>1062716.8484499999</v>
      </c>
      <c r="O274" s="2">
        <f t="shared" si="50"/>
        <v>140020.35155000002</v>
      </c>
    </row>
    <row r="275" spans="1:15" x14ac:dyDescent="0.3">
      <c r="A275" s="50">
        <v>44104</v>
      </c>
      <c r="B275" s="2">
        <v>274</v>
      </c>
      <c r="C275" s="4">
        <v>4594937.7600000007</v>
      </c>
      <c r="D275" s="4">
        <f t="shared" si="44"/>
        <v>2898837.4800000004</v>
      </c>
      <c r="E275" s="2">
        <f t="shared" si="45"/>
        <v>1227656.3597198592</v>
      </c>
      <c r="F275" s="2">
        <f t="shared" si="46"/>
        <v>1696100.2800000003</v>
      </c>
      <c r="G275" s="4">
        <f t="shared" si="47"/>
        <v>2086242.426666667</v>
      </c>
      <c r="H275" s="2">
        <f t="shared" si="51"/>
        <v>1605766.0807287574</v>
      </c>
      <c r="I275" s="2">
        <f t="shared" si="52"/>
        <v>2508695.333333334</v>
      </c>
      <c r="J275" s="4">
        <f t="shared" si="49"/>
        <v>1591182.7725000002</v>
      </c>
      <c r="K275" s="2">
        <f t="shared" si="53"/>
        <v>1732859.5397497891</v>
      </c>
      <c r="L275" s="2">
        <f t="shared" si="54"/>
        <v>3003754.9875000007</v>
      </c>
      <c r="N275" s="4">
        <f t="shared" si="48"/>
        <v>631406.08260000008</v>
      </c>
      <c r="O275" s="2">
        <f t="shared" si="50"/>
        <v>3963531.6774000004</v>
      </c>
    </row>
    <row r="276" spans="1:15" x14ac:dyDescent="0.3">
      <c r="A276" s="50">
        <v>44105</v>
      </c>
      <c r="B276" s="2">
        <v>275</v>
      </c>
      <c r="C276" s="4">
        <v>1824674.25</v>
      </c>
      <c r="D276" s="4">
        <f t="shared" si="44"/>
        <v>3209806.0050000004</v>
      </c>
      <c r="E276" s="2">
        <f t="shared" si="45"/>
        <v>1548442.1426913987</v>
      </c>
      <c r="F276" s="2">
        <f t="shared" si="46"/>
        <v>1385131.7550000004</v>
      </c>
      <c r="G276" s="4">
        <f t="shared" si="47"/>
        <v>2540783.0700000003</v>
      </c>
      <c r="H276" s="2">
        <f t="shared" si="51"/>
        <v>1547244.3700022877</v>
      </c>
      <c r="I276" s="2">
        <f t="shared" si="52"/>
        <v>716108.8200000003</v>
      </c>
      <c r="J276" s="4">
        <f t="shared" si="49"/>
        <v>2020850.3825000003</v>
      </c>
      <c r="K276" s="2">
        <f t="shared" si="53"/>
        <v>1591104.9078995939</v>
      </c>
      <c r="L276" s="2">
        <f t="shared" si="54"/>
        <v>196176.1325000003</v>
      </c>
      <c r="N276" s="4">
        <f t="shared" si="48"/>
        <v>2175953.7140000002</v>
      </c>
      <c r="O276" s="2">
        <f t="shared" si="50"/>
        <v>351279.46400000015</v>
      </c>
    </row>
    <row r="277" spans="1:15" x14ac:dyDescent="0.3">
      <c r="A277" s="50">
        <v>44106</v>
      </c>
      <c r="B277" s="2">
        <v>276</v>
      </c>
      <c r="C277" s="4">
        <v>179503.35</v>
      </c>
      <c r="D277" s="4">
        <f t="shared" si="44"/>
        <v>1002088.8</v>
      </c>
      <c r="E277" s="2">
        <f t="shared" si="45"/>
        <v>1139130.5459123384</v>
      </c>
      <c r="F277" s="2">
        <f t="shared" si="46"/>
        <v>822585.45000000007</v>
      </c>
      <c r="G277" s="4">
        <f t="shared" si="47"/>
        <v>2199705.12</v>
      </c>
      <c r="H277" s="2">
        <f t="shared" si="51"/>
        <v>1905044.1210184935</v>
      </c>
      <c r="I277" s="2">
        <f t="shared" si="52"/>
        <v>2020201.77</v>
      </c>
      <c r="J277" s="4">
        <f t="shared" si="49"/>
        <v>1950463.1400000001</v>
      </c>
      <c r="K277" s="2">
        <f t="shared" si="53"/>
        <v>1749639.2512323691</v>
      </c>
      <c r="L277" s="2">
        <f t="shared" si="54"/>
        <v>1770959.79</v>
      </c>
      <c r="N277" s="4">
        <f t="shared" si="48"/>
        <v>2920615.3609500001</v>
      </c>
      <c r="O277" s="2">
        <f t="shared" si="50"/>
        <v>2741112.01095</v>
      </c>
    </row>
    <row r="278" spans="1:15" x14ac:dyDescent="0.3">
      <c r="A278" s="50">
        <v>44107</v>
      </c>
      <c r="B278" s="2">
        <v>277</v>
      </c>
      <c r="C278" s="4">
        <v>259437.04</v>
      </c>
      <c r="D278" s="4">
        <f t="shared" si="44"/>
        <v>219470.19500000001</v>
      </c>
      <c r="E278" s="2">
        <f t="shared" si="45"/>
        <v>582341.89753569884</v>
      </c>
      <c r="F278" s="2">
        <f t="shared" si="46"/>
        <v>39966.845000000001</v>
      </c>
      <c r="G278" s="4">
        <f t="shared" si="47"/>
        <v>754538.21333333338</v>
      </c>
      <c r="H278" s="2">
        <f t="shared" si="51"/>
        <v>1270059.3431580232</v>
      </c>
      <c r="I278" s="2">
        <f t="shared" si="52"/>
        <v>495101.17333333334</v>
      </c>
      <c r="J278" s="4">
        <f t="shared" si="49"/>
        <v>1714638.1</v>
      </c>
      <c r="K278" s="2">
        <f t="shared" si="53"/>
        <v>1891754.3314814793</v>
      </c>
      <c r="L278" s="2">
        <f t="shared" si="54"/>
        <v>1455201.06</v>
      </c>
      <c r="N278" s="4">
        <f t="shared" si="48"/>
        <v>1882999.9707000002</v>
      </c>
      <c r="O278" s="2">
        <f t="shared" si="50"/>
        <v>1623562.9307000001</v>
      </c>
    </row>
    <row r="279" spans="1:15" x14ac:dyDescent="0.3">
      <c r="A279" s="50">
        <v>44108</v>
      </c>
      <c r="B279" s="2">
        <v>278</v>
      </c>
      <c r="C279" s="4">
        <v>1298789.7999999998</v>
      </c>
      <c r="D279" s="4">
        <f t="shared" si="44"/>
        <v>779113.41999999993</v>
      </c>
      <c r="E279" s="2">
        <f t="shared" si="45"/>
        <v>368551.82039243705</v>
      </c>
      <c r="F279" s="2">
        <f t="shared" si="46"/>
        <v>519676.37999999989</v>
      </c>
      <c r="G279" s="4">
        <f t="shared" si="47"/>
        <v>579243.39666666661</v>
      </c>
      <c r="H279" s="2">
        <f t="shared" si="51"/>
        <v>1270706.8098630663</v>
      </c>
      <c r="I279" s="2">
        <f t="shared" si="52"/>
        <v>719546.4033333332</v>
      </c>
      <c r="J279" s="4">
        <f t="shared" si="49"/>
        <v>890601.11</v>
      </c>
      <c r="K279" s="2">
        <f t="shared" si="53"/>
        <v>1168226.4104646563</v>
      </c>
      <c r="L279" s="2">
        <f t="shared" si="54"/>
        <v>408188.68999999983</v>
      </c>
      <c r="N279" s="4">
        <f t="shared" si="48"/>
        <v>568218.73415000003</v>
      </c>
      <c r="O279" s="2">
        <f t="shared" si="50"/>
        <v>730571.06584999978</v>
      </c>
    </row>
    <row r="280" spans="1:15" x14ac:dyDescent="0.3">
      <c r="A280" s="50">
        <v>44109</v>
      </c>
      <c r="B280" s="2">
        <v>279</v>
      </c>
      <c r="C280" s="4">
        <v>326856.48</v>
      </c>
      <c r="D280" s="4">
        <f t="shared" si="44"/>
        <v>812823.1399999999</v>
      </c>
      <c r="E280" s="2">
        <f t="shared" si="45"/>
        <v>503103.93288139772</v>
      </c>
      <c r="F280" s="2">
        <f t="shared" si="46"/>
        <v>485966.65999999992</v>
      </c>
      <c r="G280" s="4">
        <f t="shared" si="47"/>
        <v>628361.10666666657</v>
      </c>
      <c r="H280" s="2">
        <f t="shared" si="51"/>
        <v>533472.03559555183</v>
      </c>
      <c r="I280" s="2">
        <f t="shared" si="52"/>
        <v>301504.62666666659</v>
      </c>
      <c r="J280" s="4">
        <f t="shared" si="49"/>
        <v>516146.66749999998</v>
      </c>
      <c r="K280" s="2">
        <f t="shared" si="53"/>
        <v>1167942.3663594951</v>
      </c>
      <c r="L280" s="2">
        <f t="shared" si="54"/>
        <v>189290.1875</v>
      </c>
      <c r="N280" s="4">
        <f t="shared" si="48"/>
        <v>590034.80279999995</v>
      </c>
      <c r="O280" s="2">
        <f t="shared" si="50"/>
        <v>263178.32279999997</v>
      </c>
    </row>
    <row r="281" spans="1:15" x14ac:dyDescent="0.3">
      <c r="A281" s="50">
        <v>44110</v>
      </c>
      <c r="B281" s="2">
        <v>280</v>
      </c>
      <c r="C281" s="4">
        <v>740718.99</v>
      </c>
      <c r="D281" s="4">
        <f t="shared" si="44"/>
        <v>533787.73499999999</v>
      </c>
      <c r="E281" s="2">
        <f t="shared" si="45"/>
        <v>373486.37118871592</v>
      </c>
      <c r="F281" s="2">
        <f t="shared" si="46"/>
        <v>206931.255</v>
      </c>
      <c r="G281" s="4">
        <f t="shared" si="47"/>
        <v>788788.42333333322</v>
      </c>
      <c r="H281" s="2">
        <f t="shared" si="51"/>
        <v>451280.67277926923</v>
      </c>
      <c r="I281" s="2">
        <f t="shared" si="52"/>
        <v>48069.433333333232</v>
      </c>
      <c r="J281" s="4">
        <f t="shared" si="49"/>
        <v>656450.5774999999</v>
      </c>
      <c r="K281" s="2">
        <f t="shared" si="53"/>
        <v>762751.60965056228</v>
      </c>
      <c r="L281" s="2">
        <f t="shared" si="54"/>
        <v>84268.412500000093</v>
      </c>
      <c r="N281" s="4">
        <f t="shared" si="48"/>
        <v>744534.53059999982</v>
      </c>
      <c r="O281" s="2">
        <f t="shared" si="50"/>
        <v>3815.5405999998329</v>
      </c>
    </row>
    <row r="282" spans="1:15" x14ac:dyDescent="0.3">
      <c r="A282" s="50">
        <v>44111</v>
      </c>
      <c r="B282" s="2">
        <v>281</v>
      </c>
      <c r="C282" s="4">
        <v>1359487.8</v>
      </c>
      <c r="D282" s="4">
        <f t="shared" si="44"/>
        <v>1050103.395</v>
      </c>
      <c r="E282" s="2">
        <f t="shared" si="45"/>
        <v>263191.23689161753</v>
      </c>
      <c r="F282" s="2">
        <f t="shared" si="46"/>
        <v>309384.40500000003</v>
      </c>
      <c r="G282" s="4">
        <f t="shared" si="47"/>
        <v>809021.09</v>
      </c>
      <c r="H282" s="2">
        <f t="shared" si="51"/>
        <v>363423.21937405976</v>
      </c>
      <c r="I282" s="2">
        <f t="shared" si="52"/>
        <v>550466.71000000008</v>
      </c>
      <c r="J282" s="4">
        <f t="shared" si="49"/>
        <v>931463.26749999984</v>
      </c>
      <c r="K282" s="2">
        <f t="shared" si="53"/>
        <v>313350.8207643691</v>
      </c>
      <c r="L282" s="2">
        <f t="shared" si="54"/>
        <v>428024.5325000002</v>
      </c>
      <c r="N282" s="4">
        <f t="shared" si="48"/>
        <v>679325.75124999997</v>
      </c>
      <c r="O282" s="2">
        <f t="shared" si="50"/>
        <v>680162.04875000007</v>
      </c>
    </row>
    <row r="283" spans="1:15" x14ac:dyDescent="0.3">
      <c r="A283" s="50">
        <v>44112</v>
      </c>
      <c r="B283" s="2">
        <v>282</v>
      </c>
      <c r="C283" s="4">
        <v>977291.04</v>
      </c>
      <c r="D283" s="4">
        <f t="shared" si="44"/>
        <v>1168389.42</v>
      </c>
      <c r="E283" s="2">
        <f t="shared" si="45"/>
        <v>257135.47100296023</v>
      </c>
      <c r="F283" s="2">
        <f t="shared" si="46"/>
        <v>191098.37999999989</v>
      </c>
      <c r="G283" s="4">
        <f t="shared" si="47"/>
        <v>1025832.61</v>
      </c>
      <c r="H283" s="2">
        <f t="shared" si="51"/>
        <v>320250.19034981431</v>
      </c>
      <c r="I283" s="2">
        <f t="shared" si="52"/>
        <v>48541.569999999949</v>
      </c>
      <c r="J283" s="4">
        <f t="shared" si="49"/>
        <v>851088.57750000001</v>
      </c>
      <c r="K283" s="2">
        <f t="shared" si="53"/>
        <v>246000.00121542832</v>
      </c>
      <c r="L283" s="2">
        <f t="shared" si="54"/>
        <v>126202.46250000002</v>
      </c>
      <c r="N283" s="4">
        <f t="shared" si="48"/>
        <v>856956.78914999997</v>
      </c>
      <c r="O283" s="2">
        <f t="shared" si="50"/>
        <v>120334.25085000007</v>
      </c>
    </row>
    <row r="284" spans="1:15" x14ac:dyDescent="0.3">
      <c r="A284" s="50">
        <v>44113</v>
      </c>
      <c r="B284" s="2">
        <v>283</v>
      </c>
      <c r="C284" s="4">
        <v>1697053.26</v>
      </c>
      <c r="D284" s="4">
        <f t="shared" si="44"/>
        <v>1337172.1499999999</v>
      </c>
      <c r="E284" s="2">
        <f t="shared" si="45"/>
        <v>288125.84418397507</v>
      </c>
      <c r="F284" s="2">
        <f t="shared" si="46"/>
        <v>359881.1100000001</v>
      </c>
      <c r="G284" s="4">
        <f t="shared" si="47"/>
        <v>1344610.7</v>
      </c>
      <c r="H284" s="2">
        <f t="shared" si="51"/>
        <v>378411.43434787251</v>
      </c>
      <c r="I284" s="2">
        <f t="shared" si="52"/>
        <v>352442.56000000006</v>
      </c>
      <c r="J284" s="4">
        <f t="shared" si="49"/>
        <v>1193637.7725</v>
      </c>
      <c r="K284" s="2">
        <f t="shared" si="53"/>
        <v>338991.2905824575</v>
      </c>
      <c r="L284" s="2">
        <f t="shared" si="54"/>
        <v>503415.48750000005</v>
      </c>
      <c r="N284" s="4">
        <f t="shared" si="48"/>
        <v>1095322.7471999999</v>
      </c>
      <c r="O284" s="2">
        <f t="shared" si="50"/>
        <v>601730.51280000014</v>
      </c>
    </row>
    <row r="285" spans="1:15" x14ac:dyDescent="0.3">
      <c r="A285" s="50">
        <v>44114</v>
      </c>
      <c r="B285" s="2">
        <v>284</v>
      </c>
      <c r="C285" s="4">
        <v>819354.60000000009</v>
      </c>
      <c r="D285" s="4">
        <f t="shared" si="44"/>
        <v>1258203.9300000002</v>
      </c>
      <c r="E285" s="2">
        <f t="shared" si="45"/>
        <v>401312.31464800646</v>
      </c>
      <c r="F285" s="2">
        <f t="shared" si="46"/>
        <v>438849.33000000007</v>
      </c>
      <c r="G285" s="4">
        <f t="shared" si="47"/>
        <v>1164566.3</v>
      </c>
      <c r="H285" s="2">
        <f t="shared" si="51"/>
        <v>286206.89482395333</v>
      </c>
      <c r="I285" s="2">
        <f t="shared" si="52"/>
        <v>345211.69999999995</v>
      </c>
      <c r="J285" s="4">
        <f t="shared" si="49"/>
        <v>1213296.6749999998</v>
      </c>
      <c r="K285" s="2">
        <f t="shared" si="53"/>
        <v>389791.47421187768</v>
      </c>
      <c r="L285" s="2">
        <f t="shared" si="54"/>
        <v>393942.07499999972</v>
      </c>
      <c r="N285" s="4">
        <f t="shared" si="48"/>
        <v>1302494.6708999998</v>
      </c>
      <c r="O285" s="2">
        <f t="shared" si="50"/>
        <v>483140.0708999997</v>
      </c>
    </row>
    <row r="286" spans="1:15" x14ac:dyDescent="0.3">
      <c r="A286" s="50">
        <v>44115</v>
      </c>
      <c r="B286" s="2">
        <v>285</v>
      </c>
      <c r="C286" s="4">
        <v>2486937.7600000002</v>
      </c>
      <c r="D286" s="4">
        <f t="shared" si="44"/>
        <v>1653146.1800000002</v>
      </c>
      <c r="E286" s="2">
        <f t="shared" si="45"/>
        <v>666257.13253981213</v>
      </c>
      <c r="F286" s="2">
        <f t="shared" si="46"/>
        <v>833791.58000000007</v>
      </c>
      <c r="G286" s="4">
        <f t="shared" si="47"/>
        <v>1667781.8733333338</v>
      </c>
      <c r="H286" s="2">
        <f t="shared" si="51"/>
        <v>552087.92855754902</v>
      </c>
      <c r="I286" s="2">
        <f t="shared" si="52"/>
        <v>819155.88666666648</v>
      </c>
      <c r="J286" s="4">
        <f t="shared" si="49"/>
        <v>1495159.165</v>
      </c>
      <c r="K286" s="2">
        <f t="shared" si="53"/>
        <v>593331.55877456209</v>
      </c>
      <c r="L286" s="2">
        <f t="shared" si="54"/>
        <v>991778.5950000002</v>
      </c>
      <c r="N286" s="4">
        <f t="shared" si="48"/>
        <v>1244676.5205000003</v>
      </c>
      <c r="O286" s="2">
        <f t="shared" si="50"/>
        <v>1242261.2394999999</v>
      </c>
    </row>
    <row r="287" spans="1:15" x14ac:dyDescent="0.3">
      <c r="A287" s="50">
        <v>44116</v>
      </c>
      <c r="B287" s="2">
        <v>286</v>
      </c>
      <c r="C287" s="4">
        <v>171745.38999999998</v>
      </c>
      <c r="D287" s="4">
        <f t="shared" si="44"/>
        <v>1329341.5750000002</v>
      </c>
      <c r="E287" s="2">
        <f t="shared" si="45"/>
        <v>1008770.8675426376</v>
      </c>
      <c r="F287" s="2">
        <f t="shared" si="46"/>
        <v>1157596.1850000003</v>
      </c>
      <c r="G287" s="4">
        <f t="shared" si="47"/>
        <v>1159345.9166666667</v>
      </c>
      <c r="H287" s="2">
        <f t="shared" si="51"/>
        <v>767146.72320007125</v>
      </c>
      <c r="I287" s="2">
        <f t="shared" si="52"/>
        <v>987600.52666666673</v>
      </c>
      <c r="J287" s="4">
        <f t="shared" si="49"/>
        <v>1293772.7525000002</v>
      </c>
      <c r="K287" s="2">
        <f t="shared" si="53"/>
        <v>814123.40821417386</v>
      </c>
      <c r="L287" s="2">
        <f t="shared" si="54"/>
        <v>1122027.3625000003</v>
      </c>
      <c r="N287" s="4">
        <f t="shared" si="48"/>
        <v>1571088.6638000002</v>
      </c>
      <c r="O287" s="2">
        <f t="shared" si="50"/>
        <v>1399343.2738000003</v>
      </c>
    </row>
    <row r="288" spans="1:15" x14ac:dyDescent="0.3">
      <c r="A288" s="50">
        <v>44117</v>
      </c>
      <c r="B288" s="2">
        <v>287</v>
      </c>
      <c r="C288" s="4">
        <v>927022.24</v>
      </c>
      <c r="D288" s="4">
        <f t="shared" si="44"/>
        <v>549383.81499999994</v>
      </c>
      <c r="E288" s="2">
        <f t="shared" si="45"/>
        <v>860999.33436763927</v>
      </c>
      <c r="F288" s="2">
        <f t="shared" si="46"/>
        <v>377638.42500000005</v>
      </c>
      <c r="G288" s="4">
        <f t="shared" si="47"/>
        <v>1195235.1300000001</v>
      </c>
      <c r="H288" s="2">
        <f t="shared" si="51"/>
        <v>756815.54804656829</v>
      </c>
      <c r="I288" s="2">
        <f t="shared" si="52"/>
        <v>268212.89000000013</v>
      </c>
      <c r="J288" s="4">
        <f t="shared" si="49"/>
        <v>1101264.9975000001</v>
      </c>
      <c r="K288" s="2">
        <f t="shared" si="53"/>
        <v>779121.4733107076</v>
      </c>
      <c r="L288" s="2">
        <f t="shared" si="54"/>
        <v>174242.75750000007</v>
      </c>
      <c r="N288" s="4">
        <f t="shared" si="48"/>
        <v>1344480.0208500002</v>
      </c>
      <c r="O288" s="2">
        <f t="shared" si="50"/>
        <v>417457.78085000021</v>
      </c>
    </row>
    <row r="289" spans="1:15" x14ac:dyDescent="0.3">
      <c r="A289" s="50">
        <v>44118</v>
      </c>
      <c r="B289" s="2">
        <v>288</v>
      </c>
      <c r="C289" s="4">
        <v>380454.10000000003</v>
      </c>
      <c r="D289" s="4">
        <f t="shared" si="44"/>
        <v>653738.17000000004</v>
      </c>
      <c r="E289" s="2">
        <f t="shared" si="45"/>
        <v>329617.17412192404</v>
      </c>
      <c r="F289" s="2">
        <f t="shared" si="46"/>
        <v>273284.07</v>
      </c>
      <c r="G289" s="4">
        <f t="shared" si="47"/>
        <v>493073.91</v>
      </c>
      <c r="H289" s="2">
        <f t="shared" si="51"/>
        <v>594411.80344910873</v>
      </c>
      <c r="I289" s="2">
        <f t="shared" si="52"/>
        <v>112619.80999999994</v>
      </c>
      <c r="J289" s="4">
        <f t="shared" si="49"/>
        <v>991539.87250000017</v>
      </c>
      <c r="K289" s="2">
        <f t="shared" si="53"/>
        <v>813381.29797654052</v>
      </c>
      <c r="L289" s="2">
        <f t="shared" si="54"/>
        <v>611085.7725000002</v>
      </c>
      <c r="N289" s="4">
        <f t="shared" si="48"/>
        <v>934105.45614999998</v>
      </c>
      <c r="O289" s="2">
        <f t="shared" si="50"/>
        <v>553651.35614999989</v>
      </c>
    </row>
    <row r="290" spans="1:15" x14ac:dyDescent="0.3">
      <c r="A290" s="50">
        <v>44119</v>
      </c>
      <c r="B290" s="2">
        <v>289</v>
      </c>
      <c r="C290" s="4">
        <v>450442.85000000003</v>
      </c>
      <c r="D290" s="4">
        <f t="shared" si="44"/>
        <v>415448.47500000003</v>
      </c>
      <c r="E290" s="2">
        <f t="shared" si="45"/>
        <v>194818.87639215757</v>
      </c>
      <c r="F290" s="2">
        <f t="shared" si="46"/>
        <v>34994.375</v>
      </c>
      <c r="G290" s="4">
        <f t="shared" si="47"/>
        <v>585973.06333333335</v>
      </c>
      <c r="H290" s="2">
        <f t="shared" si="51"/>
        <v>185283.39977159951</v>
      </c>
      <c r="I290" s="2">
        <f t="shared" si="52"/>
        <v>135530.21333333332</v>
      </c>
      <c r="J290" s="4">
        <f t="shared" si="49"/>
        <v>482416.14500000002</v>
      </c>
      <c r="K290" s="2">
        <f t="shared" si="53"/>
        <v>644932.95265573729</v>
      </c>
      <c r="L290" s="2">
        <f t="shared" si="54"/>
        <v>31973.294999999984</v>
      </c>
      <c r="N290" s="4">
        <f t="shared" si="48"/>
        <v>577761.00610000012</v>
      </c>
      <c r="O290" s="2">
        <f t="shared" si="50"/>
        <v>127318.15610000008</v>
      </c>
    </row>
    <row r="291" spans="1:15" x14ac:dyDescent="0.3">
      <c r="A291" s="50">
        <v>44120</v>
      </c>
      <c r="B291" s="2">
        <v>290</v>
      </c>
      <c r="C291" s="4">
        <v>1145131.8999999999</v>
      </c>
      <c r="D291" s="4">
        <f t="shared" si="44"/>
        <v>797787.375</v>
      </c>
      <c r="E291" s="2">
        <f t="shared" si="45"/>
        <v>246853.01834200465</v>
      </c>
      <c r="F291" s="2">
        <f t="shared" si="46"/>
        <v>347344.52499999991</v>
      </c>
      <c r="G291" s="4">
        <f t="shared" si="47"/>
        <v>658676.28333333333</v>
      </c>
      <c r="H291" s="2">
        <f t="shared" si="51"/>
        <v>298714.31575847504</v>
      </c>
      <c r="I291" s="2">
        <f t="shared" si="52"/>
        <v>486455.61666666658</v>
      </c>
      <c r="J291" s="4">
        <f t="shared" si="49"/>
        <v>725762.77249999996</v>
      </c>
      <c r="K291" s="2">
        <f t="shared" si="53"/>
        <v>381011.5210155705</v>
      </c>
      <c r="L291" s="2">
        <f t="shared" si="54"/>
        <v>419369.12749999994</v>
      </c>
      <c r="N291" s="4">
        <f t="shared" si="48"/>
        <v>524145.32205000008</v>
      </c>
      <c r="O291" s="2">
        <f t="shared" si="50"/>
        <v>620986.57794999983</v>
      </c>
    </row>
    <row r="292" spans="1:15" x14ac:dyDescent="0.3">
      <c r="A292" s="50">
        <v>44121</v>
      </c>
      <c r="B292" s="2">
        <v>291</v>
      </c>
      <c r="C292" s="4">
        <v>1220829.5</v>
      </c>
      <c r="D292" s="4">
        <f t="shared" si="44"/>
        <v>1182980.7</v>
      </c>
      <c r="E292" s="2">
        <f t="shared" si="45"/>
        <v>247063.50469961722</v>
      </c>
      <c r="F292" s="2">
        <f t="shared" si="46"/>
        <v>37848.800000000047</v>
      </c>
      <c r="G292" s="4">
        <f t="shared" si="47"/>
        <v>938801.41666666663</v>
      </c>
      <c r="H292" s="2">
        <f t="shared" si="51"/>
        <v>333939.78773695085</v>
      </c>
      <c r="I292" s="2">
        <f t="shared" si="52"/>
        <v>282028.08333333337</v>
      </c>
      <c r="J292" s="4">
        <f t="shared" si="49"/>
        <v>799214.58750000002</v>
      </c>
      <c r="K292" s="2">
        <f t="shared" si="53"/>
        <v>426637.34965646546</v>
      </c>
      <c r="L292" s="2">
        <f t="shared" si="54"/>
        <v>421614.91249999998</v>
      </c>
      <c r="N292" s="4">
        <f t="shared" si="48"/>
        <v>667766.15674999997</v>
      </c>
      <c r="O292" s="2">
        <f t="shared" si="50"/>
        <v>553063.34325000003</v>
      </c>
    </row>
    <row r="293" spans="1:15" x14ac:dyDescent="0.3">
      <c r="A293" s="50">
        <v>44122</v>
      </c>
      <c r="B293" s="2">
        <v>292</v>
      </c>
      <c r="C293" s="4">
        <v>1013866.7999999999</v>
      </c>
      <c r="D293" s="4">
        <f t="shared" si="44"/>
        <v>1117348.1499999999</v>
      </c>
      <c r="E293" s="2">
        <f t="shared" si="45"/>
        <v>77913.161466027348</v>
      </c>
      <c r="F293" s="2">
        <f t="shared" si="46"/>
        <v>103481.34999999998</v>
      </c>
      <c r="G293" s="4">
        <f t="shared" si="47"/>
        <v>1126609.3999999999</v>
      </c>
      <c r="H293" s="2">
        <f t="shared" si="51"/>
        <v>331104.11284568312</v>
      </c>
      <c r="I293" s="2">
        <f t="shared" si="52"/>
        <v>112742.59999999998</v>
      </c>
      <c r="J293" s="4">
        <f t="shared" si="49"/>
        <v>957567.76249999995</v>
      </c>
      <c r="K293" s="2">
        <f t="shared" si="53"/>
        <v>299090.90288701415</v>
      </c>
      <c r="L293" s="2">
        <f t="shared" si="54"/>
        <v>56299.037499999977</v>
      </c>
      <c r="N293" s="4">
        <f t="shared" si="48"/>
        <v>1017659.005</v>
      </c>
      <c r="O293" s="2">
        <f t="shared" si="50"/>
        <v>3792.2050000000745</v>
      </c>
    </row>
    <row r="294" spans="1:15" x14ac:dyDescent="0.3">
      <c r="A294" s="50">
        <v>44123</v>
      </c>
      <c r="B294" s="2">
        <v>293</v>
      </c>
      <c r="C294" s="4">
        <v>530062.92000000004</v>
      </c>
      <c r="D294" s="4">
        <f t="shared" si="44"/>
        <v>771964.86</v>
      </c>
      <c r="E294" s="2">
        <f t="shared" si="45"/>
        <v>186044.26673991603</v>
      </c>
      <c r="F294" s="2">
        <f t="shared" si="46"/>
        <v>241901.93999999994</v>
      </c>
      <c r="G294" s="4">
        <f t="shared" si="47"/>
        <v>921586.40666666662</v>
      </c>
      <c r="H294" s="2">
        <f t="shared" si="51"/>
        <v>286089.36497480236</v>
      </c>
      <c r="I294" s="2">
        <f t="shared" si="52"/>
        <v>391523.48666666658</v>
      </c>
      <c r="J294" s="4">
        <f t="shared" si="49"/>
        <v>977472.77999999991</v>
      </c>
      <c r="K294" s="2">
        <f t="shared" si="53"/>
        <v>373153.70961278799</v>
      </c>
      <c r="L294" s="2">
        <f t="shared" si="54"/>
        <v>447409.85999999987</v>
      </c>
      <c r="N294" s="4">
        <f t="shared" si="48"/>
        <v>1134843.5234999999</v>
      </c>
      <c r="O294" s="2">
        <f t="shared" si="50"/>
        <v>604780.60349999985</v>
      </c>
    </row>
    <row r="295" spans="1:15" x14ac:dyDescent="0.3">
      <c r="A295" s="50">
        <v>44124</v>
      </c>
      <c r="B295" s="2">
        <v>294</v>
      </c>
      <c r="C295" s="4">
        <v>81756.399999999994</v>
      </c>
      <c r="D295" s="4">
        <f t="shared" si="44"/>
        <v>305909.66000000003</v>
      </c>
      <c r="E295" s="2">
        <f t="shared" si="45"/>
        <v>233196.51856791429</v>
      </c>
      <c r="F295" s="2">
        <f t="shared" si="46"/>
        <v>224153.26000000004</v>
      </c>
      <c r="G295" s="4">
        <f t="shared" si="47"/>
        <v>541895.37333333329</v>
      </c>
      <c r="H295" s="2">
        <f t="shared" si="51"/>
        <v>354837.7137258841</v>
      </c>
      <c r="I295" s="2">
        <f t="shared" si="52"/>
        <v>460138.97333333327</v>
      </c>
      <c r="J295" s="4">
        <f t="shared" si="49"/>
        <v>711628.90499999991</v>
      </c>
      <c r="K295" s="2">
        <f t="shared" si="53"/>
        <v>440977.23054767901</v>
      </c>
      <c r="L295" s="2">
        <f t="shared" si="54"/>
        <v>629872.50499999989</v>
      </c>
      <c r="N295" s="4">
        <f t="shared" si="48"/>
        <v>897324.2942</v>
      </c>
      <c r="O295" s="2">
        <f t="shared" si="50"/>
        <v>815567.89419999998</v>
      </c>
    </row>
    <row r="296" spans="1:15" x14ac:dyDescent="0.3">
      <c r="A296" s="50">
        <v>44125</v>
      </c>
      <c r="B296" s="2">
        <v>295</v>
      </c>
      <c r="C296" s="4">
        <v>178431.54</v>
      </c>
      <c r="D296" s="4">
        <f t="shared" si="44"/>
        <v>130093.97</v>
      </c>
      <c r="E296" s="2">
        <f t="shared" si="45"/>
        <v>162143.77052809109</v>
      </c>
      <c r="F296" s="2">
        <f t="shared" si="46"/>
        <v>48337.570000000007</v>
      </c>
      <c r="G296" s="4">
        <f t="shared" si="47"/>
        <v>263416.95333333337</v>
      </c>
      <c r="H296" s="2">
        <f t="shared" si="51"/>
        <v>352250.40140564542</v>
      </c>
      <c r="I296" s="2">
        <f t="shared" si="52"/>
        <v>84985.413333333359</v>
      </c>
      <c r="J296" s="4">
        <f t="shared" si="49"/>
        <v>451029.41499999998</v>
      </c>
      <c r="K296" s="2">
        <f t="shared" si="53"/>
        <v>410607.51894544519</v>
      </c>
      <c r="L296" s="2">
        <f t="shared" si="54"/>
        <v>272597.875</v>
      </c>
      <c r="N296" s="4">
        <f t="shared" si="48"/>
        <v>486317.08940000006</v>
      </c>
      <c r="O296" s="2">
        <f t="shared" si="50"/>
        <v>307885.54940000002</v>
      </c>
    </row>
    <row r="297" spans="1:15" x14ac:dyDescent="0.3">
      <c r="A297" s="50">
        <v>44126</v>
      </c>
      <c r="B297" s="2">
        <v>296</v>
      </c>
      <c r="C297" s="4">
        <v>2395747.9499999997</v>
      </c>
      <c r="D297" s="4">
        <f t="shared" si="44"/>
        <v>1287089.7449999999</v>
      </c>
      <c r="E297" s="2">
        <f t="shared" si="45"/>
        <v>784684.50226423063</v>
      </c>
      <c r="F297" s="2">
        <f t="shared" si="46"/>
        <v>1108658.2049999998</v>
      </c>
      <c r="G297" s="4">
        <f t="shared" si="47"/>
        <v>885311.96333333326</v>
      </c>
      <c r="H297" s="2">
        <f t="shared" si="51"/>
        <v>912937.97983532224</v>
      </c>
      <c r="I297" s="2">
        <f t="shared" si="52"/>
        <v>1510435.9866666663</v>
      </c>
      <c r="J297" s="4">
        <f t="shared" si="49"/>
        <v>796499.7024999999</v>
      </c>
      <c r="K297" s="2">
        <f t="shared" si="53"/>
        <v>898445.81277427787</v>
      </c>
      <c r="L297" s="2">
        <f t="shared" si="54"/>
        <v>1599248.2474999998</v>
      </c>
      <c r="N297" s="4">
        <f t="shared" si="48"/>
        <v>212770.00630000001</v>
      </c>
      <c r="O297" s="2">
        <f t="shared" si="50"/>
        <v>2182977.9436999997</v>
      </c>
    </row>
    <row r="298" spans="1:15" x14ac:dyDescent="0.3">
      <c r="A298" s="50">
        <v>44127</v>
      </c>
      <c r="B298" s="2">
        <v>297</v>
      </c>
      <c r="C298" s="4">
        <v>1786704.72</v>
      </c>
      <c r="D298" s="4">
        <f t="shared" si="44"/>
        <v>2091226.335</v>
      </c>
      <c r="E298" s="2">
        <f t="shared" si="45"/>
        <v>812974.91643839481</v>
      </c>
      <c r="F298" s="2">
        <f t="shared" si="46"/>
        <v>304521.61499999999</v>
      </c>
      <c r="G298" s="4">
        <f t="shared" si="47"/>
        <v>1453628.07</v>
      </c>
      <c r="H298" s="2">
        <f t="shared" si="51"/>
        <v>894348.82178271026</v>
      </c>
      <c r="I298" s="2">
        <f t="shared" si="52"/>
        <v>333076.64999999991</v>
      </c>
      <c r="J298" s="4">
        <f t="shared" si="49"/>
        <v>1110660.1524999999</v>
      </c>
      <c r="K298" s="2">
        <f t="shared" si="53"/>
        <v>933498.82008328941</v>
      </c>
      <c r="L298" s="2">
        <f t="shared" si="54"/>
        <v>676044.56750000012</v>
      </c>
      <c r="N298" s="4">
        <f t="shared" si="48"/>
        <v>899964.00655000005</v>
      </c>
      <c r="O298" s="2">
        <f t="shared" si="50"/>
        <v>886740.71344999992</v>
      </c>
    </row>
    <row r="299" spans="1:15" x14ac:dyDescent="0.3">
      <c r="A299" s="50">
        <v>44128</v>
      </c>
      <c r="B299" s="2">
        <v>298</v>
      </c>
      <c r="C299" s="4">
        <v>4121921.6</v>
      </c>
      <c r="D299" s="4">
        <f t="shared" si="44"/>
        <v>2954313.16</v>
      </c>
      <c r="E299" s="2">
        <f t="shared" si="45"/>
        <v>853241.72517565079</v>
      </c>
      <c r="F299" s="2">
        <f t="shared" si="46"/>
        <v>1167608.44</v>
      </c>
      <c r="G299" s="4">
        <f t="shared" si="47"/>
        <v>2768124.7566666664</v>
      </c>
      <c r="H299" s="2">
        <f t="shared" si="51"/>
        <v>1186749.4565144782</v>
      </c>
      <c r="I299" s="2">
        <f t="shared" si="52"/>
        <v>1353796.8433333337</v>
      </c>
      <c r="J299" s="4">
        <f t="shared" si="49"/>
        <v>2120701.4525000001</v>
      </c>
      <c r="K299" s="2">
        <f t="shared" si="53"/>
        <v>1331711.5767493087</v>
      </c>
      <c r="L299" s="2">
        <f t="shared" si="54"/>
        <v>2001220.1475</v>
      </c>
      <c r="N299" s="4">
        <f t="shared" si="48"/>
        <v>1703908.85775</v>
      </c>
      <c r="O299" s="2">
        <f t="shared" si="50"/>
        <v>2418012.7422500001</v>
      </c>
    </row>
    <row r="300" spans="1:15" x14ac:dyDescent="0.3">
      <c r="A300" s="50">
        <v>44129</v>
      </c>
      <c r="B300" s="2">
        <v>299</v>
      </c>
      <c r="C300" s="4">
        <v>2978643.6</v>
      </c>
      <c r="D300" s="4">
        <f t="shared" si="44"/>
        <v>3550282.6</v>
      </c>
      <c r="E300" s="2">
        <f t="shared" si="45"/>
        <v>919260.73980134528</v>
      </c>
      <c r="F300" s="2">
        <f t="shared" si="46"/>
        <v>571639</v>
      </c>
      <c r="G300" s="4">
        <f t="shared" si="47"/>
        <v>2962423.3066666666</v>
      </c>
      <c r="H300" s="2">
        <f t="shared" si="51"/>
        <v>804978.06299516442</v>
      </c>
      <c r="I300" s="2">
        <f t="shared" si="52"/>
        <v>16220.293333333451</v>
      </c>
      <c r="J300" s="4">
        <f t="shared" si="49"/>
        <v>2820754.4674999998</v>
      </c>
      <c r="K300" s="2">
        <f t="shared" si="53"/>
        <v>1327068.4111321848</v>
      </c>
      <c r="L300" s="2">
        <f t="shared" si="54"/>
        <v>157889.1325000003</v>
      </c>
      <c r="N300" s="4">
        <f t="shared" si="48"/>
        <v>2702991.8854000005</v>
      </c>
      <c r="O300" s="2">
        <f t="shared" si="50"/>
        <v>275651.7145999996</v>
      </c>
    </row>
    <row r="301" spans="1:15" x14ac:dyDescent="0.3">
      <c r="A301" s="50">
        <v>44130</v>
      </c>
      <c r="B301" s="2">
        <v>300</v>
      </c>
      <c r="C301" s="4">
        <v>4764096.83</v>
      </c>
      <c r="D301" s="4">
        <f t="shared" si="44"/>
        <v>3871370.2149999999</v>
      </c>
      <c r="E301" s="2">
        <f t="shared" si="45"/>
        <v>749577.19930983719</v>
      </c>
      <c r="F301" s="2">
        <f t="shared" si="46"/>
        <v>892726.61500000022</v>
      </c>
      <c r="G301" s="4">
        <f t="shared" si="47"/>
        <v>3954887.3433333337</v>
      </c>
      <c r="H301" s="2">
        <f t="shared" si="51"/>
        <v>910649.7651396041</v>
      </c>
      <c r="I301" s="2">
        <f t="shared" si="52"/>
        <v>809209.48666666634</v>
      </c>
      <c r="J301" s="4">
        <f t="shared" si="49"/>
        <v>3412841.6875</v>
      </c>
      <c r="K301" s="2">
        <f t="shared" si="53"/>
        <v>1256258.1118445047</v>
      </c>
      <c r="L301" s="2">
        <f t="shared" si="54"/>
        <v>1351255.1425000001</v>
      </c>
      <c r="N301" s="4">
        <f t="shared" si="48"/>
        <v>3225175.7564000003</v>
      </c>
      <c r="O301" s="2">
        <f t="shared" si="50"/>
        <v>1538921.0735999998</v>
      </c>
    </row>
    <row r="302" spans="1:15" x14ac:dyDescent="0.3">
      <c r="A302" s="50">
        <v>44131</v>
      </c>
      <c r="B302" s="2">
        <v>301</v>
      </c>
      <c r="C302" s="4">
        <v>439707.4</v>
      </c>
      <c r="D302" s="4">
        <f t="shared" si="44"/>
        <v>2601902.1150000002</v>
      </c>
      <c r="E302" s="2">
        <f t="shared" si="45"/>
        <v>1654092.9228285954</v>
      </c>
      <c r="F302" s="2">
        <f t="shared" si="46"/>
        <v>2162194.7150000003</v>
      </c>
      <c r="G302" s="4">
        <f t="shared" si="47"/>
        <v>2727482.61</v>
      </c>
      <c r="H302" s="2">
        <f t="shared" si="51"/>
        <v>1401070.8407878231</v>
      </c>
      <c r="I302" s="2">
        <f t="shared" si="52"/>
        <v>2287775.21</v>
      </c>
      <c r="J302" s="4">
        <f t="shared" si="49"/>
        <v>3076092.3575000004</v>
      </c>
      <c r="K302" s="2">
        <f t="shared" si="53"/>
        <v>1789289.4652058468</v>
      </c>
      <c r="L302" s="2">
        <f t="shared" si="54"/>
        <v>2636384.9575000005</v>
      </c>
      <c r="N302" s="4">
        <f t="shared" si="48"/>
        <v>3828291.5920500001</v>
      </c>
      <c r="O302" s="2">
        <f t="shared" si="50"/>
        <v>3388584.1920500002</v>
      </c>
    </row>
    <row r="303" spans="1:15" x14ac:dyDescent="0.3">
      <c r="A303" s="50">
        <v>44132</v>
      </c>
      <c r="B303" s="2">
        <v>302</v>
      </c>
      <c r="C303" s="4">
        <v>80256.66</v>
      </c>
      <c r="D303" s="4">
        <f t="shared" si="44"/>
        <v>259982.03000000003</v>
      </c>
      <c r="E303" s="2">
        <f t="shared" si="45"/>
        <v>1534175.2172088379</v>
      </c>
      <c r="F303" s="2">
        <f t="shared" si="46"/>
        <v>179725.37000000002</v>
      </c>
      <c r="G303" s="4">
        <f t="shared" si="47"/>
        <v>1761353.6300000001</v>
      </c>
      <c r="H303" s="2">
        <f t="shared" si="51"/>
        <v>1704388.6907378312</v>
      </c>
      <c r="I303" s="2">
        <f t="shared" si="52"/>
        <v>1681096.9700000002</v>
      </c>
      <c r="J303" s="4">
        <f t="shared" si="49"/>
        <v>2065676.1225000001</v>
      </c>
      <c r="K303" s="2">
        <f t="shared" si="53"/>
        <v>1784883.4362851519</v>
      </c>
      <c r="L303" s="2">
        <f t="shared" si="54"/>
        <v>1985419.4625000001</v>
      </c>
      <c r="N303" s="4">
        <f t="shared" si="48"/>
        <v>2922626.6603500005</v>
      </c>
      <c r="O303" s="2">
        <f t="shared" si="50"/>
        <v>2842370.0003500003</v>
      </c>
    </row>
    <row r="304" spans="1:15" x14ac:dyDescent="0.3">
      <c r="A304" s="50">
        <v>44133</v>
      </c>
      <c r="B304" s="2">
        <v>303</v>
      </c>
      <c r="C304" s="4">
        <v>562645.44000000006</v>
      </c>
      <c r="D304" s="4">
        <f t="shared" si="44"/>
        <v>321451.05000000005</v>
      </c>
      <c r="E304" s="2">
        <f t="shared" si="45"/>
        <v>212692.19824562091</v>
      </c>
      <c r="F304" s="2">
        <f t="shared" si="46"/>
        <v>241194.39</v>
      </c>
      <c r="G304" s="4">
        <f t="shared" si="47"/>
        <v>360869.83333333331</v>
      </c>
      <c r="H304" s="2">
        <f t="shared" si="51"/>
        <v>1643240.2775694355</v>
      </c>
      <c r="I304" s="2">
        <f t="shared" si="52"/>
        <v>201775.60666666675</v>
      </c>
      <c r="J304" s="4">
        <f t="shared" si="49"/>
        <v>1461676.5825000003</v>
      </c>
      <c r="K304" s="2">
        <f t="shared" si="53"/>
        <v>1838923.8389288734</v>
      </c>
      <c r="L304" s="2">
        <f t="shared" si="54"/>
        <v>899031.14250000019</v>
      </c>
      <c r="N304" s="4">
        <f t="shared" si="48"/>
        <v>1270657.0767000001</v>
      </c>
      <c r="O304" s="2">
        <f t="shared" si="50"/>
        <v>708011.63670000003</v>
      </c>
    </row>
    <row r="305" spans="1:15" x14ac:dyDescent="0.3">
      <c r="A305" s="50">
        <v>44134</v>
      </c>
      <c r="B305" s="2">
        <v>304</v>
      </c>
      <c r="C305" s="4">
        <v>3486077.07</v>
      </c>
      <c r="D305" s="4">
        <f t="shared" si="44"/>
        <v>2024361.2549999999</v>
      </c>
      <c r="E305" s="2">
        <f t="shared" si="45"/>
        <v>1047565.7157402075</v>
      </c>
      <c r="F305" s="2">
        <f t="shared" si="46"/>
        <v>1461715.8149999999</v>
      </c>
      <c r="G305" s="4">
        <f t="shared" si="47"/>
        <v>1376326.39</v>
      </c>
      <c r="H305" s="2">
        <f t="shared" si="51"/>
        <v>1561820.3428210882</v>
      </c>
      <c r="I305" s="2">
        <f t="shared" si="52"/>
        <v>2109750.6799999997</v>
      </c>
      <c r="J305" s="4">
        <f t="shared" si="49"/>
        <v>1142171.6425000001</v>
      </c>
      <c r="K305" s="2">
        <f t="shared" si="53"/>
        <v>2073316.5300102443</v>
      </c>
      <c r="L305" s="2">
        <f t="shared" si="54"/>
        <v>2343905.4274999998</v>
      </c>
      <c r="N305" s="4">
        <f t="shared" si="48"/>
        <v>320936.06410000002</v>
      </c>
      <c r="O305" s="2">
        <f t="shared" si="50"/>
        <v>3165141.0058999998</v>
      </c>
    </row>
    <row r="306" spans="1:15" x14ac:dyDescent="0.3">
      <c r="A306" s="50">
        <v>44135</v>
      </c>
      <c r="B306" s="2">
        <v>305</v>
      </c>
      <c r="C306" s="4">
        <v>599486.82000000007</v>
      </c>
      <c r="D306" s="4">
        <f t="shared" si="44"/>
        <v>2042781.9449999998</v>
      </c>
      <c r="E306" s="2">
        <f t="shared" si="45"/>
        <v>1452534.6711300695</v>
      </c>
      <c r="F306" s="2">
        <f t="shared" si="46"/>
        <v>1443295.1249999998</v>
      </c>
      <c r="G306" s="4">
        <f t="shared" si="47"/>
        <v>1549403.11</v>
      </c>
      <c r="H306" s="2">
        <f t="shared" si="51"/>
        <v>1340907.9368365211</v>
      </c>
      <c r="I306" s="2">
        <f t="shared" si="52"/>
        <v>949916.29</v>
      </c>
      <c r="J306" s="4">
        <f t="shared" si="49"/>
        <v>1182116.4975000001</v>
      </c>
      <c r="K306" s="2">
        <f t="shared" si="53"/>
        <v>1626614.3851130141</v>
      </c>
      <c r="L306" s="2">
        <f t="shared" si="54"/>
        <v>582629.67749999999</v>
      </c>
      <c r="N306" s="4">
        <f t="shared" si="48"/>
        <v>1435869.5044499999</v>
      </c>
      <c r="O306" s="2">
        <f t="shared" si="50"/>
        <v>836382.68444999983</v>
      </c>
    </row>
    <row r="307" spans="1:15" x14ac:dyDescent="0.3">
      <c r="A307" s="50">
        <v>44136</v>
      </c>
      <c r="B307" s="2">
        <v>306</v>
      </c>
      <c r="C307" s="4">
        <v>330462.72000000003</v>
      </c>
      <c r="D307" s="4">
        <f t="shared" si="44"/>
        <v>464974.77</v>
      </c>
      <c r="E307" s="2">
        <f t="shared" si="45"/>
        <v>1024986.4168475521</v>
      </c>
      <c r="F307" s="2">
        <f t="shared" si="46"/>
        <v>134512.04999999999</v>
      </c>
      <c r="G307" s="4">
        <f t="shared" si="47"/>
        <v>1472008.8699999999</v>
      </c>
      <c r="H307" s="2">
        <f t="shared" si="51"/>
        <v>1489576.7298517665</v>
      </c>
      <c r="I307" s="2">
        <f t="shared" si="52"/>
        <v>1141546.1499999999</v>
      </c>
      <c r="J307" s="4">
        <f t="shared" si="49"/>
        <v>1244668.0125</v>
      </c>
      <c r="K307" s="2">
        <f t="shared" si="53"/>
        <v>1367239.7655667034</v>
      </c>
      <c r="L307" s="2">
        <f t="shared" si="54"/>
        <v>914205.29249999998</v>
      </c>
      <c r="N307" s="4">
        <f t="shared" si="48"/>
        <v>1875914.3776499999</v>
      </c>
      <c r="O307" s="2">
        <f t="shared" si="50"/>
        <v>1545451.65765</v>
      </c>
    </row>
    <row r="308" spans="1:15" x14ac:dyDescent="0.3">
      <c r="A308" s="50">
        <v>44137</v>
      </c>
      <c r="B308" s="2">
        <v>307</v>
      </c>
      <c r="C308" s="4">
        <v>3265428.6</v>
      </c>
      <c r="D308" s="4">
        <f t="shared" si="44"/>
        <v>1797945.6600000001</v>
      </c>
      <c r="E308" s="2">
        <f t="shared" si="45"/>
        <v>1042017.1953442625</v>
      </c>
      <c r="F308" s="2">
        <f t="shared" si="46"/>
        <v>1467482.94</v>
      </c>
      <c r="G308" s="4">
        <f t="shared" si="47"/>
        <v>1398459.3800000001</v>
      </c>
      <c r="H308" s="2">
        <f t="shared" si="51"/>
        <v>1377321.3906001986</v>
      </c>
      <c r="I308" s="2">
        <f t="shared" si="52"/>
        <v>1866969.22</v>
      </c>
      <c r="J308" s="4">
        <f t="shared" si="49"/>
        <v>1920363.8024999998</v>
      </c>
      <c r="K308" s="2">
        <f t="shared" si="53"/>
        <v>1455877.79539325</v>
      </c>
      <c r="L308" s="2">
        <f t="shared" si="54"/>
        <v>1345064.7975000003</v>
      </c>
      <c r="N308" s="4">
        <f t="shared" si="48"/>
        <v>1144413.6014999999</v>
      </c>
      <c r="O308" s="2">
        <f t="shared" si="50"/>
        <v>2121014.9985000002</v>
      </c>
    </row>
    <row r="309" spans="1:15" x14ac:dyDescent="0.3">
      <c r="A309" s="50">
        <v>44138</v>
      </c>
      <c r="B309" s="2">
        <v>308</v>
      </c>
      <c r="C309" s="4">
        <v>1005560</v>
      </c>
      <c r="D309" s="4">
        <f t="shared" si="44"/>
        <v>2135494.2999999998</v>
      </c>
      <c r="E309" s="2">
        <f t="shared" si="45"/>
        <v>1309629.2798932707</v>
      </c>
      <c r="F309" s="2">
        <f t="shared" si="46"/>
        <v>1129934.2999999998</v>
      </c>
      <c r="G309" s="4">
        <f t="shared" si="47"/>
        <v>1533817.1066666667</v>
      </c>
      <c r="H309" s="2">
        <f t="shared" si="51"/>
        <v>1299712.4363682745</v>
      </c>
      <c r="I309" s="2">
        <f t="shared" si="52"/>
        <v>528257.10666666669</v>
      </c>
      <c r="J309" s="4">
        <f t="shared" si="49"/>
        <v>1300234.5350000001</v>
      </c>
      <c r="K309" s="2">
        <f t="shared" si="53"/>
        <v>876250.68459173653</v>
      </c>
      <c r="L309" s="2">
        <f t="shared" si="54"/>
        <v>294674.53500000015</v>
      </c>
      <c r="N309" s="4">
        <f t="shared" si="48"/>
        <v>1372861.5918000003</v>
      </c>
      <c r="O309" s="2">
        <f t="shared" si="50"/>
        <v>367301.59180000029</v>
      </c>
    </row>
    <row r="310" spans="1:15" x14ac:dyDescent="0.3">
      <c r="A310" s="50">
        <v>44139</v>
      </c>
      <c r="B310" s="2">
        <v>309</v>
      </c>
      <c r="C310" s="4">
        <v>2032028.8</v>
      </c>
      <c r="D310" s="4">
        <f t="shared" si="44"/>
        <v>1518794.4</v>
      </c>
      <c r="E310" s="2">
        <f t="shared" si="45"/>
        <v>877542.32708737464</v>
      </c>
      <c r="F310" s="2">
        <f t="shared" si="46"/>
        <v>513234.40000000014</v>
      </c>
      <c r="G310" s="4">
        <f t="shared" si="47"/>
        <v>2101005.7999999998</v>
      </c>
      <c r="H310" s="2">
        <f t="shared" si="51"/>
        <v>1120920.3756586588</v>
      </c>
      <c r="I310" s="2">
        <f t="shared" si="52"/>
        <v>68976.999999999767</v>
      </c>
      <c r="J310" s="4">
        <f t="shared" si="49"/>
        <v>1658370.03</v>
      </c>
      <c r="K310" s="2">
        <f t="shared" si="53"/>
        <v>847263.91760243557</v>
      </c>
      <c r="L310" s="2">
        <f t="shared" si="54"/>
        <v>373658.77</v>
      </c>
      <c r="N310" s="4">
        <f t="shared" si="48"/>
        <v>1862680.1253999998</v>
      </c>
      <c r="O310" s="2">
        <f t="shared" si="50"/>
        <v>169348.67460000026</v>
      </c>
    </row>
    <row r="311" spans="1:15" x14ac:dyDescent="0.3">
      <c r="A311" s="50">
        <v>44140</v>
      </c>
      <c r="B311" s="2">
        <v>310</v>
      </c>
      <c r="C311" s="4">
        <v>874786.4</v>
      </c>
      <c r="D311" s="4">
        <f t="shared" si="44"/>
        <v>1453407.6</v>
      </c>
      <c r="E311" s="2">
        <f t="shared" si="45"/>
        <v>546905.86138420575</v>
      </c>
      <c r="F311" s="2">
        <f t="shared" si="46"/>
        <v>578621.20000000007</v>
      </c>
      <c r="G311" s="4">
        <f t="shared" si="47"/>
        <v>1304125.0666666667</v>
      </c>
      <c r="H311" s="2">
        <f t="shared" si="51"/>
        <v>395029.57187530026</v>
      </c>
      <c r="I311" s="2">
        <f t="shared" si="52"/>
        <v>429338.66666666663</v>
      </c>
      <c r="J311" s="4">
        <f t="shared" si="49"/>
        <v>1794450.95</v>
      </c>
      <c r="K311" s="2">
        <f t="shared" si="53"/>
        <v>848739.67622230877</v>
      </c>
      <c r="L311" s="2">
        <f t="shared" si="54"/>
        <v>919664.54999999993</v>
      </c>
      <c r="N311" s="4">
        <f t="shared" si="48"/>
        <v>1846598.1400000001</v>
      </c>
      <c r="O311" s="2">
        <f t="shared" si="50"/>
        <v>971811.74000000011</v>
      </c>
    </row>
    <row r="312" spans="1:15" x14ac:dyDescent="0.3">
      <c r="A312" s="50">
        <v>44141</v>
      </c>
      <c r="B312" s="2">
        <v>311</v>
      </c>
      <c r="C312" s="4">
        <v>225002.69</v>
      </c>
      <c r="D312" s="4">
        <f t="shared" si="44"/>
        <v>549894.54500000004</v>
      </c>
      <c r="E312" s="2">
        <f t="shared" si="45"/>
        <v>469231.93121034565</v>
      </c>
      <c r="F312" s="2">
        <f t="shared" si="46"/>
        <v>324891.85500000004</v>
      </c>
      <c r="G312" s="4">
        <f t="shared" si="47"/>
        <v>1043939.2966666667</v>
      </c>
      <c r="H312" s="2">
        <f t="shared" si="51"/>
        <v>535333.75351669663</v>
      </c>
      <c r="I312" s="2">
        <f t="shared" si="52"/>
        <v>818936.60666666669</v>
      </c>
      <c r="J312" s="4">
        <f t="shared" si="49"/>
        <v>1034344.4724999999</v>
      </c>
      <c r="K312" s="2">
        <f t="shared" si="53"/>
        <v>657128.40514665761</v>
      </c>
      <c r="L312" s="2">
        <f t="shared" si="54"/>
        <v>809341.78249999997</v>
      </c>
      <c r="N312" s="4">
        <f t="shared" si="48"/>
        <v>1418529.46</v>
      </c>
      <c r="O312" s="2">
        <f t="shared" si="50"/>
        <v>1193526.77</v>
      </c>
    </row>
    <row r="313" spans="1:15" x14ac:dyDescent="0.3">
      <c r="A313" s="50">
        <v>44142</v>
      </c>
      <c r="B313" s="2">
        <v>312</v>
      </c>
      <c r="C313" s="4">
        <v>936346.39999999991</v>
      </c>
      <c r="D313" s="4">
        <f t="shared" si="44"/>
        <v>580674.54499999993</v>
      </c>
      <c r="E313" s="2">
        <f t="shared" si="45"/>
        <v>340629.70061672694</v>
      </c>
      <c r="F313" s="2">
        <f t="shared" si="46"/>
        <v>355671.85499999998</v>
      </c>
      <c r="G313" s="4">
        <f t="shared" si="47"/>
        <v>678711.83</v>
      </c>
      <c r="H313" s="2">
        <f t="shared" si="51"/>
        <v>554185.41665310017</v>
      </c>
      <c r="I313" s="2">
        <f t="shared" si="52"/>
        <v>257634.56999999995</v>
      </c>
      <c r="J313" s="4">
        <f t="shared" si="49"/>
        <v>1017041.0725</v>
      </c>
      <c r="K313" s="2">
        <f t="shared" si="53"/>
        <v>641667.65385103656</v>
      </c>
      <c r="L313" s="2">
        <f t="shared" si="54"/>
        <v>80694.672500000102</v>
      </c>
      <c r="N313" s="4">
        <f t="shared" si="48"/>
        <v>911702.18515000003</v>
      </c>
      <c r="O313" s="2">
        <f t="shared" si="50"/>
        <v>24644.214849999873</v>
      </c>
    </row>
    <row r="314" spans="1:15" x14ac:dyDescent="0.3">
      <c r="A314" s="50">
        <v>44143</v>
      </c>
      <c r="B314" s="2">
        <v>313</v>
      </c>
      <c r="C314" s="4">
        <v>25965.39</v>
      </c>
      <c r="D314" s="4">
        <f t="shared" si="44"/>
        <v>481155.89499999996</v>
      </c>
      <c r="E314" s="2">
        <f t="shared" si="45"/>
        <v>408473.29428084765</v>
      </c>
      <c r="F314" s="2">
        <f t="shared" si="46"/>
        <v>455190.50499999995</v>
      </c>
      <c r="G314" s="4">
        <f t="shared" si="47"/>
        <v>395771.49333333323</v>
      </c>
      <c r="H314" s="2">
        <f t="shared" si="51"/>
        <v>539687.96276502335</v>
      </c>
      <c r="I314" s="2">
        <f t="shared" si="52"/>
        <v>369806.10333333322</v>
      </c>
      <c r="J314" s="4">
        <f t="shared" si="49"/>
        <v>515525.22</v>
      </c>
      <c r="K314" s="2">
        <f t="shared" si="53"/>
        <v>660870.1579634404</v>
      </c>
      <c r="L314" s="2">
        <f t="shared" si="54"/>
        <v>489559.82999999996</v>
      </c>
      <c r="N314" s="4">
        <f t="shared" si="48"/>
        <v>606255.24904999998</v>
      </c>
      <c r="O314" s="2">
        <f t="shared" si="50"/>
        <v>580289.85904999997</v>
      </c>
    </row>
    <row r="315" spans="1:15" x14ac:dyDescent="0.3">
      <c r="A315" s="50">
        <v>44144</v>
      </c>
      <c r="B315" s="2">
        <v>314</v>
      </c>
      <c r="C315" s="4">
        <v>723882.61</v>
      </c>
      <c r="D315" s="4">
        <f t="shared" si="44"/>
        <v>374924</v>
      </c>
      <c r="E315" s="2">
        <f t="shared" si="45"/>
        <v>405567.81636077032</v>
      </c>
      <c r="F315" s="2">
        <f t="shared" si="46"/>
        <v>348958.61</v>
      </c>
      <c r="G315" s="4">
        <f t="shared" si="47"/>
        <v>562064.79999999993</v>
      </c>
      <c r="H315" s="2">
        <f t="shared" si="51"/>
        <v>276476.1167231056</v>
      </c>
      <c r="I315" s="2">
        <f t="shared" si="52"/>
        <v>161817.81000000006</v>
      </c>
      <c r="J315" s="4">
        <f t="shared" si="49"/>
        <v>477799.27249999996</v>
      </c>
      <c r="K315" s="2">
        <f t="shared" si="53"/>
        <v>490349.76986201573</v>
      </c>
      <c r="L315" s="2">
        <f t="shared" si="54"/>
        <v>246083.33750000002</v>
      </c>
      <c r="N315" s="4">
        <f t="shared" si="48"/>
        <v>474873.14544999995</v>
      </c>
      <c r="O315" s="2">
        <f t="shared" si="50"/>
        <v>249009.46455000003</v>
      </c>
    </row>
    <row r="316" spans="1:15" x14ac:dyDescent="0.3">
      <c r="A316" s="50">
        <v>44145</v>
      </c>
      <c r="B316" s="2">
        <v>315</v>
      </c>
      <c r="C316" s="4">
        <v>185384.7</v>
      </c>
      <c r="D316" s="4">
        <f t="shared" si="44"/>
        <v>454633.65500000003</v>
      </c>
      <c r="E316" s="2">
        <f t="shared" si="45"/>
        <v>311662.56693876802</v>
      </c>
      <c r="F316" s="2">
        <f t="shared" si="46"/>
        <v>269248.95500000002</v>
      </c>
      <c r="G316" s="4">
        <f t="shared" si="47"/>
        <v>311744.23333333334</v>
      </c>
      <c r="H316" s="2">
        <f t="shared" si="51"/>
        <v>244205.02954143391</v>
      </c>
      <c r="I316" s="2">
        <f t="shared" si="52"/>
        <v>126359.53333333333</v>
      </c>
      <c r="J316" s="4">
        <f t="shared" si="49"/>
        <v>467894.77499999997</v>
      </c>
      <c r="K316" s="2">
        <f t="shared" si="53"/>
        <v>310865.48891407828</v>
      </c>
      <c r="L316" s="2">
        <f t="shared" si="54"/>
        <v>282510.07499999995</v>
      </c>
      <c r="N316" s="4">
        <f t="shared" si="48"/>
        <v>460051.48089999997</v>
      </c>
      <c r="O316" s="2">
        <f t="shared" si="50"/>
        <v>274666.78089999995</v>
      </c>
    </row>
    <row r="317" spans="1:15" x14ac:dyDescent="0.3">
      <c r="A317" s="50">
        <v>44146</v>
      </c>
      <c r="B317" s="2">
        <v>316</v>
      </c>
      <c r="C317" s="4">
        <v>216852.93000000002</v>
      </c>
      <c r="D317" s="4">
        <f t="shared" si="44"/>
        <v>201118.815</v>
      </c>
      <c r="E317" s="2">
        <f t="shared" si="45"/>
        <v>190712.56138941826</v>
      </c>
      <c r="F317" s="2">
        <f t="shared" si="46"/>
        <v>15734.11500000002</v>
      </c>
      <c r="G317" s="4">
        <f t="shared" si="47"/>
        <v>375373.41333333333</v>
      </c>
      <c r="H317" s="2">
        <f t="shared" si="51"/>
        <v>149755.88907023266</v>
      </c>
      <c r="I317" s="2">
        <f t="shared" si="52"/>
        <v>158520.48333333331</v>
      </c>
      <c r="J317" s="4">
        <f t="shared" si="49"/>
        <v>288021.40749999997</v>
      </c>
      <c r="K317" s="2">
        <f t="shared" si="53"/>
        <v>310283.22981227224</v>
      </c>
      <c r="L317" s="2">
        <f t="shared" si="54"/>
        <v>71168.47749999995</v>
      </c>
      <c r="N317" s="4">
        <f t="shared" si="48"/>
        <v>389944.02175000001</v>
      </c>
      <c r="O317" s="2">
        <f t="shared" si="50"/>
        <v>173091.09174999999</v>
      </c>
    </row>
    <row r="318" spans="1:15" x14ac:dyDescent="0.3">
      <c r="A318" s="50">
        <v>44147</v>
      </c>
      <c r="B318" s="2">
        <v>317</v>
      </c>
      <c r="C318" s="4">
        <v>566529.54</v>
      </c>
      <c r="D318" s="4">
        <f t="shared" si="44"/>
        <v>391691.23500000004</v>
      </c>
      <c r="E318" s="2">
        <f t="shared" si="45"/>
        <v>124128.95566729434</v>
      </c>
      <c r="F318" s="2">
        <f t="shared" si="46"/>
        <v>174838.30499999999</v>
      </c>
      <c r="G318" s="4">
        <f t="shared" si="47"/>
        <v>322922.39</v>
      </c>
      <c r="H318" s="2">
        <f t="shared" si="51"/>
        <v>182975.33424988724</v>
      </c>
      <c r="I318" s="2">
        <f t="shared" si="52"/>
        <v>243607.15000000002</v>
      </c>
      <c r="J318" s="4">
        <f t="shared" si="49"/>
        <v>423162.44500000001</v>
      </c>
      <c r="K318" s="2">
        <f t="shared" si="53"/>
        <v>203708.14146104443</v>
      </c>
      <c r="L318" s="2">
        <f t="shared" si="54"/>
        <v>143367.09500000003</v>
      </c>
      <c r="N318" s="4">
        <f t="shared" si="48"/>
        <v>314396.09724999999</v>
      </c>
      <c r="O318" s="2">
        <f t="shared" si="50"/>
        <v>252133.44275000005</v>
      </c>
    </row>
    <row r="319" spans="1:15" x14ac:dyDescent="0.3">
      <c r="A319" s="50">
        <v>44148</v>
      </c>
      <c r="B319" s="2">
        <v>318</v>
      </c>
      <c r="C319" s="4">
        <v>581530.53</v>
      </c>
      <c r="D319" s="4">
        <f t="shared" si="44"/>
        <v>574030.03500000003</v>
      </c>
      <c r="E319" s="2">
        <f t="shared" si="45"/>
        <v>123743.06105903079</v>
      </c>
      <c r="F319" s="2">
        <f t="shared" si="46"/>
        <v>7500.4949999999953</v>
      </c>
      <c r="G319" s="4">
        <f t="shared" si="47"/>
        <v>454971</v>
      </c>
      <c r="H319" s="2">
        <f t="shared" si="51"/>
        <v>183021.40293890677</v>
      </c>
      <c r="I319" s="2">
        <f t="shared" si="52"/>
        <v>126559.53000000003</v>
      </c>
      <c r="J319" s="4">
        <f t="shared" si="49"/>
        <v>387574.42500000005</v>
      </c>
      <c r="K319" s="2">
        <f t="shared" si="53"/>
        <v>189109.74939283516</v>
      </c>
      <c r="L319" s="2">
        <f t="shared" si="54"/>
        <v>193956.10499999998</v>
      </c>
      <c r="N319" s="4">
        <f t="shared" si="48"/>
        <v>327071.58375000005</v>
      </c>
      <c r="O319" s="2">
        <f t="shared" si="50"/>
        <v>254458.94624999998</v>
      </c>
    </row>
    <row r="320" spans="1:15" x14ac:dyDescent="0.3">
      <c r="A320" s="50">
        <v>44149</v>
      </c>
      <c r="B320" s="2">
        <v>319</v>
      </c>
      <c r="C320" s="4">
        <v>689801.20000000007</v>
      </c>
      <c r="D320" s="4">
        <f t="shared" si="44"/>
        <v>635665.86499999999</v>
      </c>
      <c r="E320" s="2">
        <f t="shared" si="45"/>
        <v>38645.128546863823</v>
      </c>
      <c r="F320" s="2">
        <f t="shared" si="46"/>
        <v>54135.335000000079</v>
      </c>
      <c r="G320" s="4">
        <f t="shared" si="47"/>
        <v>612620.42333333334</v>
      </c>
      <c r="H320" s="2">
        <f t="shared" si="51"/>
        <v>164639.63724026008</v>
      </c>
      <c r="I320" s="2">
        <f t="shared" si="52"/>
        <v>77180.77666666673</v>
      </c>
      <c r="J320" s="4">
        <f t="shared" si="49"/>
        <v>513678.55000000005</v>
      </c>
      <c r="K320" s="2">
        <f t="shared" si="53"/>
        <v>153506.70557682533</v>
      </c>
      <c r="L320" s="2">
        <f t="shared" si="54"/>
        <v>176122.65000000002</v>
      </c>
      <c r="N320" s="4">
        <f t="shared" si="48"/>
        <v>494626.0174500001</v>
      </c>
      <c r="O320" s="2">
        <f t="shared" si="50"/>
        <v>195175.18254999997</v>
      </c>
    </row>
    <row r="321" spans="1:15" x14ac:dyDescent="0.3">
      <c r="A321" s="50">
        <v>44150</v>
      </c>
      <c r="B321" s="2">
        <v>320</v>
      </c>
      <c r="C321" s="4">
        <v>763059.18</v>
      </c>
      <c r="D321" s="4">
        <f t="shared" si="44"/>
        <v>726430.19000000006</v>
      </c>
      <c r="E321" s="2">
        <f t="shared" si="45"/>
        <v>46218.596927980907</v>
      </c>
      <c r="F321" s="2">
        <f t="shared" si="46"/>
        <v>36628.989999999991</v>
      </c>
      <c r="G321" s="4">
        <f t="shared" si="47"/>
        <v>678130.30333333334</v>
      </c>
      <c r="H321" s="2">
        <f t="shared" si="51"/>
        <v>98635.864019386441</v>
      </c>
      <c r="I321" s="2">
        <f t="shared" si="52"/>
        <v>84928.876666666707</v>
      </c>
      <c r="J321" s="4">
        <f t="shared" si="49"/>
        <v>650230.11250000005</v>
      </c>
      <c r="K321" s="2">
        <f t="shared" si="53"/>
        <v>159626.65888836686</v>
      </c>
      <c r="L321" s="2">
        <f t="shared" si="54"/>
        <v>112829.0675</v>
      </c>
      <c r="N321" s="4">
        <f t="shared" si="48"/>
        <v>614500.98665000009</v>
      </c>
      <c r="O321" s="2">
        <f t="shared" si="50"/>
        <v>148558.19334999996</v>
      </c>
    </row>
    <row r="322" spans="1:15" x14ac:dyDescent="0.3">
      <c r="A322" s="50">
        <v>44151</v>
      </c>
      <c r="B322" s="2">
        <v>321</v>
      </c>
      <c r="C322" s="4">
        <v>1547252.08</v>
      </c>
      <c r="D322" s="4">
        <f t="shared" si="44"/>
        <v>1155155.6300000001</v>
      </c>
      <c r="E322" s="2">
        <f t="shared" si="45"/>
        <v>278461.22621562827</v>
      </c>
      <c r="F322" s="2">
        <f t="shared" si="46"/>
        <v>392096.44999999995</v>
      </c>
      <c r="G322" s="4">
        <f t="shared" si="47"/>
        <v>1000037.4866666667</v>
      </c>
      <c r="H322" s="2">
        <f t="shared" si="51"/>
        <v>322807.26836906734</v>
      </c>
      <c r="I322" s="2">
        <f t="shared" si="52"/>
        <v>547214.59333333338</v>
      </c>
      <c r="J322" s="4">
        <f t="shared" si="49"/>
        <v>895410.74750000006</v>
      </c>
      <c r="K322" s="2">
        <f t="shared" si="53"/>
        <v>355761.74602467055</v>
      </c>
      <c r="L322" s="2">
        <f t="shared" si="54"/>
        <v>651841.33250000002</v>
      </c>
      <c r="N322" s="4">
        <f t="shared" si="48"/>
        <v>690523.07590000017</v>
      </c>
      <c r="O322" s="2">
        <f t="shared" si="50"/>
        <v>856729.0040999999</v>
      </c>
    </row>
    <row r="323" spans="1:15" x14ac:dyDescent="0.3">
      <c r="A323" s="50">
        <v>44152</v>
      </c>
      <c r="B323" s="2">
        <v>322</v>
      </c>
      <c r="C323" s="4">
        <v>3976735.1399999997</v>
      </c>
      <c r="D323" s="4">
        <f t="shared" si="44"/>
        <v>2761993.61</v>
      </c>
      <c r="E323" s="2">
        <f t="shared" si="45"/>
        <v>902589.77692231338</v>
      </c>
      <c r="F323" s="2">
        <f t="shared" si="46"/>
        <v>1214741.5299999998</v>
      </c>
      <c r="G323" s="4">
        <f t="shared" si="47"/>
        <v>2095682.1333333335</v>
      </c>
      <c r="H323" s="2">
        <f t="shared" si="51"/>
        <v>1132109.7030380245</v>
      </c>
      <c r="I323" s="2">
        <f t="shared" si="52"/>
        <v>1881053.0066666661</v>
      </c>
      <c r="J323" s="4">
        <f t="shared" si="49"/>
        <v>1744211.9</v>
      </c>
      <c r="K323" s="2">
        <f t="shared" si="53"/>
        <v>1167562.2816590357</v>
      </c>
      <c r="L323" s="2">
        <f t="shared" si="54"/>
        <v>2232523.2399999998</v>
      </c>
      <c r="N323" s="4">
        <f t="shared" si="48"/>
        <v>1009647.0459000003</v>
      </c>
      <c r="O323" s="2">
        <f t="shared" si="50"/>
        <v>2967088.0940999994</v>
      </c>
    </row>
    <row r="324" spans="1:15" x14ac:dyDescent="0.3">
      <c r="A324" s="50">
        <v>44153</v>
      </c>
      <c r="B324" s="2">
        <v>323</v>
      </c>
      <c r="C324" s="4">
        <v>462163</v>
      </c>
      <c r="D324" s="4">
        <f t="shared" ref="D324:D387" si="55">AVERAGE(C323:C324)</f>
        <v>2219449.0699999998</v>
      </c>
      <c r="E324" s="2">
        <f t="shared" si="45"/>
        <v>1510571.3019455231</v>
      </c>
      <c r="F324" s="2">
        <f t="shared" si="46"/>
        <v>1757286.0699999998</v>
      </c>
      <c r="G324" s="4">
        <f t="shared" si="47"/>
        <v>1995383.4066666665</v>
      </c>
      <c r="H324" s="2">
        <f t="shared" si="51"/>
        <v>1436264.7203151383</v>
      </c>
      <c r="I324" s="2">
        <f t="shared" si="52"/>
        <v>1533220.4066666665</v>
      </c>
      <c r="J324" s="4">
        <f t="shared" si="49"/>
        <v>1687302.35</v>
      </c>
      <c r="K324" s="2">
        <f t="shared" si="53"/>
        <v>1315556.3428913653</v>
      </c>
      <c r="L324" s="2">
        <f t="shared" si="54"/>
        <v>1225139.3500000001</v>
      </c>
      <c r="N324" s="4">
        <f t="shared" si="48"/>
        <v>2188606.4671</v>
      </c>
      <c r="O324" s="2">
        <f t="shared" si="50"/>
        <v>1726443.4671</v>
      </c>
    </row>
    <row r="325" spans="1:15" x14ac:dyDescent="0.3">
      <c r="A325" s="50">
        <v>44154</v>
      </c>
      <c r="B325" s="2">
        <v>324</v>
      </c>
      <c r="C325" s="4">
        <v>766438.2</v>
      </c>
      <c r="D325" s="4">
        <f t="shared" si="55"/>
        <v>614300.6</v>
      </c>
      <c r="E325" s="2">
        <f t="shared" ref="E325:E388" si="56">SQRT(SUMXMY2(C324:C325,D324:D325)/2)</f>
        <v>1247236.9825237312</v>
      </c>
      <c r="F325" s="2">
        <f t="shared" ref="F325:F388" si="57">ABS(D325-C325)</f>
        <v>152137.59999999998</v>
      </c>
      <c r="G325" s="4">
        <f t="shared" ref="G325:G388" si="58">AVERAGE(C323:C325)</f>
        <v>1735112.1133333333</v>
      </c>
      <c r="H325" s="2">
        <f t="shared" si="51"/>
        <v>1508581.4948356084</v>
      </c>
      <c r="I325" s="2">
        <f t="shared" si="52"/>
        <v>968673.91333333333</v>
      </c>
      <c r="J325" s="4">
        <f t="shared" si="49"/>
        <v>1688147.105</v>
      </c>
      <c r="K325" s="2">
        <f t="shared" si="53"/>
        <v>1392800.3152256063</v>
      </c>
      <c r="L325" s="2">
        <f t="shared" si="54"/>
        <v>921708.90500000003</v>
      </c>
      <c r="N325" s="4">
        <f t="shared" ref="N325:N388" si="59">($M$2*D324)+($M$3*C323)+($M$4*C322)</f>
        <v>2264867.1998999999</v>
      </c>
      <c r="O325" s="2">
        <f t="shared" si="50"/>
        <v>1498428.9998999999</v>
      </c>
    </row>
    <row r="326" spans="1:15" x14ac:dyDescent="0.3">
      <c r="A326" s="50">
        <v>44155</v>
      </c>
      <c r="B326" s="2">
        <v>325</v>
      </c>
      <c r="C326" s="4">
        <v>243893.00000000003</v>
      </c>
      <c r="D326" s="4">
        <f t="shared" si="55"/>
        <v>505165.6</v>
      </c>
      <c r="E326" s="2">
        <f t="shared" si="56"/>
        <v>213786.36631520724</v>
      </c>
      <c r="F326" s="2">
        <f t="shared" si="57"/>
        <v>261272.59999999995</v>
      </c>
      <c r="G326" s="4">
        <f t="shared" si="58"/>
        <v>490831.39999999997</v>
      </c>
      <c r="H326" s="2">
        <f t="shared" si="51"/>
        <v>1056735.9397670692</v>
      </c>
      <c r="I326" s="2">
        <f t="shared" si="52"/>
        <v>246938.39999999994</v>
      </c>
      <c r="J326" s="4">
        <f t="shared" ref="J326:J389" si="60">AVERAGE(C323:C326)</f>
        <v>1362307.335</v>
      </c>
      <c r="K326" s="2">
        <f t="shared" si="53"/>
        <v>1465053.2732931855</v>
      </c>
      <c r="L326" s="2">
        <f t="shared" si="54"/>
        <v>1118414.335</v>
      </c>
      <c r="N326" s="4">
        <f t="shared" si="59"/>
        <v>1337301.0628</v>
      </c>
      <c r="O326" s="2">
        <f t="shared" ref="O326:O389" si="61">ABS(N326-C326)</f>
        <v>1093408.0628</v>
      </c>
    </row>
    <row r="327" spans="1:15" x14ac:dyDescent="0.3">
      <c r="A327" s="50">
        <v>44156</v>
      </c>
      <c r="B327" s="2">
        <v>326</v>
      </c>
      <c r="C327" s="4">
        <v>2493575.04</v>
      </c>
      <c r="D327" s="4">
        <f t="shared" si="55"/>
        <v>1368734.02</v>
      </c>
      <c r="E327" s="2">
        <f t="shared" si="56"/>
        <v>816557.00712975347</v>
      </c>
      <c r="F327" s="2">
        <f t="shared" si="57"/>
        <v>1124841.02</v>
      </c>
      <c r="G327" s="4">
        <f t="shared" si="58"/>
        <v>1167968.7466666668</v>
      </c>
      <c r="H327" s="2">
        <f t="shared" ref="H327:H390" si="62">SQRT(SUMXMY2(C325:C327,G325:G327)/3)</f>
        <v>958564.85934129904</v>
      </c>
      <c r="I327" s="2">
        <f t="shared" ref="I327:I390" si="63">ABS(G327-C327)</f>
        <v>1325606.2933333332</v>
      </c>
      <c r="J327" s="4">
        <f t="shared" si="60"/>
        <v>991517.31</v>
      </c>
      <c r="K327" s="2">
        <f t="shared" si="53"/>
        <v>1210117.9468817252</v>
      </c>
      <c r="L327" s="2">
        <f t="shared" si="54"/>
        <v>1502057.73</v>
      </c>
      <c r="N327" s="4">
        <f t="shared" si="59"/>
        <v>524445.01399999997</v>
      </c>
      <c r="O327" s="2">
        <f t="shared" si="61"/>
        <v>1969130.0260000001</v>
      </c>
    </row>
    <row r="328" spans="1:15" x14ac:dyDescent="0.3">
      <c r="A328" s="50">
        <v>44157</v>
      </c>
      <c r="B328" s="2">
        <v>327</v>
      </c>
      <c r="C328" s="4">
        <v>186684.4</v>
      </c>
      <c r="D328" s="4">
        <f t="shared" si="55"/>
        <v>1340129.72</v>
      </c>
      <c r="E328" s="2">
        <f t="shared" si="56"/>
        <v>1139232.9495113243</v>
      </c>
      <c r="F328" s="2">
        <f t="shared" si="57"/>
        <v>1153445.32</v>
      </c>
      <c r="G328" s="4">
        <f t="shared" si="58"/>
        <v>974717.48</v>
      </c>
      <c r="H328" s="2">
        <f t="shared" si="62"/>
        <v>901703.34247537411</v>
      </c>
      <c r="I328" s="2">
        <f t="shared" si="63"/>
        <v>788033.08</v>
      </c>
      <c r="J328" s="4">
        <f t="shared" si="60"/>
        <v>922647.66</v>
      </c>
      <c r="K328" s="2">
        <f t="shared" si="53"/>
        <v>1106595.8244332448</v>
      </c>
      <c r="L328" s="2">
        <f t="shared" si="54"/>
        <v>735963.26</v>
      </c>
      <c r="N328" s="4">
        <f t="shared" si="59"/>
        <v>1112496.4273999999</v>
      </c>
      <c r="O328" s="2">
        <f t="shared" si="61"/>
        <v>925812.0273999999</v>
      </c>
    </row>
    <row r="329" spans="1:15" x14ac:dyDescent="0.3">
      <c r="A329" s="50">
        <v>44158</v>
      </c>
      <c r="B329" s="2">
        <v>328</v>
      </c>
      <c r="C329" s="4">
        <v>299819.7</v>
      </c>
      <c r="D329" s="4">
        <f t="shared" si="55"/>
        <v>243252.05</v>
      </c>
      <c r="E329" s="2">
        <f t="shared" si="56"/>
        <v>816589.24964036385</v>
      </c>
      <c r="F329" s="2">
        <f t="shared" si="57"/>
        <v>56567.650000000023</v>
      </c>
      <c r="G329" s="4">
        <f t="shared" si="58"/>
        <v>993359.71333333338</v>
      </c>
      <c r="H329" s="2">
        <f t="shared" si="62"/>
        <v>976255.76057944063</v>
      </c>
      <c r="I329" s="2">
        <f t="shared" si="63"/>
        <v>693540.01333333342</v>
      </c>
      <c r="J329" s="4">
        <f t="shared" si="60"/>
        <v>805993.03500000003</v>
      </c>
      <c r="K329" s="2">
        <f t="shared" ref="K329:K392" si="64">SQRT(SUMXMY2(C326:C329,J326:J329)/4)</f>
        <v>1037410.4074715434</v>
      </c>
      <c r="L329" s="2">
        <f t="shared" ref="L329:L392" si="65">ABS(J329-C329)</f>
        <v>506173.33500000002</v>
      </c>
      <c r="N329" s="4">
        <f t="shared" si="59"/>
        <v>1225836.6268</v>
      </c>
      <c r="O329" s="2">
        <f t="shared" si="61"/>
        <v>926016.92680000002</v>
      </c>
    </row>
    <row r="330" spans="1:15" x14ac:dyDescent="0.3">
      <c r="A330" s="50">
        <v>44159</v>
      </c>
      <c r="B330" s="2">
        <v>329</v>
      </c>
      <c r="C330" s="4">
        <v>684420.64</v>
      </c>
      <c r="D330" s="4">
        <f t="shared" si="55"/>
        <v>492120.17000000004</v>
      </c>
      <c r="E330" s="2">
        <f t="shared" si="56"/>
        <v>141738.08554644618</v>
      </c>
      <c r="F330" s="2">
        <f t="shared" si="57"/>
        <v>192300.46999999997</v>
      </c>
      <c r="G330" s="4">
        <f t="shared" si="58"/>
        <v>390308.24666666664</v>
      </c>
      <c r="H330" s="2">
        <f t="shared" si="62"/>
        <v>629416.6572260774</v>
      </c>
      <c r="I330" s="2">
        <f t="shared" si="63"/>
        <v>294112.39333333337</v>
      </c>
      <c r="J330" s="4">
        <f t="shared" si="60"/>
        <v>916124.94500000007</v>
      </c>
      <c r="K330" s="2">
        <f t="shared" si="64"/>
        <v>881435.99800880835</v>
      </c>
      <c r="L330" s="2">
        <f t="shared" si="65"/>
        <v>231704.30500000005</v>
      </c>
      <c r="N330" s="4">
        <f t="shared" si="59"/>
        <v>732100.66630000016</v>
      </c>
      <c r="O330" s="2">
        <f t="shared" si="61"/>
        <v>47680.026300000143</v>
      </c>
    </row>
    <row r="331" spans="1:15" x14ac:dyDescent="0.3">
      <c r="A331" s="50">
        <v>44160</v>
      </c>
      <c r="B331" s="2">
        <v>330</v>
      </c>
      <c r="C331" s="4">
        <v>3161830.4</v>
      </c>
      <c r="D331" s="4">
        <f t="shared" si="55"/>
        <v>1923125.52</v>
      </c>
      <c r="E331" s="2">
        <f t="shared" si="56"/>
        <v>886388.52951119444</v>
      </c>
      <c r="F331" s="2">
        <f t="shared" si="57"/>
        <v>1238704.8799999999</v>
      </c>
      <c r="G331" s="4">
        <f t="shared" si="58"/>
        <v>1382023.58</v>
      </c>
      <c r="H331" s="2">
        <f t="shared" si="62"/>
        <v>1115827.3711354539</v>
      </c>
      <c r="I331" s="2">
        <f t="shared" si="63"/>
        <v>1779806.8199999998</v>
      </c>
      <c r="J331" s="4">
        <f t="shared" si="60"/>
        <v>1083188.7849999999</v>
      </c>
      <c r="K331" s="2">
        <f t="shared" si="64"/>
        <v>1137133.5908436826</v>
      </c>
      <c r="L331" s="2">
        <f t="shared" si="65"/>
        <v>2078641.615</v>
      </c>
      <c r="N331" s="4">
        <f t="shared" si="59"/>
        <v>403771.24890000001</v>
      </c>
      <c r="O331" s="2">
        <f t="shared" si="61"/>
        <v>2758059.1510999999</v>
      </c>
    </row>
    <row r="332" spans="1:15" x14ac:dyDescent="0.3">
      <c r="A332" s="50">
        <v>44161</v>
      </c>
      <c r="B332" s="2">
        <v>331</v>
      </c>
      <c r="C332" s="4">
        <v>2452446.5699999998</v>
      </c>
      <c r="D332" s="4">
        <f t="shared" si="55"/>
        <v>2807138.4849999999</v>
      </c>
      <c r="E332" s="2">
        <f t="shared" si="56"/>
        <v>911097.17766607681</v>
      </c>
      <c r="F332" s="2">
        <f t="shared" si="57"/>
        <v>354691.91500000004</v>
      </c>
      <c r="G332" s="4">
        <f t="shared" si="58"/>
        <v>2099565.8699999996</v>
      </c>
      <c r="H332" s="2">
        <f t="shared" si="62"/>
        <v>1061247.5684877152</v>
      </c>
      <c r="I332" s="2">
        <f t="shared" si="63"/>
        <v>352880.70000000019</v>
      </c>
      <c r="J332" s="4">
        <f t="shared" si="60"/>
        <v>1649629.3275000001</v>
      </c>
      <c r="K332" s="2">
        <f t="shared" si="64"/>
        <v>1148386.3481517953</v>
      </c>
      <c r="L332" s="2">
        <f t="shared" si="65"/>
        <v>802817.2424999997</v>
      </c>
      <c r="N332" s="4">
        <f t="shared" si="59"/>
        <v>1429740.7028000001</v>
      </c>
      <c r="O332" s="2">
        <f t="shared" si="61"/>
        <v>1022705.8671999997</v>
      </c>
    </row>
    <row r="333" spans="1:15" x14ac:dyDescent="0.3">
      <c r="A333" s="50">
        <v>44162</v>
      </c>
      <c r="B333" s="2">
        <v>332</v>
      </c>
      <c r="C333" s="4">
        <v>236395.90000000002</v>
      </c>
      <c r="D333" s="4">
        <f t="shared" si="55"/>
        <v>1344421.2349999999</v>
      </c>
      <c r="E333" s="2">
        <f t="shared" si="56"/>
        <v>822656.21542909078</v>
      </c>
      <c r="F333" s="2">
        <f t="shared" si="57"/>
        <v>1108025.335</v>
      </c>
      <c r="G333" s="4">
        <f t="shared" si="58"/>
        <v>1950224.29</v>
      </c>
      <c r="H333" s="2">
        <f t="shared" si="62"/>
        <v>1441000.2145871914</v>
      </c>
      <c r="I333" s="2">
        <f t="shared" si="63"/>
        <v>1713828.3900000001</v>
      </c>
      <c r="J333" s="4">
        <f t="shared" si="60"/>
        <v>1633773.3774999999</v>
      </c>
      <c r="K333" s="2">
        <f t="shared" si="64"/>
        <v>1320191.007775476</v>
      </c>
      <c r="L333" s="2">
        <f t="shared" si="65"/>
        <v>1397377.4775</v>
      </c>
      <c r="N333" s="4">
        <f t="shared" si="59"/>
        <v>2379156.6697499999</v>
      </c>
      <c r="O333" s="2">
        <f t="shared" si="61"/>
        <v>2142760.76975</v>
      </c>
    </row>
    <row r="334" spans="1:15" x14ac:dyDescent="0.3">
      <c r="A334" s="50">
        <v>44163</v>
      </c>
      <c r="B334" s="2">
        <v>333</v>
      </c>
      <c r="C334" s="4">
        <v>723534.3600000001</v>
      </c>
      <c r="D334" s="4">
        <f t="shared" si="55"/>
        <v>479965.13000000006</v>
      </c>
      <c r="E334" s="2">
        <f t="shared" si="56"/>
        <v>802198.88830783579</v>
      </c>
      <c r="F334" s="2">
        <f t="shared" si="57"/>
        <v>243569.23000000004</v>
      </c>
      <c r="G334" s="4">
        <f t="shared" si="58"/>
        <v>1137458.9433333334</v>
      </c>
      <c r="H334" s="2">
        <f t="shared" si="62"/>
        <v>1038117.864132032</v>
      </c>
      <c r="I334" s="2">
        <f t="shared" si="63"/>
        <v>413924.58333333326</v>
      </c>
      <c r="J334" s="4">
        <f t="shared" si="60"/>
        <v>1643551.8075000001</v>
      </c>
      <c r="K334" s="2">
        <f t="shared" si="64"/>
        <v>1393230.275905045</v>
      </c>
      <c r="L334" s="2">
        <f t="shared" si="65"/>
        <v>920017.44750000001</v>
      </c>
      <c r="N334" s="4">
        <f t="shared" si="59"/>
        <v>1866134.0381499999</v>
      </c>
      <c r="O334" s="2">
        <f t="shared" si="61"/>
        <v>1142599.6781499998</v>
      </c>
    </row>
    <row r="335" spans="1:15" x14ac:dyDescent="0.3">
      <c r="A335" s="50">
        <v>44164</v>
      </c>
      <c r="B335" s="2">
        <v>334</v>
      </c>
      <c r="C335" s="4">
        <v>3116798.8</v>
      </c>
      <c r="D335" s="4">
        <f t="shared" si="55"/>
        <v>1920166.58</v>
      </c>
      <c r="E335" s="2">
        <f t="shared" si="56"/>
        <v>863497.14526016836</v>
      </c>
      <c r="F335" s="2">
        <f t="shared" si="57"/>
        <v>1196632.2199999997</v>
      </c>
      <c r="G335" s="4">
        <f t="shared" si="58"/>
        <v>1358909.6866666668</v>
      </c>
      <c r="H335" s="2">
        <f t="shared" si="62"/>
        <v>1437441.6447092751</v>
      </c>
      <c r="I335" s="2">
        <f t="shared" si="63"/>
        <v>1757889.1133333331</v>
      </c>
      <c r="J335" s="4">
        <f t="shared" si="60"/>
        <v>1632293.9075</v>
      </c>
      <c r="K335" s="2">
        <f t="shared" si="64"/>
        <v>1188209.3901161128</v>
      </c>
      <c r="L335" s="2">
        <f t="shared" si="65"/>
        <v>1484504.8924999998</v>
      </c>
      <c r="N335" s="4">
        <f t="shared" si="59"/>
        <v>887118.43150000006</v>
      </c>
      <c r="O335" s="2">
        <f t="shared" si="61"/>
        <v>2229680.3684999999</v>
      </c>
    </row>
    <row r="336" spans="1:15" x14ac:dyDescent="0.3">
      <c r="A336" s="50">
        <v>44165</v>
      </c>
      <c r="B336" s="2">
        <v>335</v>
      </c>
      <c r="C336" s="4">
        <v>249308.4</v>
      </c>
      <c r="D336" s="4">
        <f t="shared" si="55"/>
        <v>1683053.5999999999</v>
      </c>
      <c r="E336" s="2">
        <f t="shared" si="56"/>
        <v>1320521.4819277208</v>
      </c>
      <c r="F336" s="2">
        <f t="shared" si="57"/>
        <v>1433745.2</v>
      </c>
      <c r="G336" s="4">
        <f t="shared" si="58"/>
        <v>1363213.8533333333</v>
      </c>
      <c r="H336" s="2">
        <f t="shared" si="62"/>
        <v>1225056.8768332438</v>
      </c>
      <c r="I336" s="2">
        <f t="shared" si="63"/>
        <v>1113905.4533333334</v>
      </c>
      <c r="J336" s="4">
        <f t="shared" si="60"/>
        <v>1081509.365</v>
      </c>
      <c r="K336" s="2">
        <f t="shared" si="64"/>
        <v>1193252.816918113</v>
      </c>
      <c r="L336" s="2">
        <f t="shared" si="65"/>
        <v>832200.96499999997</v>
      </c>
      <c r="N336" s="4">
        <f t="shared" si="59"/>
        <v>1418107.4862000002</v>
      </c>
      <c r="O336" s="2">
        <f t="shared" si="61"/>
        <v>1168799.0862000003</v>
      </c>
    </row>
    <row r="337" spans="1:15" x14ac:dyDescent="0.3">
      <c r="A337" s="50">
        <v>44166</v>
      </c>
      <c r="B337" s="2">
        <v>336</v>
      </c>
      <c r="C337" s="4">
        <v>3412246.32</v>
      </c>
      <c r="D337" s="4">
        <f t="shared" si="55"/>
        <v>1830777.3599999999</v>
      </c>
      <c r="E337" s="2">
        <f t="shared" si="56"/>
        <v>1509415.3454179736</v>
      </c>
      <c r="F337" s="2">
        <f t="shared" si="57"/>
        <v>1581468.96</v>
      </c>
      <c r="G337" s="4">
        <f t="shared" si="58"/>
        <v>2259451.1733333333</v>
      </c>
      <c r="H337" s="2">
        <f t="shared" si="62"/>
        <v>1373547.2499966177</v>
      </c>
      <c r="I337" s="2">
        <f t="shared" si="63"/>
        <v>1152795.1466666665</v>
      </c>
      <c r="J337" s="4">
        <f t="shared" si="60"/>
        <v>1875471.97</v>
      </c>
      <c r="K337" s="2">
        <f t="shared" si="64"/>
        <v>1235356.2976451071</v>
      </c>
      <c r="L337" s="2">
        <f t="shared" si="65"/>
        <v>1536774.3499999999</v>
      </c>
      <c r="N337" s="4">
        <f t="shared" si="59"/>
        <v>1629671.3392</v>
      </c>
      <c r="O337" s="2">
        <f t="shared" si="61"/>
        <v>1782574.9807999998</v>
      </c>
    </row>
    <row r="338" spans="1:15" x14ac:dyDescent="0.3">
      <c r="A338" s="50">
        <v>44167</v>
      </c>
      <c r="B338" s="2">
        <v>337</v>
      </c>
      <c r="C338" s="4">
        <v>907259.34</v>
      </c>
      <c r="D338" s="4">
        <f t="shared" si="55"/>
        <v>2159752.83</v>
      </c>
      <c r="E338" s="2">
        <f t="shared" si="56"/>
        <v>1426496.4097283706</v>
      </c>
      <c r="F338" s="2">
        <f t="shared" si="57"/>
        <v>1252493.4900000002</v>
      </c>
      <c r="G338" s="4">
        <f t="shared" si="58"/>
        <v>1522938.0199999998</v>
      </c>
      <c r="H338" s="2">
        <f t="shared" si="62"/>
        <v>991426.95917727624</v>
      </c>
      <c r="I338" s="2">
        <f t="shared" si="63"/>
        <v>615678.67999999982</v>
      </c>
      <c r="J338" s="4">
        <f t="shared" si="60"/>
        <v>1921403.2149999999</v>
      </c>
      <c r="K338" s="2">
        <f t="shared" si="64"/>
        <v>1253642.3357582202</v>
      </c>
      <c r="L338" s="2">
        <f t="shared" si="65"/>
        <v>1014143.8749999999</v>
      </c>
      <c r="N338" s="4">
        <f t="shared" si="59"/>
        <v>1939740.4912</v>
      </c>
      <c r="O338" s="2">
        <f t="shared" si="61"/>
        <v>1032481.1512000001</v>
      </c>
    </row>
    <row r="339" spans="1:15" x14ac:dyDescent="0.3">
      <c r="A339" s="50">
        <v>44168</v>
      </c>
      <c r="B339" s="2">
        <v>338</v>
      </c>
      <c r="C339" s="4">
        <v>735328.38</v>
      </c>
      <c r="D339" s="4">
        <f t="shared" si="55"/>
        <v>821293.86</v>
      </c>
      <c r="E339" s="2">
        <f t="shared" si="56"/>
        <v>887730.2535804474</v>
      </c>
      <c r="F339" s="2">
        <f t="shared" si="57"/>
        <v>85965.479999999981</v>
      </c>
      <c r="G339" s="4">
        <f t="shared" si="58"/>
        <v>1684944.68</v>
      </c>
      <c r="H339" s="2">
        <f t="shared" si="62"/>
        <v>932696.45015772292</v>
      </c>
      <c r="I339" s="2">
        <f t="shared" si="63"/>
        <v>949616.29999999993</v>
      </c>
      <c r="J339" s="4">
        <f t="shared" si="60"/>
        <v>1326035.6099999999</v>
      </c>
      <c r="K339" s="2">
        <f t="shared" si="64"/>
        <v>1052575.0186731515</v>
      </c>
      <c r="L339" s="2">
        <f t="shared" si="65"/>
        <v>590707.22999999986</v>
      </c>
      <c r="N339" s="4">
        <f t="shared" si="59"/>
        <v>1877229.3393000003</v>
      </c>
      <c r="O339" s="2">
        <f t="shared" si="61"/>
        <v>1141900.9593000002</v>
      </c>
    </row>
    <row r="340" spans="1:15" x14ac:dyDescent="0.3">
      <c r="A340" s="50">
        <v>44169</v>
      </c>
      <c r="B340" s="2">
        <v>339</v>
      </c>
      <c r="C340" s="4">
        <v>18053.55</v>
      </c>
      <c r="D340" s="4">
        <f t="shared" si="55"/>
        <v>376690.96500000003</v>
      </c>
      <c r="E340" s="2">
        <f t="shared" si="56"/>
        <v>260778.50677300137</v>
      </c>
      <c r="F340" s="2">
        <f t="shared" si="57"/>
        <v>358637.41500000004</v>
      </c>
      <c r="G340" s="4">
        <f t="shared" si="58"/>
        <v>553547.09</v>
      </c>
      <c r="H340" s="2">
        <f t="shared" si="62"/>
        <v>722861.14056434645</v>
      </c>
      <c r="I340" s="2">
        <f t="shared" si="63"/>
        <v>535493.53999999992</v>
      </c>
      <c r="J340" s="4">
        <f t="shared" si="60"/>
        <v>1268221.8975</v>
      </c>
      <c r="K340" s="2">
        <f t="shared" si="64"/>
        <v>1151305.6860238174</v>
      </c>
      <c r="L340" s="2">
        <f t="shared" si="65"/>
        <v>1250168.3474999999</v>
      </c>
      <c r="N340" s="4">
        <f t="shared" si="59"/>
        <v>1400759.6040000001</v>
      </c>
      <c r="O340" s="2">
        <f t="shared" si="61"/>
        <v>1382706.054</v>
      </c>
    </row>
    <row r="341" spans="1:15" x14ac:dyDescent="0.3">
      <c r="A341" s="50">
        <v>44170</v>
      </c>
      <c r="B341" s="2">
        <v>340</v>
      </c>
      <c r="C341" s="4">
        <v>721029.44000000006</v>
      </c>
      <c r="D341" s="4">
        <f t="shared" si="55"/>
        <v>369541.49500000005</v>
      </c>
      <c r="E341" s="2">
        <f t="shared" si="56"/>
        <v>355080.67457847187</v>
      </c>
      <c r="F341" s="2">
        <f t="shared" si="57"/>
        <v>351487.94500000001</v>
      </c>
      <c r="G341" s="4">
        <f t="shared" si="58"/>
        <v>491470.45666666672</v>
      </c>
      <c r="H341" s="2">
        <f t="shared" si="62"/>
        <v>643226.70327976253</v>
      </c>
      <c r="I341" s="2">
        <f t="shared" si="63"/>
        <v>229558.98333333334</v>
      </c>
      <c r="J341" s="4">
        <f t="shared" si="60"/>
        <v>595417.67749999999</v>
      </c>
      <c r="K341" s="2">
        <f t="shared" si="64"/>
        <v>859668.83780086006</v>
      </c>
      <c r="L341" s="2">
        <f t="shared" si="65"/>
        <v>125611.76250000007</v>
      </c>
      <c r="N341" s="4">
        <f t="shared" si="59"/>
        <v>532866.12315</v>
      </c>
      <c r="O341" s="2">
        <f t="shared" si="61"/>
        <v>188163.31685000006</v>
      </c>
    </row>
    <row r="342" spans="1:15" x14ac:dyDescent="0.3">
      <c r="A342" s="50">
        <v>44171</v>
      </c>
      <c r="B342" s="2">
        <v>341</v>
      </c>
      <c r="C342" s="4">
        <v>2116622.13</v>
      </c>
      <c r="D342" s="4">
        <f t="shared" si="55"/>
        <v>1418825.7849999999</v>
      </c>
      <c r="E342" s="2">
        <f t="shared" si="56"/>
        <v>552477.83420499414</v>
      </c>
      <c r="F342" s="2">
        <f t="shared" si="57"/>
        <v>697796.34499999997</v>
      </c>
      <c r="G342" s="4">
        <f t="shared" si="58"/>
        <v>951901.70666666667</v>
      </c>
      <c r="H342" s="2">
        <f t="shared" si="62"/>
        <v>751891.90773243119</v>
      </c>
      <c r="I342" s="2">
        <f t="shared" si="63"/>
        <v>1164720.4233333333</v>
      </c>
      <c r="J342" s="4">
        <f t="shared" si="60"/>
        <v>897758.375</v>
      </c>
      <c r="K342" s="2">
        <f t="shared" si="64"/>
        <v>923750.92649428628</v>
      </c>
      <c r="L342" s="2">
        <f t="shared" si="65"/>
        <v>1218863.7549999999</v>
      </c>
      <c r="N342" s="4">
        <f t="shared" si="59"/>
        <v>411350.93575000006</v>
      </c>
      <c r="O342" s="2">
        <f t="shared" si="61"/>
        <v>1705271.1942499997</v>
      </c>
    </row>
    <row r="343" spans="1:15" x14ac:dyDescent="0.3">
      <c r="A343" s="50">
        <v>44172</v>
      </c>
      <c r="B343" s="2">
        <v>342</v>
      </c>
      <c r="C343" s="4">
        <v>598526.56000000006</v>
      </c>
      <c r="D343" s="4">
        <f t="shared" si="55"/>
        <v>1357574.345</v>
      </c>
      <c r="E343" s="2">
        <f t="shared" si="56"/>
        <v>729065.59341693157</v>
      </c>
      <c r="F343" s="2">
        <f t="shared" si="57"/>
        <v>759047.78499999992</v>
      </c>
      <c r="G343" s="4">
        <f t="shared" si="58"/>
        <v>1145392.71</v>
      </c>
      <c r="H343" s="2">
        <f t="shared" si="62"/>
        <v>754615.4820778229</v>
      </c>
      <c r="I343" s="2">
        <f t="shared" si="63"/>
        <v>546866.14999999991</v>
      </c>
      <c r="J343" s="4">
        <f t="shared" si="60"/>
        <v>863557.92</v>
      </c>
      <c r="K343" s="2">
        <f t="shared" si="64"/>
        <v>885235.8000845575</v>
      </c>
      <c r="L343" s="2">
        <f t="shared" si="65"/>
        <v>265031.36</v>
      </c>
      <c r="N343" s="4">
        <f t="shared" si="59"/>
        <v>1033898.29535</v>
      </c>
      <c r="O343" s="2">
        <f t="shared" si="61"/>
        <v>435371.73534999997</v>
      </c>
    </row>
    <row r="344" spans="1:15" x14ac:dyDescent="0.3">
      <c r="A344" s="50">
        <v>44173</v>
      </c>
      <c r="B344" s="2">
        <v>343</v>
      </c>
      <c r="C344" s="4">
        <v>1441011.2</v>
      </c>
      <c r="D344" s="4">
        <f t="shared" si="55"/>
        <v>1019768.88</v>
      </c>
      <c r="E344" s="2">
        <f t="shared" si="56"/>
        <v>613839.81301003462</v>
      </c>
      <c r="F344" s="2">
        <f t="shared" si="57"/>
        <v>421242.31999999995</v>
      </c>
      <c r="G344" s="4">
        <f t="shared" si="58"/>
        <v>1385386.63</v>
      </c>
      <c r="H344" s="2">
        <f t="shared" si="62"/>
        <v>743579.25901979592</v>
      </c>
      <c r="I344" s="2">
        <f t="shared" si="63"/>
        <v>55624.570000000065</v>
      </c>
      <c r="J344" s="4">
        <f t="shared" si="60"/>
        <v>1219297.3325</v>
      </c>
      <c r="K344" s="2">
        <f t="shared" si="64"/>
        <v>636554.36314511136</v>
      </c>
      <c r="L344" s="2">
        <f t="shared" si="65"/>
        <v>221713.86749999993</v>
      </c>
      <c r="N344" s="4">
        <f t="shared" si="59"/>
        <v>1301029.7222500001</v>
      </c>
      <c r="O344" s="2">
        <f t="shared" si="61"/>
        <v>139981.47774999985</v>
      </c>
    </row>
    <row r="345" spans="1:15" x14ac:dyDescent="0.3">
      <c r="A345" s="50">
        <v>44174</v>
      </c>
      <c r="B345" s="2">
        <v>344</v>
      </c>
      <c r="C345" s="4">
        <v>1486495.44</v>
      </c>
      <c r="D345" s="4">
        <f t="shared" si="55"/>
        <v>1463753.3199999998</v>
      </c>
      <c r="E345" s="2">
        <f t="shared" si="56"/>
        <v>298297.08025815198</v>
      </c>
      <c r="F345" s="2">
        <f t="shared" si="57"/>
        <v>22742.120000000112</v>
      </c>
      <c r="G345" s="4">
        <f t="shared" si="58"/>
        <v>1175344.4000000001</v>
      </c>
      <c r="H345" s="2">
        <f t="shared" si="62"/>
        <v>364678.69350822089</v>
      </c>
      <c r="I345" s="2">
        <f t="shared" si="63"/>
        <v>311151.0399999998</v>
      </c>
      <c r="J345" s="4">
        <f t="shared" si="60"/>
        <v>1410663.8325</v>
      </c>
      <c r="K345" s="2">
        <f t="shared" si="64"/>
        <v>634582.13549823302</v>
      </c>
      <c r="L345" s="2">
        <f t="shared" si="65"/>
        <v>75831.607499999925</v>
      </c>
      <c r="N345" s="4">
        <f t="shared" si="59"/>
        <v>1214739.9398000001</v>
      </c>
      <c r="O345" s="2">
        <f t="shared" si="61"/>
        <v>271755.50019999989</v>
      </c>
    </row>
    <row r="346" spans="1:15" x14ac:dyDescent="0.3">
      <c r="A346" s="50">
        <v>44175</v>
      </c>
      <c r="B346" s="2">
        <v>345</v>
      </c>
      <c r="C346" s="4">
        <v>3138017.82</v>
      </c>
      <c r="D346" s="4">
        <f t="shared" si="55"/>
        <v>2312256.63</v>
      </c>
      <c r="E346" s="2">
        <f t="shared" si="56"/>
        <v>584122.73835740658</v>
      </c>
      <c r="F346" s="2">
        <f t="shared" si="57"/>
        <v>825761.19</v>
      </c>
      <c r="G346" s="4">
        <f t="shared" si="58"/>
        <v>2021841.4866666663</v>
      </c>
      <c r="H346" s="2">
        <f t="shared" si="62"/>
        <v>669765.79726901837</v>
      </c>
      <c r="I346" s="2">
        <f t="shared" si="63"/>
        <v>1116176.3333333335</v>
      </c>
      <c r="J346" s="4">
        <f t="shared" si="60"/>
        <v>1666012.7549999999</v>
      </c>
      <c r="K346" s="2">
        <f t="shared" si="64"/>
        <v>756959.04857973417</v>
      </c>
      <c r="L346" s="2">
        <f t="shared" si="65"/>
        <v>1472005.0649999999</v>
      </c>
      <c r="N346" s="4">
        <f t="shared" si="59"/>
        <v>1270901.7996</v>
      </c>
      <c r="O346" s="2">
        <f t="shared" si="61"/>
        <v>1867116.0203999998</v>
      </c>
    </row>
    <row r="347" spans="1:15" x14ac:dyDescent="0.3">
      <c r="A347" s="50">
        <v>44176</v>
      </c>
      <c r="B347" s="2">
        <v>346</v>
      </c>
      <c r="C347" s="4">
        <v>497442.56</v>
      </c>
      <c r="D347" s="4">
        <f t="shared" si="55"/>
        <v>1817730.19</v>
      </c>
      <c r="E347" s="2">
        <f t="shared" si="56"/>
        <v>1101145.0787342312</v>
      </c>
      <c r="F347" s="2">
        <f t="shared" si="57"/>
        <v>1320287.6299999999</v>
      </c>
      <c r="G347" s="4">
        <f t="shared" si="58"/>
        <v>1707318.6066666665</v>
      </c>
      <c r="H347" s="2">
        <f t="shared" si="62"/>
        <v>967206.3938795221</v>
      </c>
      <c r="I347" s="2">
        <f t="shared" si="63"/>
        <v>1209876.0466666664</v>
      </c>
      <c r="J347" s="4">
        <f t="shared" si="60"/>
        <v>1640741.7549999997</v>
      </c>
      <c r="K347" s="2">
        <f t="shared" si="64"/>
        <v>939260.27175793273</v>
      </c>
      <c r="L347" s="2">
        <f t="shared" si="65"/>
        <v>1143299.1949999996</v>
      </c>
      <c r="N347" s="4">
        <f t="shared" si="59"/>
        <v>2029748.9044999999</v>
      </c>
      <c r="O347" s="2">
        <f t="shared" si="61"/>
        <v>1532306.3444999999</v>
      </c>
    </row>
    <row r="348" spans="1:15" x14ac:dyDescent="0.3">
      <c r="A348" s="50">
        <v>44177</v>
      </c>
      <c r="B348" s="2">
        <v>347</v>
      </c>
      <c r="C348" s="4">
        <v>124654.2</v>
      </c>
      <c r="D348" s="4">
        <f t="shared" si="55"/>
        <v>311048.38</v>
      </c>
      <c r="E348" s="2">
        <f t="shared" si="56"/>
        <v>942842.03774250776</v>
      </c>
      <c r="F348" s="2">
        <f t="shared" si="57"/>
        <v>186394.18</v>
      </c>
      <c r="G348" s="4">
        <f t="shared" si="58"/>
        <v>1253371.5266666666</v>
      </c>
      <c r="H348" s="2">
        <f t="shared" si="62"/>
        <v>1152338.5583107008</v>
      </c>
      <c r="I348" s="2">
        <f t="shared" si="63"/>
        <v>1128717.3266666667</v>
      </c>
      <c r="J348" s="4">
        <f t="shared" si="60"/>
        <v>1311652.5049999999</v>
      </c>
      <c r="K348" s="2">
        <f t="shared" si="64"/>
        <v>1105514.2886279454</v>
      </c>
      <c r="L348" s="2">
        <f t="shared" si="65"/>
        <v>1186998.3049999999</v>
      </c>
      <c r="N348" s="4">
        <f t="shared" si="59"/>
        <v>1890090.1842999998</v>
      </c>
      <c r="O348" s="2">
        <f t="shared" si="61"/>
        <v>1765435.9842999999</v>
      </c>
    </row>
    <row r="349" spans="1:15" x14ac:dyDescent="0.3">
      <c r="A349" s="50">
        <v>44178</v>
      </c>
      <c r="B349" s="2">
        <v>348</v>
      </c>
      <c r="C349" s="4">
        <v>165768.56</v>
      </c>
      <c r="D349" s="4">
        <f t="shared" si="55"/>
        <v>145211.38</v>
      </c>
      <c r="E349" s="2">
        <f t="shared" si="56"/>
        <v>132599.75110727924</v>
      </c>
      <c r="F349" s="2">
        <f t="shared" si="57"/>
        <v>20557.179999999993</v>
      </c>
      <c r="G349" s="4">
        <f t="shared" si="58"/>
        <v>262621.77333333337</v>
      </c>
      <c r="H349" s="2">
        <f t="shared" si="62"/>
        <v>956936.67445453256</v>
      </c>
      <c r="I349" s="2">
        <f t="shared" si="63"/>
        <v>96853.213333333377</v>
      </c>
      <c r="J349" s="4">
        <f t="shared" si="60"/>
        <v>981470.78500000003</v>
      </c>
      <c r="K349" s="2">
        <f t="shared" si="64"/>
        <v>1177737.9862066228</v>
      </c>
      <c r="L349" s="2">
        <f t="shared" si="65"/>
        <v>815702.22500000009</v>
      </c>
      <c r="N349" s="4">
        <f t="shared" si="59"/>
        <v>953485.01659999997</v>
      </c>
      <c r="O349" s="2">
        <f t="shared" si="61"/>
        <v>787716.45659999992</v>
      </c>
    </row>
    <row r="350" spans="1:15" x14ac:dyDescent="0.3">
      <c r="A350" s="50">
        <v>44179</v>
      </c>
      <c r="B350" s="2">
        <v>349</v>
      </c>
      <c r="C350" s="4">
        <v>3571298.85</v>
      </c>
      <c r="D350" s="4">
        <f t="shared" si="55"/>
        <v>1868533.7050000001</v>
      </c>
      <c r="E350" s="2">
        <f t="shared" si="56"/>
        <v>1204124.5236013639</v>
      </c>
      <c r="F350" s="2">
        <f t="shared" si="57"/>
        <v>1702765.145</v>
      </c>
      <c r="G350" s="4">
        <f t="shared" si="58"/>
        <v>1287240.5366666669</v>
      </c>
      <c r="H350" s="2">
        <f t="shared" si="62"/>
        <v>1471994.7607648666</v>
      </c>
      <c r="I350" s="2">
        <f t="shared" si="63"/>
        <v>2284058.3133333335</v>
      </c>
      <c r="J350" s="4">
        <f t="shared" si="60"/>
        <v>1089791.0425</v>
      </c>
      <c r="K350" s="2">
        <f t="shared" si="64"/>
        <v>1544291.839639931</v>
      </c>
      <c r="L350" s="2">
        <f t="shared" si="65"/>
        <v>2481507.8075000001</v>
      </c>
      <c r="N350" s="4">
        <f t="shared" si="59"/>
        <v>220440.9498</v>
      </c>
      <c r="O350" s="2">
        <f t="shared" si="61"/>
        <v>3350857.9002</v>
      </c>
    </row>
    <row r="351" spans="1:15" x14ac:dyDescent="0.3">
      <c r="A351" s="50">
        <v>44180</v>
      </c>
      <c r="B351" s="2">
        <v>350</v>
      </c>
      <c r="C351" s="4">
        <v>3084437.79</v>
      </c>
      <c r="D351" s="4">
        <f t="shared" si="55"/>
        <v>3327868.3200000003</v>
      </c>
      <c r="E351" s="2">
        <f t="shared" si="56"/>
        <v>1216278.6609085421</v>
      </c>
      <c r="F351" s="2">
        <f t="shared" si="57"/>
        <v>243430.53000000026</v>
      </c>
      <c r="G351" s="4">
        <f t="shared" si="58"/>
        <v>2273835.0666666669</v>
      </c>
      <c r="H351" s="2">
        <f t="shared" si="62"/>
        <v>1400402.2872869449</v>
      </c>
      <c r="I351" s="2">
        <f t="shared" si="63"/>
        <v>810602.72333333315</v>
      </c>
      <c r="J351" s="4">
        <f t="shared" si="60"/>
        <v>1736539.85</v>
      </c>
      <c r="K351" s="2">
        <f t="shared" si="64"/>
        <v>1585011.4314479348</v>
      </c>
      <c r="L351" s="2">
        <f t="shared" si="65"/>
        <v>1347897.94</v>
      </c>
      <c r="N351" s="4">
        <f t="shared" si="59"/>
        <v>1297576.04795</v>
      </c>
      <c r="O351" s="2">
        <f t="shared" si="61"/>
        <v>1786861.74205</v>
      </c>
    </row>
    <row r="352" spans="1:15" x14ac:dyDescent="0.3">
      <c r="A352" s="50">
        <v>44181</v>
      </c>
      <c r="B352" s="2">
        <v>351</v>
      </c>
      <c r="C352" s="4">
        <v>4013058.8</v>
      </c>
      <c r="D352" s="4">
        <f t="shared" si="55"/>
        <v>3548748.2949999999</v>
      </c>
      <c r="E352" s="2">
        <f t="shared" si="56"/>
        <v>370703.8359590011</v>
      </c>
      <c r="F352" s="2">
        <f t="shared" si="57"/>
        <v>464310.50499999989</v>
      </c>
      <c r="G352" s="4">
        <f t="shared" si="58"/>
        <v>3556265.146666667</v>
      </c>
      <c r="H352" s="2">
        <f t="shared" si="62"/>
        <v>1423921.7669881706</v>
      </c>
      <c r="I352" s="2">
        <f t="shared" si="63"/>
        <v>456793.65333333286</v>
      </c>
      <c r="J352" s="4">
        <f t="shared" si="60"/>
        <v>2708641</v>
      </c>
      <c r="K352" s="2">
        <f t="shared" si="64"/>
        <v>1607916.8022760453</v>
      </c>
      <c r="L352" s="2">
        <f t="shared" si="65"/>
        <v>1304417.7999999998</v>
      </c>
      <c r="N352" s="4">
        <f t="shared" si="59"/>
        <v>2658983.7311000004</v>
      </c>
      <c r="O352" s="2">
        <f t="shared" si="61"/>
        <v>1354075.0688999994</v>
      </c>
    </row>
    <row r="353" spans="1:15" x14ac:dyDescent="0.3">
      <c r="A353" s="50">
        <v>44182</v>
      </c>
      <c r="B353" s="2">
        <v>352</v>
      </c>
      <c r="C353" s="4">
        <v>1957742.32</v>
      </c>
      <c r="D353" s="4">
        <f t="shared" si="55"/>
        <v>2985400.56</v>
      </c>
      <c r="E353" s="2">
        <f t="shared" si="56"/>
        <v>797391.27888799121</v>
      </c>
      <c r="F353" s="2">
        <f t="shared" si="57"/>
        <v>1027658.24</v>
      </c>
      <c r="G353" s="4">
        <f t="shared" si="58"/>
        <v>3018412.97</v>
      </c>
      <c r="H353" s="2">
        <f t="shared" si="62"/>
        <v>814608.1766862832</v>
      </c>
      <c r="I353" s="2">
        <f t="shared" si="63"/>
        <v>1060670.6500000001</v>
      </c>
      <c r="J353" s="4">
        <f t="shared" si="60"/>
        <v>3156634.4400000004</v>
      </c>
      <c r="K353" s="2">
        <f t="shared" si="64"/>
        <v>1666850.1708083001</v>
      </c>
      <c r="L353" s="2">
        <f t="shared" si="65"/>
        <v>1198892.1200000003</v>
      </c>
      <c r="N353" s="4">
        <f t="shared" si="59"/>
        <v>3502635.2615499999</v>
      </c>
      <c r="O353" s="2">
        <f t="shared" si="61"/>
        <v>1544892.9415499999</v>
      </c>
    </row>
    <row r="354" spans="1:15" x14ac:dyDescent="0.3">
      <c r="A354" s="50">
        <v>44183</v>
      </c>
      <c r="B354" s="2">
        <v>353</v>
      </c>
      <c r="C354" s="4">
        <v>161851.95000000001</v>
      </c>
      <c r="D354" s="4">
        <f t="shared" si="55"/>
        <v>1059797.135</v>
      </c>
      <c r="E354" s="2">
        <f t="shared" si="56"/>
        <v>964983.68211710767</v>
      </c>
      <c r="F354" s="2">
        <f t="shared" si="57"/>
        <v>897945.18500000006</v>
      </c>
      <c r="G354" s="4">
        <f t="shared" si="58"/>
        <v>2044217.6900000002</v>
      </c>
      <c r="H354" s="2">
        <f t="shared" si="62"/>
        <v>1275014.1762117501</v>
      </c>
      <c r="I354" s="2">
        <f t="shared" si="63"/>
        <v>1882365.7400000002</v>
      </c>
      <c r="J354" s="4">
        <f t="shared" si="60"/>
        <v>2304272.7149999999</v>
      </c>
      <c r="K354" s="2">
        <f t="shared" si="64"/>
        <v>1544801.2577120042</v>
      </c>
      <c r="L354" s="2">
        <f t="shared" si="65"/>
        <v>2142420.7649999997</v>
      </c>
      <c r="N354" s="4">
        <f t="shared" si="59"/>
        <v>3120231.1570000001</v>
      </c>
      <c r="O354" s="2">
        <f t="shared" si="61"/>
        <v>2958379.2069999999</v>
      </c>
    </row>
    <row r="355" spans="1:15" x14ac:dyDescent="0.3">
      <c r="A355" s="50">
        <v>44184</v>
      </c>
      <c r="B355" s="2">
        <v>354</v>
      </c>
      <c r="C355" s="4">
        <v>84585.78</v>
      </c>
      <c r="D355" s="4">
        <f t="shared" si="55"/>
        <v>123218.86500000001</v>
      </c>
      <c r="E355" s="2">
        <f t="shared" si="56"/>
        <v>635530.51481471036</v>
      </c>
      <c r="F355" s="2">
        <f t="shared" si="57"/>
        <v>38633.085000000006</v>
      </c>
      <c r="G355" s="4">
        <f t="shared" si="58"/>
        <v>734726.68333333323</v>
      </c>
      <c r="H355" s="2">
        <f t="shared" si="62"/>
        <v>1302690.3189277507</v>
      </c>
      <c r="I355" s="2">
        <f t="shared" si="63"/>
        <v>650140.9033333332</v>
      </c>
      <c r="J355" s="4">
        <f t="shared" si="60"/>
        <v>1554309.7125000001</v>
      </c>
      <c r="K355" s="2">
        <f t="shared" si="64"/>
        <v>1572331.3331182285</v>
      </c>
      <c r="L355" s="2">
        <f t="shared" si="65"/>
        <v>1469723.9325000001</v>
      </c>
      <c r="N355" s="4">
        <f t="shared" si="59"/>
        <v>1808288.6716499999</v>
      </c>
      <c r="O355" s="2">
        <f t="shared" si="61"/>
        <v>1723702.8916499999</v>
      </c>
    </row>
    <row r="356" spans="1:15" x14ac:dyDescent="0.3">
      <c r="A356" s="50">
        <v>44185</v>
      </c>
      <c r="B356" s="2">
        <v>355</v>
      </c>
      <c r="C356" s="4">
        <v>353563.98000000004</v>
      </c>
      <c r="D356" s="4">
        <f t="shared" si="55"/>
        <v>219074.88</v>
      </c>
      <c r="E356" s="2">
        <f t="shared" si="56"/>
        <v>98944.007588704524</v>
      </c>
      <c r="F356" s="2">
        <f t="shared" si="57"/>
        <v>134489.10000000003</v>
      </c>
      <c r="G356" s="4">
        <f t="shared" si="58"/>
        <v>200000.57000000004</v>
      </c>
      <c r="H356" s="2">
        <f t="shared" si="62"/>
        <v>1153193.4926113742</v>
      </c>
      <c r="I356" s="2">
        <f t="shared" si="63"/>
        <v>153563.41</v>
      </c>
      <c r="J356" s="4">
        <f t="shared" si="60"/>
        <v>639436.00749999995</v>
      </c>
      <c r="K356" s="2">
        <f t="shared" si="64"/>
        <v>1437803.9073159024</v>
      </c>
      <c r="L356" s="2">
        <f t="shared" si="65"/>
        <v>285872.02749999991</v>
      </c>
      <c r="N356" s="4">
        <f t="shared" si="59"/>
        <v>531063.66445000004</v>
      </c>
      <c r="O356" s="2">
        <f t="shared" si="61"/>
        <v>177499.68445</v>
      </c>
    </row>
    <row r="357" spans="1:15" x14ac:dyDescent="0.3">
      <c r="A357" s="50">
        <v>44186</v>
      </c>
      <c r="B357" s="2">
        <v>356</v>
      </c>
      <c r="C357" s="4">
        <v>8536.9500000000007</v>
      </c>
      <c r="D357" s="4">
        <f t="shared" si="55"/>
        <v>181050.46500000003</v>
      </c>
      <c r="E357" s="2">
        <f t="shared" si="56"/>
        <v>154674.22357404165</v>
      </c>
      <c r="F357" s="2">
        <f t="shared" si="57"/>
        <v>172513.51500000001</v>
      </c>
      <c r="G357" s="4">
        <f t="shared" si="58"/>
        <v>148895.57</v>
      </c>
      <c r="H357" s="2">
        <f t="shared" si="62"/>
        <v>394108.89243381075</v>
      </c>
      <c r="I357" s="2">
        <f t="shared" si="63"/>
        <v>140358.62</v>
      </c>
      <c r="J357" s="4">
        <f t="shared" si="60"/>
        <v>152134.66500000001</v>
      </c>
      <c r="K357" s="2">
        <f t="shared" si="64"/>
        <v>1308854.2978428339</v>
      </c>
      <c r="L357" s="2">
        <f t="shared" si="65"/>
        <v>143597.715</v>
      </c>
      <c r="N357" s="4">
        <f t="shared" si="59"/>
        <v>191692.03440000003</v>
      </c>
      <c r="O357" s="2">
        <f t="shared" si="61"/>
        <v>183155.08440000002</v>
      </c>
    </row>
    <row r="358" spans="1:15" x14ac:dyDescent="0.3">
      <c r="A358" s="50">
        <v>44187</v>
      </c>
      <c r="B358" s="2">
        <v>357</v>
      </c>
      <c r="C358" s="4">
        <v>829216.64</v>
      </c>
      <c r="D358" s="4">
        <f t="shared" si="55"/>
        <v>418876.79499999998</v>
      </c>
      <c r="E358" s="2">
        <f t="shared" si="56"/>
        <v>314753.63481005211</v>
      </c>
      <c r="F358" s="2">
        <f t="shared" si="57"/>
        <v>410339.84500000003</v>
      </c>
      <c r="G358" s="4">
        <f t="shared" si="58"/>
        <v>397105.85666666669</v>
      </c>
      <c r="H358" s="2">
        <f t="shared" si="62"/>
        <v>276888.66124134889</v>
      </c>
      <c r="I358" s="2">
        <f t="shared" si="63"/>
        <v>432110.78333333333</v>
      </c>
      <c r="J358" s="4">
        <f t="shared" si="60"/>
        <v>318975.83750000002</v>
      </c>
      <c r="K358" s="2">
        <f t="shared" si="64"/>
        <v>794162.64614990726</v>
      </c>
      <c r="L358" s="2">
        <f t="shared" si="65"/>
        <v>510240.80249999999</v>
      </c>
      <c r="N358" s="4">
        <f t="shared" si="59"/>
        <v>178804.72095000005</v>
      </c>
      <c r="O358" s="2">
        <f t="shared" si="61"/>
        <v>650411.91904999991</v>
      </c>
    </row>
    <row r="359" spans="1:15" x14ac:dyDescent="0.3">
      <c r="A359" s="50">
        <v>44188</v>
      </c>
      <c r="B359" s="2">
        <v>358</v>
      </c>
      <c r="C359" s="4">
        <v>1055446.7</v>
      </c>
      <c r="D359" s="4">
        <f t="shared" si="55"/>
        <v>942331.66999999993</v>
      </c>
      <c r="E359" s="2">
        <f t="shared" si="56"/>
        <v>300976.57583815802</v>
      </c>
      <c r="F359" s="2">
        <f t="shared" si="57"/>
        <v>113115.03000000003</v>
      </c>
      <c r="G359" s="4">
        <f t="shared" si="58"/>
        <v>631066.76333333331</v>
      </c>
      <c r="H359" s="2">
        <f t="shared" si="62"/>
        <v>358942.24323069735</v>
      </c>
      <c r="I359" s="2">
        <f t="shared" si="63"/>
        <v>424379.93666666665</v>
      </c>
      <c r="J359" s="4">
        <f t="shared" si="60"/>
        <v>561691.0675</v>
      </c>
      <c r="K359" s="2">
        <f t="shared" si="64"/>
        <v>389385.22732042009</v>
      </c>
      <c r="L359" s="2">
        <f t="shared" si="65"/>
        <v>493755.63249999995</v>
      </c>
      <c r="N359" s="4">
        <f t="shared" si="59"/>
        <v>359370.59274999995</v>
      </c>
      <c r="O359" s="2">
        <f t="shared" si="61"/>
        <v>696076.10725</v>
      </c>
    </row>
    <row r="360" spans="1:15" x14ac:dyDescent="0.3">
      <c r="A360" s="50">
        <v>44189</v>
      </c>
      <c r="B360" s="2">
        <v>359</v>
      </c>
      <c r="C360" s="4">
        <v>909515.47</v>
      </c>
      <c r="D360" s="4">
        <f t="shared" si="55"/>
        <v>982481.08499999996</v>
      </c>
      <c r="E360" s="2">
        <f t="shared" si="56"/>
        <v>95181.382066634047</v>
      </c>
      <c r="F360" s="2">
        <f t="shared" si="57"/>
        <v>72965.614999999991</v>
      </c>
      <c r="G360" s="4">
        <f t="shared" si="58"/>
        <v>931392.93666666653</v>
      </c>
      <c r="H360" s="2">
        <f t="shared" si="62"/>
        <v>349903.1691129714</v>
      </c>
      <c r="I360" s="2">
        <f t="shared" si="63"/>
        <v>21877.466666666558</v>
      </c>
      <c r="J360" s="4">
        <f t="shared" si="60"/>
        <v>700678.94</v>
      </c>
      <c r="K360" s="2">
        <f t="shared" si="64"/>
        <v>376952.68309728918</v>
      </c>
      <c r="L360" s="2">
        <f t="shared" si="65"/>
        <v>208836.53000000003</v>
      </c>
      <c r="N360" s="4">
        <f t="shared" si="59"/>
        <v>724454.17829999991</v>
      </c>
      <c r="O360" s="2">
        <f t="shared" si="61"/>
        <v>185061.29170000006</v>
      </c>
    </row>
    <row r="361" spans="1:15" x14ac:dyDescent="0.3">
      <c r="A361" s="50">
        <v>44190</v>
      </c>
      <c r="B361" s="2">
        <v>360</v>
      </c>
      <c r="C361" s="4">
        <v>943925.62</v>
      </c>
      <c r="D361" s="4">
        <f t="shared" si="55"/>
        <v>926720.54499999993</v>
      </c>
      <c r="E361" s="2">
        <f t="shared" si="56"/>
        <v>53009.412268406879</v>
      </c>
      <c r="F361" s="2">
        <f t="shared" si="57"/>
        <v>17205.07500000007</v>
      </c>
      <c r="G361" s="4">
        <f t="shared" si="58"/>
        <v>969629.26333333331</v>
      </c>
      <c r="H361" s="2">
        <f t="shared" si="62"/>
        <v>245789.6332730914</v>
      </c>
      <c r="I361" s="2">
        <f t="shared" si="63"/>
        <v>25703.643333333312</v>
      </c>
      <c r="J361" s="4">
        <f t="shared" si="60"/>
        <v>934526.10749999993</v>
      </c>
      <c r="K361" s="2">
        <f t="shared" si="64"/>
        <v>370081.52759189345</v>
      </c>
      <c r="L361" s="2">
        <f t="shared" si="65"/>
        <v>9399.5125000000698</v>
      </c>
      <c r="N361" s="4">
        <f t="shared" si="59"/>
        <v>956789.12474999996</v>
      </c>
      <c r="O361" s="2">
        <f t="shared" si="61"/>
        <v>12863.504749999964</v>
      </c>
    </row>
    <row r="362" spans="1:15" x14ac:dyDescent="0.3">
      <c r="A362" s="50">
        <v>44191</v>
      </c>
      <c r="B362" s="2">
        <v>361</v>
      </c>
      <c r="C362" s="4">
        <v>971810.48</v>
      </c>
      <c r="D362" s="4">
        <f t="shared" si="55"/>
        <v>957868.05</v>
      </c>
      <c r="E362" s="2">
        <f t="shared" si="56"/>
        <v>15658.958459305739</v>
      </c>
      <c r="F362" s="2">
        <f t="shared" si="57"/>
        <v>13942.429999999935</v>
      </c>
      <c r="G362" s="4">
        <f t="shared" si="58"/>
        <v>941750.52333333332</v>
      </c>
      <c r="H362" s="2">
        <f t="shared" si="62"/>
        <v>26095.349669754021</v>
      </c>
      <c r="I362" s="2">
        <f t="shared" si="63"/>
        <v>30059.956666666665</v>
      </c>
      <c r="J362" s="4">
        <f t="shared" si="60"/>
        <v>970174.5675</v>
      </c>
      <c r="K362" s="2">
        <f t="shared" si="64"/>
        <v>268094.36208770843</v>
      </c>
      <c r="L362" s="2">
        <f t="shared" si="65"/>
        <v>1635.9124999999767</v>
      </c>
      <c r="N362" s="4">
        <f t="shared" si="59"/>
        <v>953147.74084999994</v>
      </c>
      <c r="O362" s="2">
        <f t="shared" si="61"/>
        <v>18662.739150000038</v>
      </c>
    </row>
    <row r="363" spans="1:15" x14ac:dyDescent="0.3">
      <c r="A363" s="50">
        <v>44192</v>
      </c>
      <c r="B363" s="2">
        <v>362</v>
      </c>
      <c r="C363" s="4">
        <v>532038.57000000007</v>
      </c>
      <c r="D363" s="4">
        <f t="shared" si="55"/>
        <v>751924.52500000002</v>
      </c>
      <c r="E363" s="2">
        <f t="shared" si="56"/>
        <v>155795.09709963101</v>
      </c>
      <c r="F363" s="2">
        <f t="shared" si="57"/>
        <v>219885.95499999996</v>
      </c>
      <c r="G363" s="4">
        <f t="shared" si="58"/>
        <v>815924.89</v>
      </c>
      <c r="H363" s="2">
        <f t="shared" si="62"/>
        <v>165484.86432153592</v>
      </c>
      <c r="I363" s="2">
        <f t="shared" si="63"/>
        <v>283886.31999999995</v>
      </c>
      <c r="J363" s="4">
        <f t="shared" si="60"/>
        <v>839322.53499999992</v>
      </c>
      <c r="K363" s="2">
        <f t="shared" si="64"/>
        <v>185827.31126876059</v>
      </c>
      <c r="L363" s="2">
        <f t="shared" si="65"/>
        <v>307283.96499999985</v>
      </c>
      <c r="N363" s="4">
        <f t="shared" si="59"/>
        <v>945696.81510000001</v>
      </c>
      <c r="O363" s="2">
        <f t="shared" si="61"/>
        <v>413658.24509999994</v>
      </c>
    </row>
    <row r="364" spans="1:15" x14ac:dyDescent="0.3">
      <c r="A364" s="50">
        <v>44193</v>
      </c>
      <c r="B364" s="2">
        <v>363</v>
      </c>
      <c r="C364" s="4">
        <v>457279.35000000003</v>
      </c>
      <c r="D364" s="4">
        <f t="shared" si="55"/>
        <v>494658.96000000008</v>
      </c>
      <c r="E364" s="2">
        <f t="shared" si="56"/>
        <v>157713.45606829828</v>
      </c>
      <c r="F364" s="2">
        <f t="shared" si="57"/>
        <v>37379.610000000044</v>
      </c>
      <c r="G364" s="4">
        <f t="shared" si="58"/>
        <v>653709.46666666667</v>
      </c>
      <c r="H364" s="2">
        <f t="shared" si="62"/>
        <v>200066.51761487103</v>
      </c>
      <c r="I364" s="2">
        <f t="shared" si="63"/>
        <v>196430.11666666664</v>
      </c>
      <c r="J364" s="4">
        <f t="shared" si="60"/>
        <v>726263.505</v>
      </c>
      <c r="K364" s="2">
        <f t="shared" si="64"/>
        <v>204246.74895339855</v>
      </c>
      <c r="L364" s="2">
        <f t="shared" si="65"/>
        <v>268984.15499999997</v>
      </c>
      <c r="N364" s="4">
        <f t="shared" si="59"/>
        <v>818352.22094999999</v>
      </c>
      <c r="O364" s="2">
        <f t="shared" si="61"/>
        <v>361072.87094999995</v>
      </c>
    </row>
    <row r="365" spans="1:15" x14ac:dyDescent="0.3">
      <c r="A365" s="50">
        <v>44194</v>
      </c>
      <c r="B365" s="2">
        <v>364</v>
      </c>
      <c r="C365" s="4">
        <v>3635004.2399999998</v>
      </c>
      <c r="D365" s="4">
        <f t="shared" si="55"/>
        <v>2046141.7949999999</v>
      </c>
      <c r="E365" s="2">
        <f t="shared" si="56"/>
        <v>1123806.2787631883</v>
      </c>
      <c r="F365" s="2">
        <f t="shared" si="57"/>
        <v>1588862.4449999998</v>
      </c>
      <c r="G365" s="4">
        <f t="shared" si="58"/>
        <v>1541440.72</v>
      </c>
      <c r="H365" s="2">
        <f t="shared" si="62"/>
        <v>1225042.1007311833</v>
      </c>
      <c r="I365" s="2">
        <f t="shared" si="63"/>
        <v>2093563.5199999998</v>
      </c>
      <c r="J365" s="4">
        <f t="shared" si="60"/>
        <v>1399033.16</v>
      </c>
      <c r="K365" s="2">
        <f t="shared" si="64"/>
        <v>1136479.7905806839</v>
      </c>
      <c r="L365" s="2">
        <f t="shared" si="65"/>
        <v>2235971.08</v>
      </c>
      <c r="N365" s="4">
        <f t="shared" si="59"/>
        <v>603744.05150000006</v>
      </c>
      <c r="O365" s="2">
        <f t="shared" si="61"/>
        <v>3031260.1884999997</v>
      </c>
    </row>
    <row r="366" spans="1:15" x14ac:dyDescent="0.3">
      <c r="A366" s="50">
        <v>44195</v>
      </c>
      <c r="B366" s="2">
        <v>365</v>
      </c>
      <c r="C366" s="4">
        <v>231793.25</v>
      </c>
      <c r="D366" s="4">
        <f t="shared" si="55"/>
        <v>1933398.7449999999</v>
      </c>
      <c r="E366" s="2">
        <f t="shared" si="56"/>
        <v>1646199.4304678841</v>
      </c>
      <c r="F366" s="2">
        <f t="shared" si="57"/>
        <v>1701605.4949999999</v>
      </c>
      <c r="G366" s="4">
        <f t="shared" si="58"/>
        <v>1441358.9466666665</v>
      </c>
      <c r="H366" s="2">
        <f t="shared" si="62"/>
        <v>1400552.5311534714</v>
      </c>
      <c r="I366" s="2">
        <f t="shared" si="63"/>
        <v>1209565.6966666665</v>
      </c>
      <c r="J366" s="4">
        <f t="shared" si="60"/>
        <v>1214028.8525</v>
      </c>
      <c r="K366" s="2">
        <f t="shared" si="64"/>
        <v>1238055.8711344665</v>
      </c>
      <c r="L366" s="2">
        <f t="shared" si="65"/>
        <v>982235.60250000004</v>
      </c>
      <c r="N366" s="4">
        <f t="shared" si="59"/>
        <v>1538264.21655</v>
      </c>
      <c r="O366" s="2">
        <f t="shared" si="61"/>
        <v>1306470.96655</v>
      </c>
    </row>
    <row r="367" spans="1:15" x14ac:dyDescent="0.3">
      <c r="A367" s="50">
        <v>44196</v>
      </c>
      <c r="B367" s="2">
        <v>366</v>
      </c>
      <c r="C367" s="4">
        <v>935788.77</v>
      </c>
      <c r="D367" s="4">
        <f t="shared" si="55"/>
        <v>583791.01</v>
      </c>
      <c r="E367" s="2">
        <f t="shared" si="56"/>
        <v>1228691.1092010092</v>
      </c>
      <c r="F367" s="2">
        <f t="shared" si="57"/>
        <v>351997.76</v>
      </c>
      <c r="G367" s="4">
        <f t="shared" si="58"/>
        <v>1600862.0866666667</v>
      </c>
      <c r="H367" s="2">
        <f t="shared" si="62"/>
        <v>1447800.6197182341</v>
      </c>
      <c r="I367" s="2">
        <f t="shared" si="63"/>
        <v>665073.31666666665</v>
      </c>
      <c r="J367" s="4">
        <f t="shared" si="60"/>
        <v>1314966.4024999999</v>
      </c>
      <c r="K367" s="2">
        <f t="shared" si="64"/>
        <v>1243028.7207104543</v>
      </c>
      <c r="L367" s="2">
        <f t="shared" si="65"/>
        <v>379177.63249999983</v>
      </c>
      <c r="N367" s="4">
        <f t="shared" si="59"/>
        <v>1795829.0825499999</v>
      </c>
      <c r="O367" s="2">
        <f t="shared" si="61"/>
        <v>860040.31254999992</v>
      </c>
    </row>
    <row r="368" spans="1:15" x14ac:dyDescent="0.3">
      <c r="A368" s="50">
        <v>44197</v>
      </c>
      <c r="B368" s="2">
        <v>367</v>
      </c>
      <c r="C368" s="4">
        <v>191329.93000000002</v>
      </c>
      <c r="D368" s="4">
        <f t="shared" si="55"/>
        <v>563559.35</v>
      </c>
      <c r="E368" s="2">
        <f t="shared" si="56"/>
        <v>362254.85790983809</v>
      </c>
      <c r="F368" s="2">
        <f t="shared" si="57"/>
        <v>372229.41999999993</v>
      </c>
      <c r="G368" s="4">
        <f t="shared" si="58"/>
        <v>452970.64999999997</v>
      </c>
      <c r="H368" s="2">
        <f t="shared" si="62"/>
        <v>811136.56011320243</v>
      </c>
      <c r="I368" s="2">
        <f t="shared" si="63"/>
        <v>261640.71999999994</v>
      </c>
      <c r="J368" s="4">
        <f t="shared" si="60"/>
        <v>1248479.0474999999</v>
      </c>
      <c r="K368" s="2">
        <f t="shared" si="64"/>
        <v>1344032.4943090326</v>
      </c>
      <c r="L368" s="2">
        <f t="shared" si="65"/>
        <v>1057149.1174999999</v>
      </c>
      <c r="N368" s="4">
        <f t="shared" si="59"/>
        <v>1216338.1669999999</v>
      </c>
      <c r="O368" s="2">
        <f t="shared" si="61"/>
        <v>1025008.2369999998</v>
      </c>
    </row>
    <row r="369" spans="1:15" x14ac:dyDescent="0.3">
      <c r="A369" s="50">
        <v>44198</v>
      </c>
      <c r="B369" s="2">
        <v>368</v>
      </c>
      <c r="C369" s="4">
        <v>563783.10000000009</v>
      </c>
      <c r="D369" s="4">
        <f t="shared" si="55"/>
        <v>377556.51500000007</v>
      </c>
      <c r="E369" s="2">
        <f t="shared" si="56"/>
        <v>294308.58131755062</v>
      </c>
      <c r="F369" s="2">
        <f t="shared" si="57"/>
        <v>186226.58500000002</v>
      </c>
      <c r="G369" s="4">
        <f t="shared" si="58"/>
        <v>563633.93333333335</v>
      </c>
      <c r="H369" s="2">
        <f t="shared" si="62"/>
        <v>412625.09422590584</v>
      </c>
      <c r="I369" s="2">
        <f t="shared" si="63"/>
        <v>149.16666666674428</v>
      </c>
      <c r="J369" s="4">
        <f t="shared" si="60"/>
        <v>480673.76250000001</v>
      </c>
      <c r="K369" s="2">
        <f t="shared" si="64"/>
        <v>747166.96166545677</v>
      </c>
      <c r="L369" s="2">
        <f t="shared" si="65"/>
        <v>83109.337500000081</v>
      </c>
      <c r="N369" s="4">
        <f t="shared" si="59"/>
        <v>531516.0442</v>
      </c>
      <c r="O369" s="2">
        <f t="shared" si="61"/>
        <v>32267.055800000089</v>
      </c>
    </row>
    <row r="370" spans="1:15" x14ac:dyDescent="0.3">
      <c r="A370" s="50">
        <v>44199</v>
      </c>
      <c r="B370" s="2">
        <v>369</v>
      </c>
      <c r="C370" s="4">
        <v>5766501.8300000001</v>
      </c>
      <c r="D370" s="4">
        <f t="shared" si="55"/>
        <v>3165142.4649999999</v>
      </c>
      <c r="E370" s="2">
        <f t="shared" si="56"/>
        <v>1844146.264106235</v>
      </c>
      <c r="F370" s="2">
        <f t="shared" si="57"/>
        <v>2601359.3650000002</v>
      </c>
      <c r="G370" s="4">
        <f t="shared" si="58"/>
        <v>2173871.62</v>
      </c>
      <c r="H370" s="2">
        <f t="shared" si="62"/>
        <v>2079699.3143575233</v>
      </c>
      <c r="I370" s="2">
        <f t="shared" si="63"/>
        <v>3592630.21</v>
      </c>
      <c r="J370" s="4">
        <f t="shared" si="60"/>
        <v>1864350.9075</v>
      </c>
      <c r="K370" s="2">
        <f t="shared" si="64"/>
        <v>2030703.6291373628</v>
      </c>
      <c r="L370" s="2">
        <f t="shared" si="65"/>
        <v>3902150.9225000003</v>
      </c>
      <c r="N370" s="4">
        <f t="shared" si="59"/>
        <v>479882.68675000005</v>
      </c>
      <c r="O370" s="2">
        <f t="shared" si="61"/>
        <v>5286619.1432499997</v>
      </c>
    </row>
    <row r="371" spans="1:15" x14ac:dyDescent="0.3">
      <c r="A371" s="50">
        <v>44200</v>
      </c>
      <c r="B371" s="2">
        <v>370</v>
      </c>
      <c r="C371" s="4">
        <v>1007308.7999999999</v>
      </c>
      <c r="D371" s="4">
        <f t="shared" si="55"/>
        <v>3386905.3149999999</v>
      </c>
      <c r="E371" s="2">
        <f t="shared" si="56"/>
        <v>2492945.057564782</v>
      </c>
      <c r="F371" s="2">
        <f t="shared" si="57"/>
        <v>2379596.5150000001</v>
      </c>
      <c r="G371" s="4">
        <f t="shared" si="58"/>
        <v>2445864.5766666667</v>
      </c>
      <c r="H371" s="2">
        <f t="shared" si="62"/>
        <v>2234310.8236945886</v>
      </c>
      <c r="I371" s="2">
        <f t="shared" si="63"/>
        <v>1438555.7766666668</v>
      </c>
      <c r="J371" s="4">
        <f t="shared" si="60"/>
        <v>1882230.915</v>
      </c>
      <c r="K371" s="2">
        <f t="shared" si="64"/>
        <v>2068619.2223252684</v>
      </c>
      <c r="L371" s="2">
        <f t="shared" si="65"/>
        <v>874922.11500000011</v>
      </c>
      <c r="N371" s="4">
        <f t="shared" si="59"/>
        <v>2224754.1771499999</v>
      </c>
      <c r="O371" s="2">
        <f t="shared" si="61"/>
        <v>1217445.3771500001</v>
      </c>
    </row>
    <row r="372" spans="1:15" x14ac:dyDescent="0.3">
      <c r="A372" s="50">
        <v>44201</v>
      </c>
      <c r="B372" s="2">
        <v>371</v>
      </c>
      <c r="C372" s="4">
        <v>1054632.9600000002</v>
      </c>
      <c r="D372" s="4">
        <f t="shared" si="55"/>
        <v>1030970.8800000001</v>
      </c>
      <c r="E372" s="2">
        <f t="shared" si="56"/>
        <v>1682712.0175820449</v>
      </c>
      <c r="F372" s="2">
        <f t="shared" si="57"/>
        <v>23662.080000000075</v>
      </c>
      <c r="G372" s="4">
        <f t="shared" si="58"/>
        <v>2609481.1966666668</v>
      </c>
      <c r="H372" s="2">
        <f t="shared" si="62"/>
        <v>2407902.7934041913</v>
      </c>
      <c r="I372" s="2">
        <f t="shared" si="63"/>
        <v>1554848.2366666666</v>
      </c>
      <c r="J372" s="4">
        <f t="shared" si="60"/>
        <v>2098056.6724999999</v>
      </c>
      <c r="K372" s="2">
        <f t="shared" si="64"/>
        <v>2066876.3107084231</v>
      </c>
      <c r="L372" s="2">
        <f t="shared" si="65"/>
        <v>1043423.7124999997</v>
      </c>
      <c r="N372" s="4">
        <f t="shared" si="59"/>
        <v>3027574.0443500001</v>
      </c>
      <c r="O372" s="2">
        <f t="shared" si="61"/>
        <v>1972941.0843499999</v>
      </c>
    </row>
    <row r="373" spans="1:15" x14ac:dyDescent="0.3">
      <c r="A373" s="50">
        <v>44202</v>
      </c>
      <c r="B373" s="2">
        <v>372</v>
      </c>
      <c r="C373" s="4">
        <v>4462707.0599999996</v>
      </c>
      <c r="D373" s="4">
        <f t="shared" si="55"/>
        <v>2758670.01</v>
      </c>
      <c r="E373" s="2">
        <f t="shared" si="56"/>
        <v>1205052.3145910779</v>
      </c>
      <c r="F373" s="2">
        <f t="shared" si="57"/>
        <v>1704037.0499999998</v>
      </c>
      <c r="G373" s="4">
        <f t="shared" si="58"/>
        <v>2174882.94</v>
      </c>
      <c r="H373" s="2">
        <f t="shared" si="62"/>
        <v>1800105.0863491509</v>
      </c>
      <c r="I373" s="2">
        <f t="shared" si="63"/>
        <v>2287824.1199999996</v>
      </c>
      <c r="J373" s="4">
        <f t="shared" si="60"/>
        <v>3072787.6624999996</v>
      </c>
      <c r="K373" s="2">
        <f t="shared" si="64"/>
        <v>2180188.036881092</v>
      </c>
      <c r="L373" s="2">
        <f t="shared" si="65"/>
        <v>1389919.3975</v>
      </c>
      <c r="N373" s="4">
        <f t="shared" si="59"/>
        <v>2070184.8602</v>
      </c>
      <c r="O373" s="2">
        <f t="shared" si="61"/>
        <v>2392522.1997999996</v>
      </c>
    </row>
    <row r="374" spans="1:15" x14ac:dyDescent="0.3">
      <c r="A374" s="50">
        <v>44203</v>
      </c>
      <c r="B374" s="2">
        <v>373</v>
      </c>
      <c r="C374" s="4">
        <v>311994.40000000002</v>
      </c>
      <c r="D374" s="4">
        <f t="shared" si="55"/>
        <v>2387350.73</v>
      </c>
      <c r="E374" s="2">
        <f t="shared" si="56"/>
        <v>1898795.165920191</v>
      </c>
      <c r="F374" s="2">
        <f t="shared" si="57"/>
        <v>2075356.33</v>
      </c>
      <c r="G374" s="4">
        <f t="shared" si="58"/>
        <v>1943111.4733333334</v>
      </c>
      <c r="H374" s="2">
        <f t="shared" si="62"/>
        <v>1854025.813380054</v>
      </c>
      <c r="I374" s="2">
        <f t="shared" si="63"/>
        <v>1631117.0733333332</v>
      </c>
      <c r="J374" s="4">
        <f t="shared" si="60"/>
        <v>1709160.8050000002</v>
      </c>
      <c r="K374" s="2">
        <f t="shared" si="64"/>
        <v>1197724.0548150837</v>
      </c>
      <c r="L374" s="2">
        <f t="shared" si="65"/>
        <v>1397166.4050000003</v>
      </c>
      <c r="N374" s="4">
        <f t="shared" si="59"/>
        <v>2185926.4682999998</v>
      </c>
      <c r="O374" s="2">
        <f t="shared" si="61"/>
        <v>1873932.0682999999</v>
      </c>
    </row>
    <row r="375" spans="1:15" x14ac:dyDescent="0.3">
      <c r="A375" s="50">
        <v>44204</v>
      </c>
      <c r="B375" s="2">
        <v>374</v>
      </c>
      <c r="C375" s="4">
        <v>1795761</v>
      </c>
      <c r="D375" s="4">
        <f t="shared" si="55"/>
        <v>1053877.7</v>
      </c>
      <c r="E375" s="2">
        <f t="shared" si="56"/>
        <v>1558443.8917217967</v>
      </c>
      <c r="F375" s="2">
        <f t="shared" si="57"/>
        <v>741883.3</v>
      </c>
      <c r="G375" s="4">
        <f t="shared" si="58"/>
        <v>2190154.1533333333</v>
      </c>
      <c r="H375" s="2">
        <f t="shared" si="62"/>
        <v>1638111.5214752099</v>
      </c>
      <c r="I375" s="2">
        <f t="shared" si="63"/>
        <v>394393.15333333332</v>
      </c>
      <c r="J375" s="4">
        <f t="shared" si="60"/>
        <v>1906273.855</v>
      </c>
      <c r="K375" s="2">
        <f t="shared" si="64"/>
        <v>1116344.0363229117</v>
      </c>
      <c r="L375" s="2">
        <f t="shared" si="65"/>
        <v>110512.85499999998</v>
      </c>
      <c r="N375" s="4">
        <f t="shared" si="59"/>
        <v>2322442.0169000002</v>
      </c>
      <c r="O375" s="2">
        <f t="shared" si="61"/>
        <v>526681.01690000016</v>
      </c>
    </row>
    <row r="376" spans="1:15" x14ac:dyDescent="0.3">
      <c r="A376" s="50">
        <v>44205</v>
      </c>
      <c r="B376" s="2">
        <v>375</v>
      </c>
      <c r="C376" s="4">
        <v>377674.33</v>
      </c>
      <c r="D376" s="4">
        <f t="shared" si="55"/>
        <v>1086717.665</v>
      </c>
      <c r="E376" s="2">
        <f t="shared" si="56"/>
        <v>725649.11690389737</v>
      </c>
      <c r="F376" s="2">
        <f t="shared" si="57"/>
        <v>709043.33499999996</v>
      </c>
      <c r="G376" s="4">
        <f t="shared" si="58"/>
        <v>828476.57666666666</v>
      </c>
      <c r="H376" s="2">
        <f t="shared" si="62"/>
        <v>1003213.4256005255</v>
      </c>
      <c r="I376" s="2">
        <f t="shared" si="63"/>
        <v>450802.24666666664</v>
      </c>
      <c r="J376" s="4">
        <f t="shared" si="60"/>
        <v>1737034.1975</v>
      </c>
      <c r="K376" s="2">
        <f t="shared" si="64"/>
        <v>1198334.493713802</v>
      </c>
      <c r="L376" s="2">
        <f t="shared" si="65"/>
        <v>1359359.8674999999</v>
      </c>
      <c r="N376" s="4">
        <f t="shared" si="59"/>
        <v>1722212.9961999999</v>
      </c>
      <c r="O376" s="2">
        <f t="shared" si="61"/>
        <v>1344538.6661999999</v>
      </c>
    </row>
    <row r="377" spans="1:15" x14ac:dyDescent="0.3">
      <c r="A377" s="50">
        <v>44206</v>
      </c>
      <c r="B377" s="2">
        <v>376</v>
      </c>
      <c r="C377" s="4">
        <v>591387.5</v>
      </c>
      <c r="D377" s="4">
        <f t="shared" si="55"/>
        <v>484530.91500000004</v>
      </c>
      <c r="E377" s="2">
        <f t="shared" si="56"/>
        <v>507030.95599074836</v>
      </c>
      <c r="F377" s="2">
        <f t="shared" si="57"/>
        <v>106856.58499999996</v>
      </c>
      <c r="G377" s="4">
        <f t="shared" si="58"/>
        <v>921607.61</v>
      </c>
      <c r="H377" s="2">
        <f t="shared" si="62"/>
        <v>394889.83528925991</v>
      </c>
      <c r="I377" s="2">
        <f t="shared" si="63"/>
        <v>330220.11</v>
      </c>
      <c r="J377" s="4">
        <f t="shared" si="60"/>
        <v>769204.3075</v>
      </c>
      <c r="K377" s="2">
        <f t="shared" si="64"/>
        <v>980276.12446442677</v>
      </c>
      <c r="L377" s="2">
        <f t="shared" si="65"/>
        <v>177816.8075</v>
      </c>
      <c r="N377" s="4">
        <f t="shared" si="59"/>
        <v>994273.31355000008</v>
      </c>
      <c r="O377" s="2">
        <f t="shared" si="61"/>
        <v>402885.81355000008</v>
      </c>
    </row>
    <row r="378" spans="1:15" x14ac:dyDescent="0.3">
      <c r="A378" s="50">
        <v>44207</v>
      </c>
      <c r="B378" s="2">
        <v>377</v>
      </c>
      <c r="C378" s="4">
        <v>1212511.8599999999</v>
      </c>
      <c r="D378" s="4">
        <f t="shared" si="55"/>
        <v>901949.67999999993</v>
      </c>
      <c r="E378" s="2">
        <f t="shared" si="56"/>
        <v>232236.08397944382</v>
      </c>
      <c r="F378" s="2">
        <f t="shared" si="57"/>
        <v>310562.17999999993</v>
      </c>
      <c r="G378" s="4">
        <f t="shared" si="58"/>
        <v>727191.23</v>
      </c>
      <c r="H378" s="2">
        <f t="shared" si="62"/>
        <v>427318.8117209145</v>
      </c>
      <c r="I378" s="2">
        <f t="shared" si="63"/>
        <v>485320.62999999989</v>
      </c>
      <c r="J378" s="4">
        <f t="shared" si="60"/>
        <v>994333.67249999999</v>
      </c>
      <c r="K378" s="2">
        <f t="shared" si="64"/>
        <v>696292.48147243157</v>
      </c>
      <c r="L378" s="2">
        <f t="shared" si="65"/>
        <v>218178.18749999988</v>
      </c>
      <c r="N378" s="4">
        <f t="shared" si="59"/>
        <v>761247.30935</v>
      </c>
      <c r="O378" s="2">
        <f t="shared" si="61"/>
        <v>451264.55064999987</v>
      </c>
    </row>
    <row r="379" spans="1:15" x14ac:dyDescent="0.3">
      <c r="A379" s="50">
        <v>44208</v>
      </c>
      <c r="B379" s="2">
        <v>378</v>
      </c>
      <c r="C379" s="4">
        <v>2635441.6</v>
      </c>
      <c r="D379" s="4">
        <f t="shared" si="55"/>
        <v>1923976.73</v>
      </c>
      <c r="E379" s="2">
        <f t="shared" si="56"/>
        <v>548922.18432600691</v>
      </c>
      <c r="F379" s="2">
        <f t="shared" si="57"/>
        <v>711464.87000000011</v>
      </c>
      <c r="G379" s="4">
        <f t="shared" si="58"/>
        <v>1479780.32</v>
      </c>
      <c r="H379" s="2">
        <f t="shared" si="62"/>
        <v>748361.41648342786</v>
      </c>
      <c r="I379" s="2">
        <f t="shared" si="63"/>
        <v>1155661.28</v>
      </c>
      <c r="J379" s="4">
        <f t="shared" si="60"/>
        <v>1204253.8225</v>
      </c>
      <c r="K379" s="2">
        <f t="shared" si="64"/>
        <v>996917.52948341775</v>
      </c>
      <c r="L379" s="2">
        <f t="shared" si="65"/>
        <v>1431187.7775000001</v>
      </c>
      <c r="N379" s="4">
        <f t="shared" si="59"/>
        <v>752447.26319999993</v>
      </c>
      <c r="O379" s="2">
        <f t="shared" si="61"/>
        <v>1882994.3368000002</v>
      </c>
    </row>
    <row r="380" spans="1:15" x14ac:dyDescent="0.3">
      <c r="A380" s="50">
        <v>44209</v>
      </c>
      <c r="B380" s="2">
        <v>379</v>
      </c>
      <c r="C380" s="4">
        <v>160240.29999999999</v>
      </c>
      <c r="D380" s="4">
        <f t="shared" si="55"/>
        <v>1397840.95</v>
      </c>
      <c r="E380" s="2">
        <f t="shared" si="56"/>
        <v>1009415.0856125887</v>
      </c>
      <c r="F380" s="2">
        <f t="shared" si="57"/>
        <v>1237600.6499999999</v>
      </c>
      <c r="G380" s="4">
        <f t="shared" si="58"/>
        <v>1336064.5866666667</v>
      </c>
      <c r="H380" s="2">
        <f t="shared" si="62"/>
        <v>992245.24204956682</v>
      </c>
      <c r="I380" s="2">
        <f t="shared" si="63"/>
        <v>1175824.2866666666</v>
      </c>
      <c r="J380" s="4">
        <f t="shared" si="60"/>
        <v>1149895.3149999999</v>
      </c>
      <c r="K380" s="2">
        <f t="shared" si="64"/>
        <v>881325.1445565247</v>
      </c>
      <c r="L380" s="2">
        <f t="shared" si="65"/>
        <v>989655.0149999999</v>
      </c>
      <c r="N380" s="4">
        <f t="shared" si="59"/>
        <v>1552545.9637</v>
      </c>
      <c r="O380" s="2">
        <f t="shared" si="61"/>
        <v>1392305.6636999999</v>
      </c>
    </row>
    <row r="381" spans="1:15" x14ac:dyDescent="0.3">
      <c r="A381" s="50">
        <v>44210</v>
      </c>
      <c r="B381" s="2">
        <v>380</v>
      </c>
      <c r="C381" s="4">
        <v>3206785.8899999997</v>
      </c>
      <c r="D381" s="4">
        <f t="shared" si="55"/>
        <v>1683513.0949999997</v>
      </c>
      <c r="E381" s="2">
        <f t="shared" si="56"/>
        <v>1387806.7907434979</v>
      </c>
      <c r="F381" s="2">
        <f t="shared" si="57"/>
        <v>1523272.7949999999</v>
      </c>
      <c r="G381" s="4">
        <f t="shared" si="58"/>
        <v>2000822.5966666664</v>
      </c>
      <c r="H381" s="2">
        <f t="shared" si="62"/>
        <v>1179330.7723837551</v>
      </c>
      <c r="I381" s="2">
        <f t="shared" si="63"/>
        <v>1205963.2933333332</v>
      </c>
      <c r="J381" s="4">
        <f t="shared" si="60"/>
        <v>1803744.9124999999</v>
      </c>
      <c r="K381" s="2">
        <f t="shared" si="64"/>
        <v>1122924.8872058385</v>
      </c>
      <c r="L381" s="2">
        <f t="shared" si="65"/>
        <v>1403040.9774999998</v>
      </c>
      <c r="N381" s="4">
        <f t="shared" si="59"/>
        <v>1493204.6217</v>
      </c>
      <c r="O381" s="2">
        <f t="shared" si="61"/>
        <v>1713581.2682999996</v>
      </c>
    </row>
    <row r="382" spans="1:15" x14ac:dyDescent="0.3">
      <c r="A382" s="50">
        <v>44211</v>
      </c>
      <c r="B382" s="2">
        <v>381</v>
      </c>
      <c r="C382" s="4">
        <v>1020864.72</v>
      </c>
      <c r="D382" s="4">
        <f t="shared" si="55"/>
        <v>2113825.3049999997</v>
      </c>
      <c r="E382" s="2">
        <f t="shared" si="56"/>
        <v>1325692.8091286181</v>
      </c>
      <c r="F382" s="2">
        <f t="shared" si="57"/>
        <v>1092960.5849999997</v>
      </c>
      <c r="G382" s="4">
        <f t="shared" si="58"/>
        <v>1462630.303333333</v>
      </c>
      <c r="H382" s="2">
        <f t="shared" si="62"/>
        <v>1005330.3020401462</v>
      </c>
      <c r="I382" s="2">
        <f t="shared" si="63"/>
        <v>441765.58333333302</v>
      </c>
      <c r="J382" s="4">
        <f t="shared" si="60"/>
        <v>1755833.1274999997</v>
      </c>
      <c r="K382" s="2">
        <f t="shared" si="64"/>
        <v>1176479.71165542</v>
      </c>
      <c r="L382" s="2">
        <f t="shared" si="65"/>
        <v>734968.40749999974</v>
      </c>
      <c r="N382" s="4">
        <f t="shared" si="59"/>
        <v>1725377.3586499998</v>
      </c>
      <c r="O382" s="2">
        <f t="shared" si="61"/>
        <v>704512.63864999986</v>
      </c>
    </row>
    <row r="383" spans="1:15" x14ac:dyDescent="0.3">
      <c r="A383" s="50">
        <v>44212</v>
      </c>
      <c r="B383" s="2">
        <v>382</v>
      </c>
      <c r="C383" s="4">
        <v>1450883.2200000002</v>
      </c>
      <c r="D383" s="4">
        <f t="shared" si="55"/>
        <v>1235873.9700000002</v>
      </c>
      <c r="E383" s="2">
        <f t="shared" si="56"/>
        <v>787652.14973016619</v>
      </c>
      <c r="F383" s="2">
        <f t="shared" si="57"/>
        <v>215009.25</v>
      </c>
      <c r="G383" s="4">
        <f t="shared" si="58"/>
        <v>1892844.61</v>
      </c>
      <c r="H383" s="2">
        <f t="shared" si="62"/>
        <v>784184.11225424847</v>
      </c>
      <c r="I383" s="2">
        <f t="shared" si="63"/>
        <v>441961.3899999999</v>
      </c>
      <c r="J383" s="4">
        <f t="shared" si="60"/>
        <v>1459693.5324999997</v>
      </c>
      <c r="K383" s="2">
        <f t="shared" si="64"/>
        <v>933835.80126383004</v>
      </c>
      <c r="L383" s="2">
        <f t="shared" si="65"/>
        <v>8810.3124999995343</v>
      </c>
      <c r="N383" s="4">
        <f t="shared" si="59"/>
        <v>1804262.2682499997</v>
      </c>
      <c r="O383" s="2">
        <f t="shared" si="61"/>
        <v>353379.04824999953</v>
      </c>
    </row>
    <row r="384" spans="1:15" x14ac:dyDescent="0.3">
      <c r="A384" s="50">
        <v>44213</v>
      </c>
      <c r="B384" s="2">
        <v>383</v>
      </c>
      <c r="C384" s="4">
        <v>294901.11</v>
      </c>
      <c r="D384" s="4">
        <f t="shared" si="55"/>
        <v>872892.16500000004</v>
      </c>
      <c r="E384" s="2">
        <f t="shared" si="56"/>
        <v>436063.43417304294</v>
      </c>
      <c r="F384" s="2">
        <f t="shared" si="57"/>
        <v>577991.05500000005</v>
      </c>
      <c r="G384" s="4">
        <f t="shared" si="58"/>
        <v>922216.35000000009</v>
      </c>
      <c r="H384" s="2">
        <f t="shared" si="62"/>
        <v>511211.34285956196</v>
      </c>
      <c r="I384" s="2">
        <f t="shared" si="63"/>
        <v>627315.24000000011</v>
      </c>
      <c r="J384" s="4">
        <f t="shared" si="60"/>
        <v>1493358.7350000001</v>
      </c>
      <c r="K384" s="2">
        <f t="shared" si="64"/>
        <v>993111.37908774219</v>
      </c>
      <c r="L384" s="2">
        <f t="shared" si="65"/>
        <v>1198457.625</v>
      </c>
      <c r="N384" s="4">
        <f t="shared" si="59"/>
        <v>1645823.5749000001</v>
      </c>
      <c r="O384" s="2">
        <f t="shared" si="61"/>
        <v>1350922.4649</v>
      </c>
    </row>
    <row r="385" spans="1:15" x14ac:dyDescent="0.3">
      <c r="A385" s="50">
        <v>44214</v>
      </c>
      <c r="B385" s="2">
        <v>384</v>
      </c>
      <c r="C385" s="4">
        <v>1574311.76</v>
      </c>
      <c r="D385" s="4">
        <f t="shared" si="55"/>
        <v>934606.43500000006</v>
      </c>
      <c r="E385" s="2">
        <f t="shared" si="56"/>
        <v>609629.62628688279</v>
      </c>
      <c r="F385" s="2">
        <f t="shared" si="57"/>
        <v>639705.32499999995</v>
      </c>
      <c r="G385" s="4">
        <f t="shared" si="58"/>
        <v>1106698.6966666665</v>
      </c>
      <c r="H385" s="2">
        <f t="shared" si="62"/>
        <v>518817.96987221309</v>
      </c>
      <c r="I385" s="2">
        <f t="shared" si="63"/>
        <v>467613.06333333347</v>
      </c>
      <c r="J385" s="4">
        <f t="shared" si="60"/>
        <v>1085240.2025000001</v>
      </c>
      <c r="K385" s="2">
        <f t="shared" si="64"/>
        <v>744269.41508192278</v>
      </c>
      <c r="L385" s="2">
        <f t="shared" si="65"/>
        <v>489071.55749999988</v>
      </c>
      <c r="N385" s="4">
        <f t="shared" si="59"/>
        <v>969025.14315000013</v>
      </c>
      <c r="O385" s="2">
        <f t="shared" si="61"/>
        <v>605286.61684999987</v>
      </c>
    </row>
    <row r="386" spans="1:15" x14ac:dyDescent="0.3">
      <c r="A386" s="50">
        <v>44215</v>
      </c>
      <c r="B386" s="2">
        <v>385</v>
      </c>
      <c r="C386" s="4">
        <v>126109.39</v>
      </c>
      <c r="D386" s="4">
        <f t="shared" si="55"/>
        <v>850210.57499999995</v>
      </c>
      <c r="E386" s="2">
        <f t="shared" si="56"/>
        <v>683207.66570339352</v>
      </c>
      <c r="F386" s="2">
        <f t="shared" si="57"/>
        <v>724101.18499999994</v>
      </c>
      <c r="G386" s="4">
        <f t="shared" si="58"/>
        <v>665107.42000000004</v>
      </c>
      <c r="H386" s="2">
        <f t="shared" si="62"/>
        <v>548545.12536348449</v>
      </c>
      <c r="I386" s="2">
        <f t="shared" si="63"/>
        <v>538998.03</v>
      </c>
      <c r="J386" s="4">
        <f t="shared" si="60"/>
        <v>861551.37</v>
      </c>
      <c r="K386" s="2">
        <f t="shared" si="64"/>
        <v>744386.35714741307</v>
      </c>
      <c r="L386" s="2">
        <f t="shared" si="65"/>
        <v>735441.98</v>
      </c>
      <c r="N386" s="4">
        <f t="shared" si="59"/>
        <v>977819.74195000017</v>
      </c>
      <c r="O386" s="2">
        <f t="shared" si="61"/>
        <v>851710.35195000016</v>
      </c>
    </row>
    <row r="387" spans="1:15" x14ac:dyDescent="0.3">
      <c r="A387" s="50">
        <v>44216</v>
      </c>
      <c r="B387" s="2">
        <v>386</v>
      </c>
      <c r="C387" s="4">
        <v>41863.71</v>
      </c>
      <c r="D387" s="4">
        <f t="shared" si="55"/>
        <v>83986.55</v>
      </c>
      <c r="E387" s="2">
        <f t="shared" si="56"/>
        <v>512882.47180424765</v>
      </c>
      <c r="F387" s="2">
        <f t="shared" si="57"/>
        <v>42122.840000000004</v>
      </c>
      <c r="G387" s="4">
        <f t="shared" si="58"/>
        <v>580761.62</v>
      </c>
      <c r="H387" s="2">
        <f t="shared" si="62"/>
        <v>516266.02016990981</v>
      </c>
      <c r="I387" s="2">
        <f t="shared" si="63"/>
        <v>538897.91</v>
      </c>
      <c r="J387" s="4">
        <f t="shared" si="60"/>
        <v>509296.49249999999</v>
      </c>
      <c r="K387" s="2">
        <f t="shared" si="64"/>
        <v>780201.89364326221</v>
      </c>
      <c r="L387" s="2">
        <f t="shared" si="65"/>
        <v>467432.78249999997</v>
      </c>
      <c r="N387" s="4">
        <f t="shared" si="59"/>
        <v>807693.62304999994</v>
      </c>
      <c r="O387" s="2">
        <f t="shared" si="61"/>
        <v>765829.91304999997</v>
      </c>
    </row>
    <row r="388" spans="1:15" x14ac:dyDescent="0.3">
      <c r="A388" s="50">
        <v>44217</v>
      </c>
      <c r="B388" s="2">
        <v>387</v>
      </c>
      <c r="C388" s="4">
        <v>1994055.7999999998</v>
      </c>
      <c r="D388" s="4">
        <f t="shared" ref="D388:D451" si="66">AVERAGE(C387:C388)</f>
        <v>1017959.7549999999</v>
      </c>
      <c r="E388" s="2">
        <f t="shared" si="56"/>
        <v>690846.51794530579</v>
      </c>
      <c r="F388" s="2">
        <f t="shared" si="57"/>
        <v>976096.04499999993</v>
      </c>
      <c r="G388" s="4">
        <f t="shared" si="58"/>
        <v>720676.29999999993</v>
      </c>
      <c r="H388" s="2">
        <f t="shared" si="62"/>
        <v>856820.70951599884</v>
      </c>
      <c r="I388" s="2">
        <f t="shared" si="63"/>
        <v>1273379.5</v>
      </c>
      <c r="J388" s="4">
        <f t="shared" si="60"/>
        <v>934085.16499999992</v>
      </c>
      <c r="K388" s="2">
        <f t="shared" si="64"/>
        <v>728370.96446793352</v>
      </c>
      <c r="L388" s="2">
        <f t="shared" si="65"/>
        <v>1059970.6349999998</v>
      </c>
      <c r="N388" s="4">
        <f t="shared" si="59"/>
        <v>416491.60860000004</v>
      </c>
      <c r="O388" s="2">
        <f t="shared" si="61"/>
        <v>1577564.1913999999</v>
      </c>
    </row>
    <row r="389" spans="1:15" x14ac:dyDescent="0.3">
      <c r="A389" s="50">
        <v>44218</v>
      </c>
      <c r="B389" s="2">
        <v>388</v>
      </c>
      <c r="C389" s="4">
        <v>592773.30000000005</v>
      </c>
      <c r="D389" s="4">
        <f t="shared" si="66"/>
        <v>1293414.5499999998</v>
      </c>
      <c r="E389" s="2">
        <f t="shared" ref="E389:E452" si="67">SQRT(SUMXMY2(C388:C389,D388:D389)/2)</f>
        <v>849606.27653819858</v>
      </c>
      <c r="F389" s="2">
        <f t="shared" ref="F389:F452" si="68">ABS(D389-C389)</f>
        <v>700641.24999999977</v>
      </c>
      <c r="G389" s="4">
        <f t="shared" ref="G389:G452" si="69">AVERAGE(C387:C389)</f>
        <v>876230.93666666653</v>
      </c>
      <c r="H389" s="2">
        <f t="shared" si="62"/>
        <v>814914.01186613343</v>
      </c>
      <c r="I389" s="2">
        <f t="shared" si="63"/>
        <v>283457.63666666648</v>
      </c>
      <c r="J389" s="4">
        <f t="shared" si="60"/>
        <v>688700.55</v>
      </c>
      <c r="K389" s="2">
        <f t="shared" si="64"/>
        <v>687769.6010396356</v>
      </c>
      <c r="L389" s="2">
        <f t="shared" si="65"/>
        <v>95927.25</v>
      </c>
      <c r="N389" s="4">
        <f t="shared" ref="N389:N452" si="70">($M$2*D388)+($M$3*C387)+($M$4*C386)</f>
        <v>714382.10974999995</v>
      </c>
      <c r="O389" s="2">
        <f t="shared" si="61"/>
        <v>121608.8097499999</v>
      </c>
    </row>
    <row r="390" spans="1:15" x14ac:dyDescent="0.3">
      <c r="A390" s="50">
        <v>44219</v>
      </c>
      <c r="B390" s="2">
        <v>389</v>
      </c>
      <c r="C390" s="4">
        <v>532038.57000000007</v>
      </c>
      <c r="D390" s="4">
        <f t="shared" si="66"/>
        <v>562405.93500000006</v>
      </c>
      <c r="E390" s="2">
        <f t="shared" si="67"/>
        <v>495893.30407790618</v>
      </c>
      <c r="F390" s="2">
        <f t="shared" si="68"/>
        <v>30367.364999999991</v>
      </c>
      <c r="G390" s="4">
        <f t="shared" si="69"/>
        <v>1039622.5566666666</v>
      </c>
      <c r="H390" s="2">
        <f t="shared" si="62"/>
        <v>808184.19648108457</v>
      </c>
      <c r="I390" s="2">
        <f t="shared" si="63"/>
        <v>507583.98666666658</v>
      </c>
      <c r="J390" s="4">
        <f t="shared" ref="J390:J453" si="71">AVERAGE(C387:C390)</f>
        <v>790182.84499999997</v>
      </c>
      <c r="K390" s="2">
        <f t="shared" si="64"/>
        <v>595372.08055673749</v>
      </c>
      <c r="L390" s="2">
        <f t="shared" si="65"/>
        <v>258144.27499999991</v>
      </c>
      <c r="N390" s="4">
        <f t="shared" si="70"/>
        <v>1095143.9026999997</v>
      </c>
      <c r="O390" s="2">
        <f t="shared" ref="O390:O453" si="72">ABS(N390-C390)</f>
        <v>563105.33269999968</v>
      </c>
    </row>
    <row r="391" spans="1:15" x14ac:dyDescent="0.3">
      <c r="A391" s="50">
        <v>44220</v>
      </c>
      <c r="B391" s="2">
        <v>390</v>
      </c>
      <c r="C391" s="4">
        <v>512855.75</v>
      </c>
      <c r="D391" s="4">
        <f t="shared" si="66"/>
        <v>522447.16000000003</v>
      </c>
      <c r="E391" s="2">
        <f t="shared" si="67"/>
        <v>22518.57014589653</v>
      </c>
      <c r="F391" s="2">
        <f t="shared" si="68"/>
        <v>9591.4100000000326</v>
      </c>
      <c r="G391" s="4">
        <f t="shared" si="69"/>
        <v>545889.20666666667</v>
      </c>
      <c r="H391" s="2">
        <f t="shared" ref="H391:H454" si="73">SQRT(SUMXMY2(C389:C391,G389:G391)/3)</f>
        <v>336194.85647682915</v>
      </c>
      <c r="I391" s="2">
        <f t="shared" ref="I391:I454" si="74">ABS(G391-C391)</f>
        <v>33033.456666666665</v>
      </c>
      <c r="J391" s="4">
        <f t="shared" si="71"/>
        <v>907930.85499999998</v>
      </c>
      <c r="K391" s="2">
        <f t="shared" si="64"/>
        <v>582121.67749983806</v>
      </c>
      <c r="L391" s="2">
        <f t="shared" si="65"/>
        <v>395075.10499999998</v>
      </c>
      <c r="N391" s="4">
        <f t="shared" si="70"/>
        <v>880709.31545000011</v>
      </c>
      <c r="O391" s="2">
        <f t="shared" si="72"/>
        <v>367853.56545000011</v>
      </c>
    </row>
    <row r="392" spans="1:15" x14ac:dyDescent="0.3">
      <c r="A392" s="50">
        <v>44221</v>
      </c>
      <c r="B392" s="2">
        <v>391</v>
      </c>
      <c r="C392" s="4">
        <v>785241.28</v>
      </c>
      <c r="D392" s="4">
        <f t="shared" si="66"/>
        <v>649048.51500000001</v>
      </c>
      <c r="E392" s="2">
        <f t="shared" si="67"/>
        <v>96541.349649083873</v>
      </c>
      <c r="F392" s="2">
        <f t="shared" si="68"/>
        <v>136192.76500000001</v>
      </c>
      <c r="G392" s="4">
        <f t="shared" si="69"/>
        <v>610045.20000000007</v>
      </c>
      <c r="H392" s="2">
        <f t="shared" si="73"/>
        <v>310604.98988648033</v>
      </c>
      <c r="I392" s="2">
        <f t="shared" si="74"/>
        <v>175196.07999999996</v>
      </c>
      <c r="J392" s="4">
        <f t="shared" si="71"/>
        <v>605727.22500000009</v>
      </c>
      <c r="K392" s="2">
        <f t="shared" si="64"/>
        <v>256977.69287485932</v>
      </c>
      <c r="L392" s="2">
        <f t="shared" si="65"/>
        <v>179514.05499999993</v>
      </c>
      <c r="N392" s="4">
        <f t="shared" si="70"/>
        <v>538973.96590000007</v>
      </c>
      <c r="O392" s="2">
        <f t="shared" si="72"/>
        <v>246267.31409999996</v>
      </c>
    </row>
    <row r="393" spans="1:15" x14ac:dyDescent="0.3">
      <c r="A393" s="50">
        <v>44222</v>
      </c>
      <c r="B393" s="2">
        <v>392</v>
      </c>
      <c r="C393" s="4">
        <v>2653366.7999999998</v>
      </c>
      <c r="D393" s="4">
        <f t="shared" si="66"/>
        <v>1719304.04</v>
      </c>
      <c r="E393" s="2">
        <f t="shared" si="67"/>
        <v>667465.99496047827</v>
      </c>
      <c r="F393" s="2">
        <f t="shared" si="68"/>
        <v>934062.75999999978</v>
      </c>
      <c r="G393" s="4">
        <f t="shared" si="69"/>
        <v>1317154.6100000001</v>
      </c>
      <c r="H393" s="2">
        <f t="shared" si="73"/>
        <v>778298.97691724915</v>
      </c>
      <c r="I393" s="2">
        <f t="shared" si="74"/>
        <v>1336212.1899999997</v>
      </c>
      <c r="J393" s="4">
        <f t="shared" si="71"/>
        <v>1120875.6000000001</v>
      </c>
      <c r="K393" s="2">
        <f t="shared" ref="K393:K456" si="75">SQRT(SUMXMY2(C390:C393,J390:J393)/4)</f>
        <v>806764.73945723765</v>
      </c>
      <c r="L393" s="2">
        <f t="shared" ref="L393:L456" si="76">ABS(J393-C393)</f>
        <v>1532491.1999999997</v>
      </c>
      <c r="N393" s="4">
        <f t="shared" si="70"/>
        <v>608325.12295000011</v>
      </c>
      <c r="O393" s="2">
        <f t="shared" si="72"/>
        <v>2045041.6770499996</v>
      </c>
    </row>
    <row r="394" spans="1:15" x14ac:dyDescent="0.3">
      <c r="A394" s="50">
        <v>44223</v>
      </c>
      <c r="B394" s="2">
        <v>393</v>
      </c>
      <c r="C394" s="4">
        <v>779712.8</v>
      </c>
      <c r="D394" s="4">
        <f t="shared" si="66"/>
        <v>1716539.7999999998</v>
      </c>
      <c r="E394" s="2">
        <f t="shared" si="67"/>
        <v>935445.90104073274</v>
      </c>
      <c r="F394" s="2">
        <f t="shared" si="68"/>
        <v>936826.99999999977</v>
      </c>
      <c r="G394" s="4">
        <f t="shared" si="69"/>
        <v>1406106.96</v>
      </c>
      <c r="H394" s="2">
        <f t="shared" si="73"/>
        <v>858006.66796827549</v>
      </c>
      <c r="I394" s="2">
        <f t="shared" si="74"/>
        <v>626394.15999999992</v>
      </c>
      <c r="J394" s="4">
        <f t="shared" si="71"/>
        <v>1182794.1575</v>
      </c>
      <c r="K394" s="2">
        <f t="shared" si="75"/>
        <v>821479.38096077403</v>
      </c>
      <c r="L394" s="2">
        <f t="shared" si="76"/>
        <v>403081.35749999993</v>
      </c>
      <c r="N394" s="4">
        <f t="shared" si="70"/>
        <v>1351138.5126</v>
      </c>
      <c r="O394" s="2">
        <f t="shared" si="72"/>
        <v>571425.71259999997</v>
      </c>
    </row>
    <row r="395" spans="1:15" x14ac:dyDescent="0.3">
      <c r="A395" s="50">
        <v>44224</v>
      </c>
      <c r="B395" s="2">
        <v>394</v>
      </c>
      <c r="C395" s="4">
        <v>37848.799999999996</v>
      </c>
      <c r="D395" s="4">
        <f t="shared" si="66"/>
        <v>408780.80000000005</v>
      </c>
      <c r="E395" s="2">
        <f t="shared" si="67"/>
        <v>712472.93862749601</v>
      </c>
      <c r="F395" s="2">
        <f t="shared" si="68"/>
        <v>370932.00000000006</v>
      </c>
      <c r="G395" s="4">
        <f t="shared" si="69"/>
        <v>1156976.1333333331</v>
      </c>
      <c r="H395" s="2">
        <f t="shared" si="73"/>
        <v>1069311.0942097998</v>
      </c>
      <c r="I395" s="2">
        <f t="shared" si="74"/>
        <v>1119127.333333333</v>
      </c>
      <c r="J395" s="4">
        <f t="shared" si="71"/>
        <v>1064042.42</v>
      </c>
      <c r="K395" s="2">
        <f t="shared" si="75"/>
        <v>948195.98455603165</v>
      </c>
      <c r="L395" s="2">
        <f t="shared" si="76"/>
        <v>1026193.6199999999</v>
      </c>
      <c r="N395" s="4">
        <f t="shared" si="70"/>
        <v>1614705.0955999999</v>
      </c>
      <c r="O395" s="2">
        <f t="shared" si="72"/>
        <v>1576856.2955999998</v>
      </c>
    </row>
    <row r="396" spans="1:15" x14ac:dyDescent="0.3">
      <c r="A396" s="50">
        <v>44225</v>
      </c>
      <c r="B396" s="2">
        <v>395</v>
      </c>
      <c r="C396" s="4">
        <v>2597998.62</v>
      </c>
      <c r="D396" s="4">
        <f t="shared" si="66"/>
        <v>1317923.71</v>
      </c>
      <c r="E396" s="2">
        <f t="shared" si="67"/>
        <v>942385.88800859824</v>
      </c>
      <c r="F396" s="2">
        <f t="shared" si="68"/>
        <v>1280074.9100000001</v>
      </c>
      <c r="G396" s="4">
        <f t="shared" si="69"/>
        <v>1138520.0733333335</v>
      </c>
      <c r="H396" s="2">
        <f t="shared" si="73"/>
        <v>1121738.7188461977</v>
      </c>
      <c r="I396" s="2">
        <f t="shared" si="74"/>
        <v>1459478.5466666666</v>
      </c>
      <c r="J396" s="4">
        <f t="shared" si="71"/>
        <v>1517231.7549999999</v>
      </c>
      <c r="K396" s="2">
        <f t="shared" si="75"/>
        <v>1087673.459850441</v>
      </c>
      <c r="L396" s="2">
        <f t="shared" si="76"/>
        <v>1080766.8650000002</v>
      </c>
      <c r="N396" s="4">
        <f t="shared" si="70"/>
        <v>943392.24</v>
      </c>
      <c r="O396" s="2">
        <f t="shared" si="72"/>
        <v>1654606.3800000001</v>
      </c>
    </row>
    <row r="397" spans="1:15" x14ac:dyDescent="0.3">
      <c r="A397" s="50">
        <v>44226</v>
      </c>
      <c r="B397" s="2">
        <v>396</v>
      </c>
      <c r="C397" s="4">
        <v>1237255.8600000001</v>
      </c>
      <c r="D397" s="4">
        <f t="shared" si="66"/>
        <v>1917627.2400000002</v>
      </c>
      <c r="E397" s="2">
        <f t="shared" si="67"/>
        <v>1025060.2396773112</v>
      </c>
      <c r="F397" s="2">
        <f t="shared" si="68"/>
        <v>680371.38000000012</v>
      </c>
      <c r="G397" s="4">
        <f t="shared" si="69"/>
        <v>1291034.4266666668</v>
      </c>
      <c r="H397" s="2">
        <f t="shared" si="73"/>
        <v>1062295.5882783197</v>
      </c>
      <c r="I397" s="2">
        <f t="shared" si="74"/>
        <v>53778.566666666651</v>
      </c>
      <c r="J397" s="4">
        <f t="shared" si="71"/>
        <v>1163204.02</v>
      </c>
      <c r="K397" s="2">
        <f t="shared" si="75"/>
        <v>772833.84662908968</v>
      </c>
      <c r="L397" s="2">
        <f t="shared" si="76"/>
        <v>74051.840000000084</v>
      </c>
      <c r="N397" s="4">
        <f t="shared" si="70"/>
        <v>1058709.0697000001</v>
      </c>
      <c r="O397" s="2">
        <f t="shared" si="72"/>
        <v>178546.79029999999</v>
      </c>
    </row>
    <row r="398" spans="1:15" x14ac:dyDescent="0.3">
      <c r="A398" s="50">
        <v>44227</v>
      </c>
      <c r="B398" s="2">
        <v>397</v>
      </c>
      <c r="C398" s="4">
        <v>634807.52</v>
      </c>
      <c r="D398" s="4">
        <f t="shared" si="66"/>
        <v>936031.69000000006</v>
      </c>
      <c r="E398" s="2">
        <f t="shared" si="67"/>
        <v>526137.44179410639</v>
      </c>
      <c r="F398" s="2">
        <f t="shared" si="68"/>
        <v>301224.17000000004</v>
      </c>
      <c r="G398" s="4">
        <f t="shared" si="69"/>
        <v>1490020.6666666667</v>
      </c>
      <c r="H398" s="2">
        <f t="shared" si="73"/>
        <v>977131.7360254738</v>
      </c>
      <c r="I398" s="2">
        <f t="shared" si="74"/>
        <v>855213.14666666673</v>
      </c>
      <c r="J398" s="4">
        <f t="shared" si="71"/>
        <v>1126977.7000000002</v>
      </c>
      <c r="K398" s="2">
        <f t="shared" si="75"/>
        <v>785628.01682781952</v>
      </c>
      <c r="L398" s="2">
        <f t="shared" si="76"/>
        <v>492170.18000000017</v>
      </c>
      <c r="N398" s="4">
        <f t="shared" si="70"/>
        <v>1578916.8350000004</v>
      </c>
      <c r="O398" s="2">
        <f t="shared" si="72"/>
        <v>944109.31500000041</v>
      </c>
    </row>
    <row r="399" spans="1:15" x14ac:dyDescent="0.3">
      <c r="A399" s="50">
        <v>44228</v>
      </c>
      <c r="B399" s="2">
        <v>398</v>
      </c>
      <c r="C399" s="4">
        <v>72456.150000000009</v>
      </c>
      <c r="D399" s="4">
        <f t="shared" si="66"/>
        <v>353631.83500000002</v>
      </c>
      <c r="E399" s="2">
        <f t="shared" si="67"/>
        <v>291372.41326814739</v>
      </c>
      <c r="F399" s="2">
        <f t="shared" si="68"/>
        <v>281175.685</v>
      </c>
      <c r="G399" s="4">
        <f t="shared" si="69"/>
        <v>648173.17666666664</v>
      </c>
      <c r="H399" s="2">
        <f t="shared" si="73"/>
        <v>596023.42103257705</v>
      </c>
      <c r="I399" s="2">
        <f t="shared" si="74"/>
        <v>575717.02666666661</v>
      </c>
      <c r="J399" s="4">
        <f t="shared" si="71"/>
        <v>1135629.5375000001</v>
      </c>
      <c r="K399" s="2">
        <f t="shared" si="75"/>
        <v>797826.70885643654</v>
      </c>
      <c r="L399" s="2">
        <f t="shared" si="76"/>
        <v>1063173.3875000002</v>
      </c>
      <c r="N399" s="4">
        <f t="shared" si="70"/>
        <v>1334799.0733</v>
      </c>
      <c r="O399" s="2">
        <f t="shared" si="72"/>
        <v>1262342.9233000001</v>
      </c>
    </row>
    <row r="400" spans="1:15" x14ac:dyDescent="0.3">
      <c r="A400" s="50">
        <v>44229</v>
      </c>
      <c r="B400" s="2">
        <v>399</v>
      </c>
      <c r="C400" s="4">
        <v>648770.16</v>
      </c>
      <c r="D400" s="4">
        <f t="shared" si="66"/>
        <v>360613.15500000003</v>
      </c>
      <c r="E400" s="2">
        <f t="shared" si="67"/>
        <v>284687.74593033438</v>
      </c>
      <c r="F400" s="2">
        <f t="shared" si="68"/>
        <v>288157.005</v>
      </c>
      <c r="G400" s="4">
        <f t="shared" si="69"/>
        <v>452011.27666666667</v>
      </c>
      <c r="H400" s="2">
        <f t="shared" si="73"/>
        <v>605957.55604827334</v>
      </c>
      <c r="I400" s="2">
        <f t="shared" si="74"/>
        <v>196758.88333333336</v>
      </c>
      <c r="J400" s="4">
        <f t="shared" si="71"/>
        <v>648322.42249999999</v>
      </c>
      <c r="K400" s="2">
        <f t="shared" si="75"/>
        <v>586952.51371931972</v>
      </c>
      <c r="L400" s="2">
        <f t="shared" si="76"/>
        <v>447.73750000004657</v>
      </c>
      <c r="N400" s="4">
        <f t="shared" si="70"/>
        <v>578958.44585000002</v>
      </c>
      <c r="O400" s="2">
        <f t="shared" si="72"/>
        <v>69811.714150000014</v>
      </c>
    </row>
    <row r="401" spans="1:15" x14ac:dyDescent="0.3">
      <c r="A401" s="50">
        <v>44230</v>
      </c>
      <c r="B401" s="2">
        <v>400</v>
      </c>
      <c r="C401" s="4">
        <v>3310100.43</v>
      </c>
      <c r="D401" s="4">
        <f t="shared" si="66"/>
        <v>1979435.2950000002</v>
      </c>
      <c r="E401" s="2">
        <f t="shared" si="67"/>
        <v>962731.57241131819</v>
      </c>
      <c r="F401" s="2">
        <f t="shared" si="68"/>
        <v>1330665.135</v>
      </c>
      <c r="G401" s="4">
        <f t="shared" si="69"/>
        <v>1343775.58</v>
      </c>
      <c r="H401" s="2">
        <f t="shared" si="73"/>
        <v>1188359.8737604714</v>
      </c>
      <c r="I401" s="2">
        <f t="shared" si="74"/>
        <v>1966324.85</v>
      </c>
      <c r="J401" s="4">
        <f t="shared" si="71"/>
        <v>1166533.5649999999</v>
      </c>
      <c r="K401" s="2">
        <f t="shared" si="75"/>
        <v>1221418.0532442869</v>
      </c>
      <c r="L401" s="2">
        <f t="shared" si="76"/>
        <v>2143566.8650000002</v>
      </c>
      <c r="N401" s="4">
        <f t="shared" si="70"/>
        <v>389238.64475000004</v>
      </c>
      <c r="O401" s="2">
        <f t="shared" si="72"/>
        <v>2920861.7852500002</v>
      </c>
    </row>
    <row r="402" spans="1:15" x14ac:dyDescent="0.3">
      <c r="A402" s="50">
        <v>44231</v>
      </c>
      <c r="B402" s="2">
        <v>401</v>
      </c>
      <c r="C402" s="4">
        <v>235061.28</v>
      </c>
      <c r="D402" s="4">
        <f t="shared" si="66"/>
        <v>1772580.855</v>
      </c>
      <c r="E402" s="2">
        <f t="shared" si="67"/>
        <v>1437817.1206750788</v>
      </c>
      <c r="F402" s="2">
        <f t="shared" si="68"/>
        <v>1537519.575</v>
      </c>
      <c r="G402" s="4">
        <f t="shared" si="69"/>
        <v>1397977.29</v>
      </c>
      <c r="H402" s="2">
        <f t="shared" si="73"/>
        <v>1323822.8884827485</v>
      </c>
      <c r="I402" s="2">
        <f t="shared" si="74"/>
        <v>1162916.01</v>
      </c>
      <c r="J402" s="4">
        <f t="shared" si="71"/>
        <v>1066597.0050000001</v>
      </c>
      <c r="K402" s="2">
        <f t="shared" si="75"/>
        <v>1266557.1857435314</v>
      </c>
      <c r="L402" s="2">
        <f t="shared" si="76"/>
        <v>831535.72500000009</v>
      </c>
      <c r="N402" s="4">
        <f t="shared" si="70"/>
        <v>1413526.7182500004</v>
      </c>
      <c r="O402" s="2">
        <f t="shared" si="72"/>
        <v>1178465.4382500004</v>
      </c>
    </row>
    <row r="403" spans="1:15" x14ac:dyDescent="0.3">
      <c r="A403" s="50">
        <v>44232</v>
      </c>
      <c r="B403" s="2">
        <v>402</v>
      </c>
      <c r="C403" s="4">
        <v>865200.96</v>
      </c>
      <c r="D403" s="4">
        <f t="shared" si="66"/>
        <v>550131.12</v>
      </c>
      <c r="E403" s="2">
        <f t="shared" si="67"/>
        <v>1109782.7372026036</v>
      </c>
      <c r="F403" s="2">
        <f t="shared" si="68"/>
        <v>315069.83999999997</v>
      </c>
      <c r="G403" s="4">
        <f t="shared" si="69"/>
        <v>1470120.89</v>
      </c>
      <c r="H403" s="2">
        <f t="shared" si="73"/>
        <v>1364396.7145168406</v>
      </c>
      <c r="I403" s="2">
        <f t="shared" si="74"/>
        <v>604919.92999999993</v>
      </c>
      <c r="J403" s="4">
        <f t="shared" si="71"/>
        <v>1264783.2075</v>
      </c>
      <c r="K403" s="2">
        <f t="shared" si="75"/>
        <v>1166832.9721583147</v>
      </c>
      <c r="L403" s="2">
        <f t="shared" si="76"/>
        <v>399582.24750000006</v>
      </c>
      <c r="N403" s="4">
        <f t="shared" si="70"/>
        <v>1694469.6553499999</v>
      </c>
      <c r="O403" s="2">
        <f t="shared" si="72"/>
        <v>829268.69534999994</v>
      </c>
    </row>
    <row r="404" spans="1:15" x14ac:dyDescent="0.3">
      <c r="A404" s="50">
        <v>44233</v>
      </c>
      <c r="B404" s="2">
        <v>403</v>
      </c>
      <c r="C404" s="4">
        <v>24920.43</v>
      </c>
      <c r="D404" s="4">
        <f t="shared" si="66"/>
        <v>445060.69500000001</v>
      </c>
      <c r="E404" s="2">
        <f t="shared" si="67"/>
        <v>371340.03713032062</v>
      </c>
      <c r="F404" s="2">
        <f t="shared" si="68"/>
        <v>420140.26500000001</v>
      </c>
      <c r="G404" s="4">
        <f t="shared" si="69"/>
        <v>375060.88999999996</v>
      </c>
      <c r="H404" s="2">
        <f t="shared" si="73"/>
        <v>783347.54095368099</v>
      </c>
      <c r="I404" s="2">
        <f t="shared" si="74"/>
        <v>350140.45999999996</v>
      </c>
      <c r="J404" s="4">
        <f t="shared" si="71"/>
        <v>1108820.7749999999</v>
      </c>
      <c r="K404" s="2">
        <f t="shared" si="75"/>
        <v>1286549.3089156623</v>
      </c>
      <c r="L404" s="2">
        <f t="shared" si="76"/>
        <v>1083900.345</v>
      </c>
      <c r="N404" s="4">
        <f t="shared" si="70"/>
        <v>1122666.6858000001</v>
      </c>
      <c r="O404" s="2">
        <f t="shared" si="72"/>
        <v>1097746.2558000002</v>
      </c>
    </row>
    <row r="405" spans="1:15" x14ac:dyDescent="0.3">
      <c r="A405" s="50">
        <v>44234</v>
      </c>
      <c r="B405" s="2">
        <v>404</v>
      </c>
      <c r="C405" s="4">
        <v>387248.04000000004</v>
      </c>
      <c r="D405" s="4">
        <f t="shared" si="66"/>
        <v>206084.23500000002</v>
      </c>
      <c r="E405" s="2">
        <f t="shared" si="67"/>
        <v>323526.01635444118</v>
      </c>
      <c r="F405" s="2">
        <f t="shared" si="68"/>
        <v>181163.80500000002</v>
      </c>
      <c r="G405" s="4">
        <f t="shared" si="69"/>
        <v>425789.81000000006</v>
      </c>
      <c r="H405" s="2">
        <f t="shared" si="73"/>
        <v>404150.10886012361</v>
      </c>
      <c r="I405" s="2">
        <f t="shared" si="74"/>
        <v>38541.770000000019</v>
      </c>
      <c r="J405" s="4">
        <f t="shared" si="71"/>
        <v>378107.67749999999</v>
      </c>
      <c r="K405" s="2">
        <f t="shared" si="75"/>
        <v>711695.35943867464</v>
      </c>
      <c r="L405" s="2">
        <f t="shared" si="76"/>
        <v>9140.3625000000466</v>
      </c>
      <c r="N405" s="4">
        <f t="shared" si="70"/>
        <v>445076.25285000005</v>
      </c>
      <c r="O405" s="2">
        <f t="shared" si="72"/>
        <v>57828.212850000011</v>
      </c>
    </row>
    <row r="406" spans="1:15" x14ac:dyDescent="0.3">
      <c r="A406" s="50">
        <v>44235</v>
      </c>
      <c r="B406" s="2">
        <v>405</v>
      </c>
      <c r="C406" s="4">
        <v>224902.92</v>
      </c>
      <c r="D406" s="4">
        <f t="shared" si="66"/>
        <v>306075.48000000004</v>
      </c>
      <c r="E406" s="2">
        <f t="shared" si="67"/>
        <v>140373.26800183795</v>
      </c>
      <c r="F406" s="2">
        <f t="shared" si="68"/>
        <v>81172.560000000027</v>
      </c>
      <c r="G406" s="4">
        <f t="shared" si="69"/>
        <v>212357.13</v>
      </c>
      <c r="H406" s="2">
        <f t="shared" si="73"/>
        <v>203503.64993489149</v>
      </c>
      <c r="I406" s="2">
        <f t="shared" si="74"/>
        <v>12545.790000000008</v>
      </c>
      <c r="J406" s="4">
        <f t="shared" si="71"/>
        <v>375568.08750000002</v>
      </c>
      <c r="K406" s="2">
        <f t="shared" si="75"/>
        <v>582513.83445646695</v>
      </c>
      <c r="L406" s="2">
        <f t="shared" si="76"/>
        <v>150665.16750000001</v>
      </c>
      <c r="N406" s="4">
        <f t="shared" si="70"/>
        <v>331161.89595000003</v>
      </c>
      <c r="O406" s="2">
        <f t="shared" si="72"/>
        <v>106258.97595000002</v>
      </c>
    </row>
    <row r="407" spans="1:15" x14ac:dyDescent="0.3">
      <c r="A407" s="50">
        <v>44236</v>
      </c>
      <c r="B407" s="2">
        <v>406</v>
      </c>
      <c r="C407" s="4">
        <v>5189116.55</v>
      </c>
      <c r="D407" s="4">
        <f t="shared" si="66"/>
        <v>2707009.7349999999</v>
      </c>
      <c r="E407" s="2">
        <f t="shared" si="67"/>
        <v>1756052.850224958</v>
      </c>
      <c r="F407" s="2">
        <f t="shared" si="68"/>
        <v>2482106.8149999999</v>
      </c>
      <c r="G407" s="4">
        <f t="shared" si="69"/>
        <v>1933755.8366666667</v>
      </c>
      <c r="H407" s="2">
        <f t="shared" si="73"/>
        <v>1879629.0625897052</v>
      </c>
      <c r="I407" s="2">
        <f t="shared" si="74"/>
        <v>3255360.7133333329</v>
      </c>
      <c r="J407" s="4">
        <f t="shared" si="71"/>
        <v>1456546.9849999999</v>
      </c>
      <c r="K407" s="2">
        <f t="shared" si="75"/>
        <v>1944845.6914611403</v>
      </c>
      <c r="L407" s="2">
        <f t="shared" si="76"/>
        <v>3732569.5649999999</v>
      </c>
      <c r="N407" s="4">
        <f t="shared" si="70"/>
        <v>253150.35060000003</v>
      </c>
      <c r="O407" s="2">
        <f t="shared" si="72"/>
        <v>4935966.1993999993</v>
      </c>
    </row>
    <row r="408" spans="1:15" x14ac:dyDescent="0.3">
      <c r="A408" s="50">
        <v>44237</v>
      </c>
      <c r="B408" s="2">
        <v>407</v>
      </c>
      <c r="C408" s="4">
        <v>1026405.66</v>
      </c>
      <c r="D408" s="4">
        <f t="shared" si="66"/>
        <v>3107761.105</v>
      </c>
      <c r="E408" s="2">
        <f t="shared" si="67"/>
        <v>2290512.467713349</v>
      </c>
      <c r="F408" s="2">
        <f t="shared" si="68"/>
        <v>2081355.4449999998</v>
      </c>
      <c r="G408" s="4">
        <f t="shared" si="69"/>
        <v>2146808.3766666665</v>
      </c>
      <c r="H408" s="2">
        <f t="shared" si="73"/>
        <v>1987698.2516028329</v>
      </c>
      <c r="I408" s="2">
        <f t="shared" si="74"/>
        <v>1120402.7166666663</v>
      </c>
      <c r="J408" s="4">
        <f t="shared" si="71"/>
        <v>1706918.2925</v>
      </c>
      <c r="K408" s="2">
        <f t="shared" si="75"/>
        <v>1898549.2184481814</v>
      </c>
      <c r="L408" s="2">
        <f t="shared" si="76"/>
        <v>680512.63249999995</v>
      </c>
      <c r="N408" s="4">
        <f t="shared" si="70"/>
        <v>1923630.4124499999</v>
      </c>
      <c r="O408" s="2">
        <f t="shared" si="72"/>
        <v>897224.75244999991</v>
      </c>
    </row>
    <row r="409" spans="1:15" x14ac:dyDescent="0.3">
      <c r="A409" s="50">
        <v>44238</v>
      </c>
      <c r="B409" s="2">
        <v>408</v>
      </c>
      <c r="C409" s="4">
        <v>466596.57</v>
      </c>
      <c r="D409" s="4">
        <f t="shared" si="66"/>
        <v>746501.11499999999</v>
      </c>
      <c r="E409" s="2">
        <f t="shared" si="67"/>
        <v>1484989.4010973284</v>
      </c>
      <c r="F409" s="2">
        <f t="shared" si="68"/>
        <v>279904.54499999998</v>
      </c>
      <c r="G409" s="4">
        <f t="shared" si="69"/>
        <v>2227372.9266666668</v>
      </c>
      <c r="H409" s="2">
        <f t="shared" si="73"/>
        <v>2232562.7277208054</v>
      </c>
      <c r="I409" s="2">
        <f t="shared" si="74"/>
        <v>1760776.3566666667</v>
      </c>
      <c r="J409" s="4">
        <f t="shared" si="71"/>
        <v>1726755.425</v>
      </c>
      <c r="K409" s="2">
        <f t="shared" si="75"/>
        <v>2000367.0496367086</v>
      </c>
      <c r="L409" s="2">
        <f t="shared" si="76"/>
        <v>1260158.855</v>
      </c>
      <c r="N409" s="4">
        <f t="shared" si="70"/>
        <v>2702481.40325</v>
      </c>
      <c r="O409" s="2">
        <f t="shared" si="72"/>
        <v>2235884.8332500001</v>
      </c>
    </row>
    <row r="410" spans="1:15" x14ac:dyDescent="0.3">
      <c r="A410" s="50">
        <v>44239</v>
      </c>
      <c r="B410" s="2">
        <v>409</v>
      </c>
      <c r="C410" s="4">
        <v>84819.03</v>
      </c>
      <c r="D410" s="4">
        <f t="shared" si="66"/>
        <v>275707.8</v>
      </c>
      <c r="E410" s="2">
        <f t="shared" si="67"/>
        <v>239567.39847459411</v>
      </c>
      <c r="F410" s="2">
        <f t="shared" si="68"/>
        <v>190888.77</v>
      </c>
      <c r="G410" s="4">
        <f t="shared" si="69"/>
        <v>525940.42000000004</v>
      </c>
      <c r="H410" s="2">
        <f t="shared" si="73"/>
        <v>1231560.4879482398</v>
      </c>
      <c r="I410" s="2">
        <f t="shared" si="74"/>
        <v>441121.39</v>
      </c>
      <c r="J410" s="4">
        <f t="shared" si="71"/>
        <v>1691734.4525000001</v>
      </c>
      <c r="K410" s="2">
        <f t="shared" si="75"/>
        <v>2154376.3897854313</v>
      </c>
      <c r="L410" s="2">
        <f t="shared" si="76"/>
        <v>1606915.4225000001</v>
      </c>
      <c r="N410" s="4">
        <f t="shared" si="70"/>
        <v>1754666.0106500001</v>
      </c>
      <c r="O410" s="2">
        <f t="shared" si="72"/>
        <v>1669846.98065</v>
      </c>
    </row>
    <row r="411" spans="1:15" x14ac:dyDescent="0.3">
      <c r="A411" s="50">
        <v>44240</v>
      </c>
      <c r="B411" s="2">
        <v>410</v>
      </c>
      <c r="C411" s="4">
        <v>155873.25</v>
      </c>
      <c r="D411" s="4">
        <f t="shared" si="66"/>
        <v>120346.14</v>
      </c>
      <c r="E411" s="2">
        <f t="shared" si="67"/>
        <v>137296.57325852127</v>
      </c>
      <c r="F411" s="2">
        <f t="shared" si="68"/>
        <v>35527.11</v>
      </c>
      <c r="G411" s="4">
        <f t="shared" si="69"/>
        <v>235762.94999999998</v>
      </c>
      <c r="H411" s="2">
        <f t="shared" si="73"/>
        <v>1049016.0187969746</v>
      </c>
      <c r="I411" s="2">
        <f t="shared" si="74"/>
        <v>79889.699999999983</v>
      </c>
      <c r="J411" s="4">
        <f t="shared" si="71"/>
        <v>433423.6275</v>
      </c>
      <c r="K411" s="2">
        <f t="shared" si="75"/>
        <v>1085162.3346239191</v>
      </c>
      <c r="L411" s="2">
        <f t="shared" si="76"/>
        <v>277550.3775</v>
      </c>
      <c r="N411" s="4">
        <f t="shared" si="70"/>
        <v>461859.09389999998</v>
      </c>
      <c r="O411" s="2">
        <f t="shared" si="72"/>
        <v>305985.84389999998</v>
      </c>
    </row>
    <row r="412" spans="1:15" x14ac:dyDescent="0.3">
      <c r="A412" s="50">
        <v>44241</v>
      </c>
      <c r="B412" s="2">
        <v>411</v>
      </c>
      <c r="C412" s="4">
        <v>82183.400000000009</v>
      </c>
      <c r="D412" s="4">
        <f t="shared" si="66"/>
        <v>119028.32500000001</v>
      </c>
      <c r="E412" s="2">
        <f t="shared" si="67"/>
        <v>36192.015992534361</v>
      </c>
      <c r="F412" s="2">
        <f t="shared" si="68"/>
        <v>36844.925000000003</v>
      </c>
      <c r="G412" s="4">
        <f t="shared" si="69"/>
        <v>107625.22666666667</v>
      </c>
      <c r="H412" s="2">
        <f t="shared" si="73"/>
        <v>259241.02776229873</v>
      </c>
      <c r="I412" s="2">
        <f t="shared" si="74"/>
        <v>25441.82666666666</v>
      </c>
      <c r="J412" s="4">
        <f t="shared" si="71"/>
        <v>197368.0625</v>
      </c>
      <c r="K412" s="2">
        <f t="shared" si="75"/>
        <v>1032046.4177338266</v>
      </c>
      <c r="L412" s="2">
        <f t="shared" si="76"/>
        <v>115184.66249999999</v>
      </c>
      <c r="N412" s="4">
        <f t="shared" si="70"/>
        <v>192613.2525</v>
      </c>
      <c r="O412" s="2">
        <f t="shared" si="72"/>
        <v>110429.85249999999</v>
      </c>
    </row>
    <row r="413" spans="1:15" x14ac:dyDescent="0.3">
      <c r="A413" s="50">
        <v>44242</v>
      </c>
      <c r="B413" s="2">
        <v>412</v>
      </c>
      <c r="C413" s="4">
        <v>2529058.96</v>
      </c>
      <c r="D413" s="4">
        <f t="shared" si="66"/>
        <v>1305621.18</v>
      </c>
      <c r="E413" s="2">
        <f t="shared" si="67"/>
        <v>865493.37086704024</v>
      </c>
      <c r="F413" s="2">
        <f t="shared" si="68"/>
        <v>1223437.78</v>
      </c>
      <c r="G413" s="4">
        <f t="shared" si="69"/>
        <v>922371.87</v>
      </c>
      <c r="H413" s="2">
        <f t="shared" si="73"/>
        <v>928883.38986170094</v>
      </c>
      <c r="I413" s="2">
        <f t="shared" si="74"/>
        <v>1606687.0899999999</v>
      </c>
      <c r="J413" s="4">
        <f t="shared" si="71"/>
        <v>712983.66</v>
      </c>
      <c r="K413" s="2">
        <f t="shared" si="75"/>
        <v>1221741.4199477804</v>
      </c>
      <c r="L413" s="2">
        <f t="shared" si="76"/>
        <v>1816075.2999999998</v>
      </c>
      <c r="N413" s="4">
        <f t="shared" si="70"/>
        <v>115555.22185</v>
      </c>
      <c r="O413" s="2">
        <f t="shared" si="72"/>
        <v>2413503.7381500001</v>
      </c>
    </row>
    <row r="414" spans="1:15" x14ac:dyDescent="0.3">
      <c r="A414" s="50">
        <v>44243</v>
      </c>
      <c r="B414" s="2">
        <v>413</v>
      </c>
      <c r="C414" s="4">
        <v>2929.62</v>
      </c>
      <c r="D414" s="4">
        <f t="shared" si="66"/>
        <v>1265994.29</v>
      </c>
      <c r="E414" s="2">
        <f t="shared" si="67"/>
        <v>1243409.0964227214</v>
      </c>
      <c r="F414" s="2">
        <f t="shared" si="68"/>
        <v>1263064.67</v>
      </c>
      <c r="G414" s="4">
        <f t="shared" si="69"/>
        <v>871390.66</v>
      </c>
      <c r="H414" s="2">
        <f t="shared" si="73"/>
        <v>1054563.9335312464</v>
      </c>
      <c r="I414" s="2">
        <f t="shared" si="74"/>
        <v>868461.04</v>
      </c>
      <c r="J414" s="4">
        <f t="shared" si="71"/>
        <v>692511.3075</v>
      </c>
      <c r="K414" s="2">
        <f t="shared" si="75"/>
        <v>982847.15463940124</v>
      </c>
      <c r="L414" s="2">
        <f t="shared" si="76"/>
        <v>689581.6875</v>
      </c>
      <c r="N414" s="4">
        <f t="shared" si="70"/>
        <v>918098.47959999996</v>
      </c>
      <c r="O414" s="2">
        <f t="shared" si="72"/>
        <v>915168.85959999997</v>
      </c>
    </row>
    <row r="415" spans="1:15" x14ac:dyDescent="0.3">
      <c r="A415" s="50">
        <v>44244</v>
      </c>
      <c r="B415" s="2">
        <v>414</v>
      </c>
      <c r="C415" s="4">
        <v>3159534.21</v>
      </c>
      <c r="D415" s="4">
        <f t="shared" si="66"/>
        <v>1581231.915</v>
      </c>
      <c r="E415" s="2">
        <f t="shared" si="67"/>
        <v>1429400.310445691</v>
      </c>
      <c r="F415" s="2">
        <f t="shared" si="68"/>
        <v>1578302.2949999999</v>
      </c>
      <c r="G415" s="4">
        <f t="shared" si="69"/>
        <v>1897174.2633333334</v>
      </c>
      <c r="H415" s="2">
        <f t="shared" si="73"/>
        <v>1281824.3012881833</v>
      </c>
      <c r="I415" s="2">
        <f t="shared" si="74"/>
        <v>1262359.9466666665</v>
      </c>
      <c r="J415" s="4">
        <f t="shared" si="71"/>
        <v>1443426.5474999999</v>
      </c>
      <c r="K415" s="2">
        <f t="shared" si="75"/>
        <v>1297299.6391323681</v>
      </c>
      <c r="L415" s="2">
        <f t="shared" si="76"/>
        <v>1716107.6625000001</v>
      </c>
      <c r="N415" s="4">
        <f t="shared" si="70"/>
        <v>1144493.0079000001</v>
      </c>
      <c r="O415" s="2">
        <f t="shared" si="72"/>
        <v>2015041.2020999999</v>
      </c>
    </row>
    <row r="416" spans="1:15" x14ac:dyDescent="0.3">
      <c r="A416" s="50">
        <v>44245</v>
      </c>
      <c r="B416" s="2">
        <v>415</v>
      </c>
      <c r="C416" s="4">
        <v>2004810</v>
      </c>
      <c r="D416" s="4">
        <f t="shared" si="66"/>
        <v>2582172.105</v>
      </c>
      <c r="E416" s="2">
        <f t="shared" si="67"/>
        <v>1188357.087472511</v>
      </c>
      <c r="F416" s="2">
        <f t="shared" si="68"/>
        <v>577362.10499999998</v>
      </c>
      <c r="G416" s="4">
        <f t="shared" si="69"/>
        <v>1722424.61</v>
      </c>
      <c r="H416" s="2">
        <f t="shared" si="73"/>
        <v>899540.38661077782</v>
      </c>
      <c r="I416" s="2">
        <f t="shared" si="74"/>
        <v>282385.3899999999</v>
      </c>
      <c r="J416" s="4">
        <f t="shared" si="71"/>
        <v>1924083.1975</v>
      </c>
      <c r="K416" s="2">
        <f t="shared" si="75"/>
        <v>1296649.0200646555</v>
      </c>
      <c r="L416" s="2">
        <f t="shared" si="76"/>
        <v>80726.802499999991</v>
      </c>
      <c r="N416" s="4">
        <f t="shared" si="70"/>
        <v>1616140.6124500001</v>
      </c>
      <c r="O416" s="2">
        <f t="shared" si="72"/>
        <v>388669.38754999987</v>
      </c>
    </row>
    <row r="417" spans="1:15" x14ac:dyDescent="0.3">
      <c r="A417" s="50">
        <v>44246</v>
      </c>
      <c r="B417" s="2">
        <v>416</v>
      </c>
      <c r="C417" s="4">
        <v>4151.8500000000004</v>
      </c>
      <c r="D417" s="4">
        <f t="shared" si="66"/>
        <v>1004480.925</v>
      </c>
      <c r="E417" s="2">
        <f t="shared" si="67"/>
        <v>816702.2892646949</v>
      </c>
      <c r="F417" s="2">
        <f t="shared" si="68"/>
        <v>1000329.0750000001</v>
      </c>
      <c r="G417" s="4">
        <f t="shared" si="69"/>
        <v>1722832.0199999998</v>
      </c>
      <c r="H417" s="2">
        <f t="shared" si="73"/>
        <v>1241928.0266565301</v>
      </c>
      <c r="I417" s="2">
        <f t="shared" si="74"/>
        <v>1718680.1699999997</v>
      </c>
      <c r="J417" s="4">
        <f t="shared" si="71"/>
        <v>1292856.42</v>
      </c>
      <c r="K417" s="2">
        <f t="shared" si="75"/>
        <v>1127810.3451386807</v>
      </c>
      <c r="L417" s="2">
        <f t="shared" si="76"/>
        <v>1288704.5699999998</v>
      </c>
      <c r="N417" s="4">
        <f t="shared" si="70"/>
        <v>2078248.5898500001</v>
      </c>
      <c r="O417" s="2">
        <f t="shared" si="72"/>
        <v>2074096.73985</v>
      </c>
    </row>
    <row r="418" spans="1:15" x14ac:dyDescent="0.3">
      <c r="A418" s="50">
        <v>44247</v>
      </c>
      <c r="B418" s="2">
        <v>417</v>
      </c>
      <c r="C418" s="4">
        <v>93593.5</v>
      </c>
      <c r="D418" s="4">
        <f t="shared" si="66"/>
        <v>48872.675000000003</v>
      </c>
      <c r="E418" s="2">
        <f t="shared" si="67"/>
        <v>708045.9767836536</v>
      </c>
      <c r="F418" s="2">
        <f t="shared" si="68"/>
        <v>44720.824999999997</v>
      </c>
      <c r="G418" s="4">
        <f t="shared" si="69"/>
        <v>700851.78333333333</v>
      </c>
      <c r="H418" s="2">
        <f t="shared" si="73"/>
        <v>1064951.5885575311</v>
      </c>
      <c r="I418" s="2">
        <f t="shared" si="74"/>
        <v>607258.28333333333</v>
      </c>
      <c r="J418" s="4">
        <f t="shared" si="71"/>
        <v>1315522.3899999999</v>
      </c>
      <c r="K418" s="2">
        <f t="shared" si="75"/>
        <v>1235456.5964541819</v>
      </c>
      <c r="L418" s="2">
        <f t="shared" si="76"/>
        <v>1221928.8899999999</v>
      </c>
      <c r="N418" s="4">
        <f t="shared" si="70"/>
        <v>1588628.84595</v>
      </c>
      <c r="O418" s="2">
        <f t="shared" si="72"/>
        <v>1495035.34595</v>
      </c>
    </row>
    <row r="419" spans="1:15" x14ac:dyDescent="0.3">
      <c r="A419" s="50">
        <v>44248</v>
      </c>
      <c r="B419" s="2">
        <v>418</v>
      </c>
      <c r="C419" s="4">
        <v>465043.7</v>
      </c>
      <c r="D419" s="4">
        <f t="shared" si="66"/>
        <v>279318.59999999998</v>
      </c>
      <c r="E419" s="2">
        <f t="shared" si="67"/>
        <v>135081.0219066517</v>
      </c>
      <c r="F419" s="2">
        <f t="shared" si="68"/>
        <v>185725.10000000003</v>
      </c>
      <c r="G419" s="4">
        <f t="shared" si="69"/>
        <v>187596.35</v>
      </c>
      <c r="H419" s="2">
        <f t="shared" si="73"/>
        <v>1064518.8555477692</v>
      </c>
      <c r="I419" s="2">
        <f t="shared" si="74"/>
        <v>277447.34999999998</v>
      </c>
      <c r="J419" s="4">
        <f t="shared" si="71"/>
        <v>641899.76250000007</v>
      </c>
      <c r="K419" s="2">
        <f t="shared" si="75"/>
        <v>893261.51887904515</v>
      </c>
      <c r="L419" s="2">
        <f t="shared" si="76"/>
        <v>176856.06250000006</v>
      </c>
      <c r="N419" s="4">
        <f t="shared" si="70"/>
        <v>474259.59575000004</v>
      </c>
      <c r="O419" s="2">
        <f t="shared" si="72"/>
        <v>9215.8957500000251</v>
      </c>
    </row>
    <row r="420" spans="1:15" x14ac:dyDescent="0.3">
      <c r="A420" s="50">
        <v>44249</v>
      </c>
      <c r="B420" s="2">
        <v>419</v>
      </c>
      <c r="C420" s="4">
        <v>900172.58</v>
      </c>
      <c r="D420" s="4">
        <f t="shared" si="66"/>
        <v>682608.14</v>
      </c>
      <c r="E420" s="2">
        <f t="shared" si="67"/>
        <v>202272.21549501503</v>
      </c>
      <c r="F420" s="2">
        <f t="shared" si="68"/>
        <v>217564.43999999994</v>
      </c>
      <c r="G420" s="4">
        <f t="shared" si="69"/>
        <v>486269.92666666658</v>
      </c>
      <c r="H420" s="2">
        <f t="shared" si="73"/>
        <v>453525.10446330055</v>
      </c>
      <c r="I420" s="2">
        <f t="shared" si="74"/>
        <v>413902.65333333338</v>
      </c>
      <c r="J420" s="4">
        <f t="shared" si="71"/>
        <v>365740.40749999997</v>
      </c>
      <c r="K420" s="2">
        <f t="shared" si="75"/>
        <v>931499.52962972433</v>
      </c>
      <c r="L420" s="2">
        <f t="shared" si="76"/>
        <v>534432.17249999999</v>
      </c>
      <c r="N420" s="4">
        <f t="shared" si="70"/>
        <v>198352.15400000001</v>
      </c>
      <c r="O420" s="2">
        <f t="shared" si="72"/>
        <v>701820.42599999998</v>
      </c>
    </row>
    <row r="421" spans="1:15" x14ac:dyDescent="0.3">
      <c r="A421" s="50">
        <v>44250</v>
      </c>
      <c r="B421" s="2">
        <v>420</v>
      </c>
      <c r="C421" s="4">
        <v>215522.01</v>
      </c>
      <c r="D421" s="4">
        <f t="shared" si="66"/>
        <v>557847.29499999993</v>
      </c>
      <c r="E421" s="2">
        <f t="shared" si="67"/>
        <v>286810.8142163094</v>
      </c>
      <c r="F421" s="2">
        <f t="shared" si="68"/>
        <v>342325.28499999992</v>
      </c>
      <c r="G421" s="4">
        <f t="shared" si="69"/>
        <v>526912.76333333331</v>
      </c>
      <c r="H421" s="2">
        <f t="shared" si="73"/>
        <v>339242.60724929429</v>
      </c>
      <c r="I421" s="2">
        <f t="shared" si="74"/>
        <v>311390.7533333333</v>
      </c>
      <c r="J421" s="4">
        <f t="shared" si="71"/>
        <v>418582.94749999995</v>
      </c>
      <c r="K421" s="2">
        <f t="shared" si="75"/>
        <v>680301.3616040108</v>
      </c>
      <c r="L421" s="2">
        <f t="shared" si="76"/>
        <v>203060.93749999994</v>
      </c>
      <c r="N421" s="4">
        <f t="shared" si="70"/>
        <v>529092.8308</v>
      </c>
      <c r="O421" s="2">
        <f t="shared" si="72"/>
        <v>313570.82079999999</v>
      </c>
    </row>
    <row r="422" spans="1:15" x14ac:dyDescent="0.3">
      <c r="A422" s="50">
        <v>44251</v>
      </c>
      <c r="B422" s="2">
        <v>421</v>
      </c>
      <c r="C422" s="4">
        <v>229041.15000000002</v>
      </c>
      <c r="D422" s="4">
        <f t="shared" si="66"/>
        <v>222281.58000000002</v>
      </c>
      <c r="E422" s="2">
        <f t="shared" si="67"/>
        <v>242107.71625137856</v>
      </c>
      <c r="F422" s="2">
        <f t="shared" si="68"/>
        <v>6759.570000000007</v>
      </c>
      <c r="G422" s="4">
        <f t="shared" si="69"/>
        <v>448245.24666666659</v>
      </c>
      <c r="H422" s="2">
        <f t="shared" si="73"/>
        <v>324720.41496920784</v>
      </c>
      <c r="I422" s="2">
        <f t="shared" si="74"/>
        <v>219204.09666666656</v>
      </c>
      <c r="J422" s="4">
        <f t="shared" si="71"/>
        <v>452444.86</v>
      </c>
      <c r="K422" s="2">
        <f t="shared" si="75"/>
        <v>319389.56457053224</v>
      </c>
      <c r="L422" s="2">
        <f t="shared" si="76"/>
        <v>223403.70999999996</v>
      </c>
      <c r="N422" s="4">
        <f t="shared" si="70"/>
        <v>575086.28544999997</v>
      </c>
      <c r="O422" s="2">
        <f t="shared" si="72"/>
        <v>346045.13544999994</v>
      </c>
    </row>
    <row r="423" spans="1:15" x14ac:dyDescent="0.3">
      <c r="A423" s="50">
        <v>44252</v>
      </c>
      <c r="B423" s="2">
        <v>422</v>
      </c>
      <c r="C423" s="4">
        <v>492992</v>
      </c>
      <c r="D423" s="4">
        <f t="shared" si="66"/>
        <v>361016.57500000001</v>
      </c>
      <c r="E423" s="2">
        <f t="shared" si="67"/>
        <v>93443.043054353489</v>
      </c>
      <c r="F423" s="2">
        <f t="shared" si="68"/>
        <v>131975.42499999999</v>
      </c>
      <c r="G423" s="4">
        <f t="shared" si="69"/>
        <v>312518.38666666666</v>
      </c>
      <c r="H423" s="2">
        <f t="shared" si="73"/>
        <v>243300.47428816606</v>
      </c>
      <c r="I423" s="2">
        <f t="shared" si="74"/>
        <v>180473.61333333334</v>
      </c>
      <c r="J423" s="4">
        <f t="shared" si="71"/>
        <v>459431.93499999994</v>
      </c>
      <c r="K423" s="2">
        <f t="shared" si="75"/>
        <v>307362.56560697861</v>
      </c>
      <c r="L423" s="2">
        <f t="shared" si="76"/>
        <v>33560.065000000061</v>
      </c>
      <c r="N423" s="4">
        <f t="shared" si="70"/>
        <v>370674.04730000003</v>
      </c>
      <c r="O423" s="2">
        <f t="shared" si="72"/>
        <v>122317.95269999997</v>
      </c>
    </row>
    <row r="424" spans="1:15" x14ac:dyDescent="0.3">
      <c r="A424" s="50">
        <v>44253</v>
      </c>
      <c r="B424" s="2">
        <v>423</v>
      </c>
      <c r="C424" s="4">
        <v>1146160.3999999999</v>
      </c>
      <c r="D424" s="4">
        <f t="shared" si="66"/>
        <v>819576.2</v>
      </c>
      <c r="E424" s="2">
        <f t="shared" si="67"/>
        <v>249073.03396149751</v>
      </c>
      <c r="F424" s="2">
        <f t="shared" si="68"/>
        <v>326584.19999999995</v>
      </c>
      <c r="G424" s="4">
        <f t="shared" si="69"/>
        <v>622731.18333333323</v>
      </c>
      <c r="H424" s="2">
        <f t="shared" si="73"/>
        <v>343801.93230275245</v>
      </c>
      <c r="I424" s="2">
        <f t="shared" si="74"/>
        <v>523429.21666666667</v>
      </c>
      <c r="J424" s="4">
        <f t="shared" si="71"/>
        <v>520928.89</v>
      </c>
      <c r="K424" s="2">
        <f t="shared" si="75"/>
        <v>347557.07482362777</v>
      </c>
      <c r="L424" s="2">
        <f t="shared" si="76"/>
        <v>625231.50999999989</v>
      </c>
      <c r="N424" s="4">
        <f t="shared" si="70"/>
        <v>314490.47395000001</v>
      </c>
      <c r="O424" s="2">
        <f t="shared" si="72"/>
        <v>831669.92604999989</v>
      </c>
    </row>
    <row r="425" spans="1:15" x14ac:dyDescent="0.3">
      <c r="A425" s="50">
        <v>44254</v>
      </c>
      <c r="B425" s="2">
        <v>424</v>
      </c>
      <c r="C425" s="4">
        <v>16728.689999999999</v>
      </c>
      <c r="D425" s="4">
        <f t="shared" si="66"/>
        <v>581444.54499999993</v>
      </c>
      <c r="E425" s="2">
        <f t="shared" si="67"/>
        <v>461281.49571493809</v>
      </c>
      <c r="F425" s="2">
        <f t="shared" si="68"/>
        <v>564715.85499999998</v>
      </c>
      <c r="G425" s="4">
        <f t="shared" si="69"/>
        <v>551960.36333333328</v>
      </c>
      <c r="H425" s="2">
        <f t="shared" si="73"/>
        <v>444605.3733777366</v>
      </c>
      <c r="I425" s="2">
        <f t="shared" si="74"/>
        <v>535231.67333333334</v>
      </c>
      <c r="J425" s="4">
        <f t="shared" si="71"/>
        <v>471230.55999999994</v>
      </c>
      <c r="K425" s="2">
        <f t="shared" si="75"/>
        <v>402654.28301923757</v>
      </c>
      <c r="L425" s="2">
        <f t="shared" si="76"/>
        <v>454501.86999999994</v>
      </c>
      <c r="N425" s="4">
        <f t="shared" si="70"/>
        <v>653734.22699999996</v>
      </c>
      <c r="O425" s="2">
        <f t="shared" si="72"/>
        <v>637005.53700000001</v>
      </c>
    </row>
    <row r="426" spans="1:15" x14ac:dyDescent="0.3">
      <c r="A426" s="50">
        <v>44255</v>
      </c>
      <c r="B426" s="2">
        <v>425</v>
      </c>
      <c r="C426" s="4">
        <v>414855.35000000003</v>
      </c>
      <c r="D426" s="4">
        <f t="shared" si="66"/>
        <v>215792.02000000002</v>
      </c>
      <c r="E426" s="2">
        <f t="shared" si="67"/>
        <v>423397.0986196468</v>
      </c>
      <c r="F426" s="2">
        <f t="shared" si="68"/>
        <v>199063.33000000002</v>
      </c>
      <c r="G426" s="4">
        <f t="shared" si="69"/>
        <v>525914.81333333335</v>
      </c>
      <c r="H426" s="2">
        <f t="shared" si="73"/>
        <v>436953.58006519347</v>
      </c>
      <c r="I426" s="2">
        <f t="shared" si="74"/>
        <v>111059.46333333332</v>
      </c>
      <c r="J426" s="4">
        <f t="shared" si="71"/>
        <v>517684.11</v>
      </c>
      <c r="K426" s="2">
        <f t="shared" si="75"/>
        <v>390251.9771815124</v>
      </c>
      <c r="L426" s="2">
        <f t="shared" si="76"/>
        <v>102828.75999999995</v>
      </c>
      <c r="N426" s="4">
        <f t="shared" si="70"/>
        <v>624103.72914999991</v>
      </c>
      <c r="O426" s="2">
        <f t="shared" si="72"/>
        <v>209248.37914999988</v>
      </c>
    </row>
    <row r="427" spans="1:15" x14ac:dyDescent="0.3">
      <c r="A427" s="50">
        <v>44256</v>
      </c>
      <c r="B427" s="2">
        <v>426</v>
      </c>
      <c r="C427" s="4">
        <v>252955.95</v>
      </c>
      <c r="D427" s="4">
        <f t="shared" si="66"/>
        <v>333905.65000000002</v>
      </c>
      <c r="E427" s="2">
        <f t="shared" si="67"/>
        <v>151952.39925841728</v>
      </c>
      <c r="F427" s="2">
        <f t="shared" si="68"/>
        <v>80949.700000000012</v>
      </c>
      <c r="G427" s="4">
        <f t="shared" si="69"/>
        <v>228179.99666666667</v>
      </c>
      <c r="H427" s="2">
        <f t="shared" si="73"/>
        <v>315922.45694086788</v>
      </c>
      <c r="I427" s="2">
        <f t="shared" si="74"/>
        <v>24775.953333333338</v>
      </c>
      <c r="J427" s="4">
        <f t="shared" si="71"/>
        <v>457675.09749999997</v>
      </c>
      <c r="K427" s="2">
        <f t="shared" si="75"/>
        <v>403103.6077011223</v>
      </c>
      <c r="L427" s="2">
        <f t="shared" si="76"/>
        <v>204719.14749999996</v>
      </c>
      <c r="N427" s="4">
        <f t="shared" si="70"/>
        <v>398576.09730000002</v>
      </c>
      <c r="O427" s="2">
        <f t="shared" si="72"/>
        <v>145620.14730000001</v>
      </c>
    </row>
    <row r="428" spans="1:15" x14ac:dyDescent="0.3">
      <c r="A428" s="50">
        <v>44257</v>
      </c>
      <c r="B428" s="2">
        <v>427</v>
      </c>
      <c r="C428" s="4">
        <v>69993.66</v>
      </c>
      <c r="D428" s="4">
        <f t="shared" si="66"/>
        <v>161474.80499999999</v>
      </c>
      <c r="E428" s="2">
        <f t="shared" si="67"/>
        <v>86376.078345225382</v>
      </c>
      <c r="F428" s="2">
        <f t="shared" si="68"/>
        <v>91481.14499999999</v>
      </c>
      <c r="G428" s="4">
        <f t="shared" si="69"/>
        <v>245934.98666666669</v>
      </c>
      <c r="H428" s="2">
        <f t="shared" si="73"/>
        <v>120973.00344662335</v>
      </c>
      <c r="I428" s="2">
        <f t="shared" si="74"/>
        <v>175941.32666666669</v>
      </c>
      <c r="J428" s="4">
        <f t="shared" si="71"/>
        <v>188633.41250000001</v>
      </c>
      <c r="K428" s="2">
        <f t="shared" si="75"/>
        <v>261309.69363143729</v>
      </c>
      <c r="L428" s="2">
        <f t="shared" si="76"/>
        <v>118639.7525</v>
      </c>
      <c r="N428" s="4">
        <f t="shared" si="70"/>
        <v>273031.18580000004</v>
      </c>
      <c r="O428" s="2">
        <f t="shared" si="72"/>
        <v>203037.52580000003</v>
      </c>
    </row>
    <row r="429" spans="1:15" x14ac:dyDescent="0.3">
      <c r="A429" s="50">
        <v>44258</v>
      </c>
      <c r="B429" s="2">
        <v>428</v>
      </c>
      <c r="C429" s="4">
        <v>2102105.88</v>
      </c>
      <c r="D429" s="4">
        <f t="shared" si="66"/>
        <v>1086049.77</v>
      </c>
      <c r="E429" s="2">
        <f t="shared" si="67"/>
        <v>721366.3488681888</v>
      </c>
      <c r="F429" s="2">
        <f t="shared" si="68"/>
        <v>1016056.1099999999</v>
      </c>
      <c r="G429" s="4">
        <f t="shared" si="69"/>
        <v>808351.83</v>
      </c>
      <c r="H429" s="2">
        <f t="shared" si="73"/>
        <v>753960.3747731495</v>
      </c>
      <c r="I429" s="2">
        <f t="shared" si="74"/>
        <v>1293754.0499999998</v>
      </c>
      <c r="J429" s="4">
        <f t="shared" si="71"/>
        <v>709977.71</v>
      </c>
      <c r="K429" s="2">
        <f t="shared" si="75"/>
        <v>707915.94059907179</v>
      </c>
      <c r="L429" s="2">
        <f t="shared" si="76"/>
        <v>1392128.17</v>
      </c>
      <c r="N429" s="4">
        <f t="shared" si="70"/>
        <v>227281.45085000002</v>
      </c>
      <c r="O429" s="2">
        <f t="shared" si="72"/>
        <v>1874824.4291499997</v>
      </c>
    </row>
    <row r="430" spans="1:15" x14ac:dyDescent="0.3">
      <c r="A430" s="50">
        <v>44259</v>
      </c>
      <c r="B430" s="2">
        <v>429</v>
      </c>
      <c r="C430" s="4">
        <v>4893191.9400000004</v>
      </c>
      <c r="D430" s="4">
        <f t="shared" si="66"/>
        <v>3497648.91</v>
      </c>
      <c r="E430" s="2">
        <f t="shared" si="67"/>
        <v>1220637.2039328297</v>
      </c>
      <c r="F430" s="2">
        <f t="shared" si="68"/>
        <v>1395543.0300000003</v>
      </c>
      <c r="G430" s="4">
        <f t="shared" si="69"/>
        <v>2355097.16</v>
      </c>
      <c r="H430" s="2">
        <f t="shared" si="73"/>
        <v>1647895.6282264844</v>
      </c>
      <c r="I430" s="2">
        <f t="shared" si="74"/>
        <v>2538094.7800000003</v>
      </c>
      <c r="J430" s="4">
        <f t="shared" si="71"/>
        <v>1829561.8574999999</v>
      </c>
      <c r="K430" s="2">
        <f t="shared" si="75"/>
        <v>1686700.58430156</v>
      </c>
      <c r="L430" s="2">
        <f t="shared" si="76"/>
        <v>3063630.0825000005</v>
      </c>
      <c r="N430" s="4">
        <f t="shared" si="70"/>
        <v>791002.95750000014</v>
      </c>
      <c r="O430" s="2">
        <f t="shared" si="72"/>
        <v>4102188.9825000004</v>
      </c>
    </row>
    <row r="431" spans="1:15" x14ac:dyDescent="0.3">
      <c r="A431" s="50">
        <v>44260</v>
      </c>
      <c r="B431" s="2">
        <v>430</v>
      </c>
      <c r="C431" s="4">
        <v>808344.16</v>
      </c>
      <c r="D431" s="4">
        <f t="shared" si="66"/>
        <v>2850768.0500000003</v>
      </c>
      <c r="E431" s="2">
        <f t="shared" si="67"/>
        <v>1749147.7489086385</v>
      </c>
      <c r="F431" s="2">
        <f t="shared" si="68"/>
        <v>2042423.8900000001</v>
      </c>
      <c r="G431" s="4">
        <f t="shared" si="69"/>
        <v>2601213.9933333336</v>
      </c>
      <c r="H431" s="2">
        <f t="shared" si="73"/>
        <v>1943373.9469825279</v>
      </c>
      <c r="I431" s="2">
        <f t="shared" si="74"/>
        <v>1792869.8333333335</v>
      </c>
      <c r="J431" s="4">
        <f t="shared" si="71"/>
        <v>1968408.9100000001</v>
      </c>
      <c r="K431" s="2">
        <f t="shared" si="75"/>
        <v>1780707.4253770839</v>
      </c>
      <c r="L431" s="2">
        <f t="shared" si="76"/>
        <v>1160064.75</v>
      </c>
      <c r="N431" s="4">
        <f t="shared" si="70"/>
        <v>2590055.0217000004</v>
      </c>
      <c r="O431" s="2">
        <f t="shared" si="72"/>
        <v>1781710.8617000002</v>
      </c>
    </row>
    <row r="432" spans="1:15" x14ac:dyDescent="0.3">
      <c r="A432" s="50">
        <v>44261</v>
      </c>
      <c r="B432" s="2">
        <v>431</v>
      </c>
      <c r="C432" s="4">
        <v>329492.80000000005</v>
      </c>
      <c r="D432" s="4">
        <f t="shared" si="66"/>
        <v>568918.48</v>
      </c>
      <c r="E432" s="2">
        <f t="shared" si="67"/>
        <v>1454101.0973598422</v>
      </c>
      <c r="F432" s="2">
        <f t="shared" si="68"/>
        <v>239425.67999999993</v>
      </c>
      <c r="G432" s="4">
        <f t="shared" si="69"/>
        <v>2010342.9666666668</v>
      </c>
      <c r="H432" s="2">
        <f t="shared" si="73"/>
        <v>2039735.6556118825</v>
      </c>
      <c r="I432" s="2">
        <f t="shared" si="74"/>
        <v>1680850.1666666667</v>
      </c>
      <c r="J432" s="4">
        <f t="shared" si="71"/>
        <v>2033283.6950000001</v>
      </c>
      <c r="K432" s="2">
        <f t="shared" si="75"/>
        <v>1973100.5905797081</v>
      </c>
      <c r="L432" s="2">
        <f t="shared" si="76"/>
        <v>1703790.895</v>
      </c>
      <c r="N432" s="4">
        <f t="shared" si="70"/>
        <v>2910729.0005000001</v>
      </c>
      <c r="O432" s="2">
        <f t="shared" si="72"/>
        <v>2581236.2005000003</v>
      </c>
    </row>
    <row r="433" spans="1:15" x14ac:dyDescent="0.3">
      <c r="A433" s="50">
        <v>44262</v>
      </c>
      <c r="B433" s="2">
        <v>432</v>
      </c>
      <c r="C433" s="4">
        <v>347097.18</v>
      </c>
      <c r="D433" s="4">
        <f t="shared" si="66"/>
        <v>338294.99</v>
      </c>
      <c r="E433" s="2">
        <f t="shared" si="67"/>
        <v>169413.89375175</v>
      </c>
      <c r="F433" s="2">
        <f t="shared" si="68"/>
        <v>8802.1900000000023</v>
      </c>
      <c r="G433" s="4">
        <f t="shared" si="69"/>
        <v>494978.04666666663</v>
      </c>
      <c r="H433" s="2">
        <f t="shared" si="73"/>
        <v>1421443.8988561525</v>
      </c>
      <c r="I433" s="2">
        <f t="shared" si="74"/>
        <v>147880.86666666664</v>
      </c>
      <c r="J433" s="4">
        <f t="shared" si="71"/>
        <v>1594531.52</v>
      </c>
      <c r="K433" s="2">
        <f t="shared" si="75"/>
        <v>1948754.4325214284</v>
      </c>
      <c r="L433" s="2">
        <f t="shared" si="76"/>
        <v>1247434.3400000001</v>
      </c>
      <c r="N433" s="4">
        <f t="shared" si="70"/>
        <v>1546595.466</v>
      </c>
      <c r="O433" s="2">
        <f t="shared" si="72"/>
        <v>1199498.2860000001</v>
      </c>
    </row>
    <row r="434" spans="1:15" x14ac:dyDescent="0.3">
      <c r="A434" s="50">
        <v>44263</v>
      </c>
      <c r="B434" s="2">
        <v>433</v>
      </c>
      <c r="C434" s="4">
        <v>527485.42000000004</v>
      </c>
      <c r="D434" s="4">
        <f t="shared" si="66"/>
        <v>437291.30000000005</v>
      </c>
      <c r="E434" s="2">
        <f t="shared" si="67"/>
        <v>64079.863574177885</v>
      </c>
      <c r="F434" s="2">
        <f t="shared" si="68"/>
        <v>90194.12</v>
      </c>
      <c r="G434" s="4">
        <f t="shared" si="69"/>
        <v>401358.46666666662</v>
      </c>
      <c r="H434" s="2">
        <f t="shared" si="73"/>
        <v>976905.66618389427</v>
      </c>
      <c r="I434" s="2">
        <f t="shared" si="74"/>
        <v>126126.95333333343</v>
      </c>
      <c r="J434" s="4">
        <f t="shared" si="71"/>
        <v>503104.89</v>
      </c>
      <c r="K434" s="2">
        <f t="shared" si="75"/>
        <v>1204713.7088258541</v>
      </c>
      <c r="L434" s="2">
        <f t="shared" si="76"/>
        <v>24380.530000000028</v>
      </c>
      <c r="N434" s="4">
        <f t="shared" si="70"/>
        <v>440737.56649999996</v>
      </c>
      <c r="O434" s="2">
        <f t="shared" si="72"/>
        <v>86747.853500000085</v>
      </c>
    </row>
    <row r="435" spans="1:15" x14ac:dyDescent="0.3">
      <c r="A435" s="50">
        <v>44264</v>
      </c>
      <c r="B435" s="2">
        <v>434</v>
      </c>
      <c r="C435" s="4">
        <v>718499.22000000009</v>
      </c>
      <c r="D435" s="4">
        <f t="shared" si="66"/>
        <v>622992.32000000007</v>
      </c>
      <c r="E435" s="2">
        <f t="shared" si="67"/>
        <v>92888.500984202561</v>
      </c>
      <c r="F435" s="2">
        <f t="shared" si="68"/>
        <v>95506.900000000023</v>
      </c>
      <c r="G435" s="4">
        <f t="shared" si="69"/>
        <v>531027.27333333343</v>
      </c>
      <c r="H435" s="2">
        <f t="shared" si="73"/>
        <v>155908.61625775404</v>
      </c>
      <c r="I435" s="2">
        <f t="shared" si="74"/>
        <v>187471.94666666666</v>
      </c>
      <c r="J435" s="4">
        <f t="shared" si="71"/>
        <v>480643.65500000003</v>
      </c>
      <c r="K435" s="2">
        <f t="shared" si="75"/>
        <v>1062563.5894548486</v>
      </c>
      <c r="L435" s="2">
        <f t="shared" si="76"/>
        <v>237855.56500000006</v>
      </c>
      <c r="N435" s="4">
        <f t="shared" si="70"/>
        <v>403654.27680000005</v>
      </c>
      <c r="O435" s="2">
        <f t="shared" si="72"/>
        <v>314844.94320000004</v>
      </c>
    </row>
    <row r="436" spans="1:15" x14ac:dyDescent="0.3">
      <c r="A436" s="50">
        <v>44265</v>
      </c>
      <c r="B436" s="2">
        <v>435</v>
      </c>
      <c r="C436" s="4">
        <v>1418892.6</v>
      </c>
      <c r="D436" s="4">
        <f t="shared" si="66"/>
        <v>1068695.9100000001</v>
      </c>
      <c r="E436" s="2">
        <f t="shared" si="67"/>
        <v>256670.30373084266</v>
      </c>
      <c r="F436" s="2">
        <f t="shared" si="68"/>
        <v>350196.68999999994</v>
      </c>
      <c r="G436" s="4">
        <f t="shared" si="69"/>
        <v>888292.41333333345</v>
      </c>
      <c r="H436" s="2">
        <f t="shared" si="73"/>
        <v>332961.60801451764</v>
      </c>
      <c r="I436" s="2">
        <f t="shared" si="74"/>
        <v>530600.18666666665</v>
      </c>
      <c r="J436" s="4">
        <f t="shared" si="71"/>
        <v>752993.6050000001</v>
      </c>
      <c r="K436" s="2">
        <f t="shared" si="75"/>
        <v>717057.10794151458</v>
      </c>
      <c r="L436" s="2">
        <f t="shared" si="76"/>
        <v>665898.995</v>
      </c>
      <c r="N436" s="4">
        <f t="shared" si="70"/>
        <v>551789.63020000013</v>
      </c>
      <c r="O436" s="2">
        <f t="shared" si="72"/>
        <v>867102.96979999996</v>
      </c>
    </row>
    <row r="437" spans="1:15" x14ac:dyDescent="0.3">
      <c r="A437" s="50">
        <v>44266</v>
      </c>
      <c r="B437" s="2">
        <v>436</v>
      </c>
      <c r="C437" s="4">
        <v>38999.4</v>
      </c>
      <c r="D437" s="4">
        <f t="shared" si="66"/>
        <v>728946</v>
      </c>
      <c r="E437" s="2">
        <f t="shared" si="67"/>
        <v>547112.43476022186</v>
      </c>
      <c r="F437" s="2">
        <f t="shared" si="68"/>
        <v>689946.6</v>
      </c>
      <c r="G437" s="4">
        <f t="shared" si="69"/>
        <v>725463.74000000011</v>
      </c>
      <c r="H437" s="2">
        <f t="shared" si="73"/>
        <v>512482.70831620152</v>
      </c>
      <c r="I437" s="2">
        <f t="shared" si="74"/>
        <v>686464.34000000008</v>
      </c>
      <c r="J437" s="4">
        <f t="shared" si="71"/>
        <v>675969.16</v>
      </c>
      <c r="K437" s="2">
        <f t="shared" si="75"/>
        <v>476004.62884855905</v>
      </c>
      <c r="L437" s="2">
        <f t="shared" si="76"/>
        <v>636969.76</v>
      </c>
      <c r="N437" s="4">
        <f t="shared" si="70"/>
        <v>911107.9663000002</v>
      </c>
      <c r="O437" s="2">
        <f t="shared" si="72"/>
        <v>872108.56630000018</v>
      </c>
    </row>
    <row r="438" spans="1:15" x14ac:dyDescent="0.3">
      <c r="A438" s="50">
        <v>44267</v>
      </c>
      <c r="B438" s="2">
        <v>437</v>
      </c>
      <c r="C438" s="4">
        <v>584736.25</v>
      </c>
      <c r="D438" s="4">
        <f t="shared" si="66"/>
        <v>311867.82500000001</v>
      </c>
      <c r="E438" s="2">
        <f t="shared" si="67"/>
        <v>524634.86741425248</v>
      </c>
      <c r="F438" s="2">
        <f t="shared" si="68"/>
        <v>272868.42499999999</v>
      </c>
      <c r="G438" s="4">
        <f t="shared" si="69"/>
        <v>680876.08333333337</v>
      </c>
      <c r="H438" s="2">
        <f t="shared" si="73"/>
        <v>503988.33178811398</v>
      </c>
      <c r="I438" s="2">
        <f t="shared" si="74"/>
        <v>96139.833333333372</v>
      </c>
      <c r="J438" s="4">
        <f t="shared" si="71"/>
        <v>690281.86750000005</v>
      </c>
      <c r="K438" s="2">
        <f t="shared" si="75"/>
        <v>478765.88586473902</v>
      </c>
      <c r="L438" s="2">
        <f t="shared" si="76"/>
        <v>105545.61750000005</v>
      </c>
      <c r="N438" s="4">
        <f t="shared" si="70"/>
        <v>802541.83440000005</v>
      </c>
      <c r="O438" s="2">
        <f t="shared" si="72"/>
        <v>217805.58440000005</v>
      </c>
    </row>
    <row r="439" spans="1:15" x14ac:dyDescent="0.3">
      <c r="A439" s="50">
        <v>44268</v>
      </c>
      <c r="B439" s="2">
        <v>438</v>
      </c>
      <c r="C439" s="4">
        <v>1088476.2</v>
      </c>
      <c r="D439" s="4">
        <f t="shared" si="66"/>
        <v>836606.22499999998</v>
      </c>
      <c r="E439" s="2">
        <f t="shared" si="67"/>
        <v>262579.18964426831</v>
      </c>
      <c r="F439" s="2">
        <f t="shared" si="68"/>
        <v>251869.97499999998</v>
      </c>
      <c r="G439" s="4">
        <f t="shared" si="69"/>
        <v>570737.28333333333</v>
      </c>
      <c r="H439" s="2">
        <f t="shared" si="73"/>
        <v>499509.67407254165</v>
      </c>
      <c r="I439" s="2">
        <f t="shared" si="74"/>
        <v>517738.91666666663</v>
      </c>
      <c r="J439" s="4">
        <f t="shared" si="71"/>
        <v>782776.11250000005</v>
      </c>
      <c r="K439" s="2">
        <f t="shared" si="75"/>
        <v>488299.1827679603</v>
      </c>
      <c r="L439" s="2">
        <f t="shared" si="76"/>
        <v>305700.08749999991</v>
      </c>
      <c r="N439" s="4">
        <f t="shared" si="70"/>
        <v>525397.74875000003</v>
      </c>
      <c r="O439" s="2">
        <f t="shared" si="72"/>
        <v>563078.45124999993</v>
      </c>
    </row>
    <row r="440" spans="1:15" x14ac:dyDescent="0.3">
      <c r="A440" s="50">
        <v>44269</v>
      </c>
      <c r="B440" s="2">
        <v>439</v>
      </c>
      <c r="C440" s="4">
        <v>1466904.12</v>
      </c>
      <c r="D440" s="4">
        <f t="shared" si="66"/>
        <v>1277690.1600000001</v>
      </c>
      <c r="E440" s="2">
        <f t="shared" si="67"/>
        <v>222755.92805286037</v>
      </c>
      <c r="F440" s="2">
        <f t="shared" si="68"/>
        <v>189213.95999999996</v>
      </c>
      <c r="G440" s="4">
        <f t="shared" si="69"/>
        <v>1046705.5233333334</v>
      </c>
      <c r="H440" s="2">
        <f t="shared" si="73"/>
        <v>388957.28729736328</v>
      </c>
      <c r="I440" s="2">
        <f t="shared" si="74"/>
        <v>420198.59666666668</v>
      </c>
      <c r="J440" s="4">
        <f t="shared" si="71"/>
        <v>794778.99250000005</v>
      </c>
      <c r="K440" s="2">
        <f t="shared" si="75"/>
        <v>490427.13093850977</v>
      </c>
      <c r="L440" s="2">
        <f t="shared" si="76"/>
        <v>672125.12750000006</v>
      </c>
      <c r="N440" s="4">
        <f t="shared" si="70"/>
        <v>633427.02625000011</v>
      </c>
      <c r="O440" s="2">
        <f t="shared" si="72"/>
        <v>833477.09375</v>
      </c>
    </row>
    <row r="441" spans="1:15" x14ac:dyDescent="0.3">
      <c r="A441" s="50">
        <v>44270</v>
      </c>
      <c r="B441" s="2">
        <v>440</v>
      </c>
      <c r="C441" s="4">
        <v>666001.38</v>
      </c>
      <c r="D441" s="4">
        <f t="shared" si="66"/>
        <v>1066452.75</v>
      </c>
      <c r="E441" s="2">
        <f t="shared" si="67"/>
        <v>313179.83842654887</v>
      </c>
      <c r="F441" s="2">
        <f t="shared" si="68"/>
        <v>400451.37</v>
      </c>
      <c r="G441" s="4">
        <f t="shared" si="69"/>
        <v>1073793.9000000001</v>
      </c>
      <c r="H441" s="2">
        <f t="shared" si="73"/>
        <v>451263.11092301796</v>
      </c>
      <c r="I441" s="2">
        <f t="shared" si="74"/>
        <v>407792.52000000014</v>
      </c>
      <c r="J441" s="4">
        <f t="shared" si="71"/>
        <v>951529.48750000005</v>
      </c>
      <c r="K441" s="2">
        <f t="shared" si="75"/>
        <v>399334.10449784616</v>
      </c>
      <c r="L441" s="2">
        <f t="shared" si="76"/>
        <v>285528.10750000004</v>
      </c>
      <c r="N441" s="4">
        <f t="shared" si="70"/>
        <v>1104426.7642000001</v>
      </c>
      <c r="O441" s="2">
        <f t="shared" si="72"/>
        <v>438425.38420000009</v>
      </c>
    </row>
    <row r="442" spans="1:15" x14ac:dyDescent="0.3">
      <c r="A442" s="50">
        <v>44271</v>
      </c>
      <c r="B442" s="2">
        <v>441</v>
      </c>
      <c r="C442" s="4">
        <v>929212.20000000007</v>
      </c>
      <c r="D442" s="4">
        <f t="shared" si="66"/>
        <v>797606.79</v>
      </c>
      <c r="E442" s="2">
        <f t="shared" si="67"/>
        <v>298061.47325354296</v>
      </c>
      <c r="F442" s="2">
        <f t="shared" si="68"/>
        <v>131605.41000000003</v>
      </c>
      <c r="G442" s="4">
        <f t="shared" si="69"/>
        <v>1020705.9</v>
      </c>
      <c r="H442" s="2">
        <f t="shared" si="73"/>
        <v>342165.99146626506</v>
      </c>
      <c r="I442" s="2">
        <f t="shared" si="74"/>
        <v>91493.699999999953</v>
      </c>
      <c r="J442" s="4">
        <f t="shared" si="71"/>
        <v>1037648.4750000001</v>
      </c>
      <c r="K442" s="2">
        <f t="shared" si="75"/>
        <v>399527.67626999452</v>
      </c>
      <c r="L442" s="2">
        <f t="shared" si="76"/>
        <v>108436.27500000002</v>
      </c>
      <c r="N442" s="4">
        <f t="shared" si="70"/>
        <v>1115347.5597000001</v>
      </c>
      <c r="O442" s="2">
        <f t="shared" si="72"/>
        <v>186135.35970000003</v>
      </c>
    </row>
    <row r="443" spans="1:15" x14ac:dyDescent="0.3">
      <c r="A443" s="50">
        <v>44272</v>
      </c>
      <c r="B443" s="2">
        <v>442</v>
      </c>
      <c r="C443" s="4">
        <v>1614135.44</v>
      </c>
      <c r="D443" s="4">
        <f t="shared" si="66"/>
        <v>1271673.82</v>
      </c>
      <c r="E443" s="2">
        <f t="shared" si="67"/>
        <v>259422.38252923786</v>
      </c>
      <c r="F443" s="2">
        <f t="shared" si="68"/>
        <v>342461.61999999988</v>
      </c>
      <c r="G443" s="4">
        <f t="shared" si="69"/>
        <v>1069783.0066666666</v>
      </c>
      <c r="H443" s="2">
        <f t="shared" si="73"/>
        <v>396226.1173385561</v>
      </c>
      <c r="I443" s="2">
        <f t="shared" si="74"/>
        <v>544352.43333333335</v>
      </c>
      <c r="J443" s="4">
        <f t="shared" si="71"/>
        <v>1169063.2850000001</v>
      </c>
      <c r="K443" s="2">
        <f t="shared" si="75"/>
        <v>431023.82071111869</v>
      </c>
      <c r="L443" s="2">
        <f t="shared" si="76"/>
        <v>445072.1549999998</v>
      </c>
      <c r="N443" s="4">
        <f t="shared" si="70"/>
        <v>930375.60750000016</v>
      </c>
      <c r="O443" s="2">
        <f t="shared" si="72"/>
        <v>683759.83249999979</v>
      </c>
    </row>
    <row r="444" spans="1:15" x14ac:dyDescent="0.3">
      <c r="A444" s="50">
        <v>44273</v>
      </c>
      <c r="B444" s="2">
        <v>443</v>
      </c>
      <c r="C444" s="4">
        <v>1462692.63</v>
      </c>
      <c r="D444" s="4">
        <f t="shared" si="66"/>
        <v>1538414.0349999999</v>
      </c>
      <c r="E444" s="2">
        <f t="shared" si="67"/>
        <v>248005.73818784754</v>
      </c>
      <c r="F444" s="2">
        <f t="shared" si="68"/>
        <v>75721.405000000028</v>
      </c>
      <c r="G444" s="4">
        <f t="shared" si="69"/>
        <v>1335346.7566666666</v>
      </c>
      <c r="H444" s="2">
        <f t="shared" si="73"/>
        <v>327061.48263521772</v>
      </c>
      <c r="I444" s="2">
        <f t="shared" si="74"/>
        <v>127345.87333333329</v>
      </c>
      <c r="J444" s="4">
        <f t="shared" si="71"/>
        <v>1168010.4125000001</v>
      </c>
      <c r="K444" s="2">
        <f t="shared" si="75"/>
        <v>307494.53587643971</v>
      </c>
      <c r="L444" s="2">
        <f t="shared" si="76"/>
        <v>294682.2174999998</v>
      </c>
      <c r="N444" s="4">
        <f t="shared" si="70"/>
        <v>1100755.105</v>
      </c>
      <c r="O444" s="2">
        <f t="shared" si="72"/>
        <v>361937.52499999991</v>
      </c>
    </row>
    <row r="445" spans="1:15" x14ac:dyDescent="0.3">
      <c r="A445" s="50">
        <v>44274</v>
      </c>
      <c r="B445" s="2">
        <v>444</v>
      </c>
      <c r="C445" s="4">
        <v>873584.32000000007</v>
      </c>
      <c r="D445" s="4">
        <f t="shared" si="66"/>
        <v>1168138.4750000001</v>
      </c>
      <c r="E445" s="2">
        <f t="shared" si="67"/>
        <v>215053.34385093627</v>
      </c>
      <c r="F445" s="2">
        <f t="shared" si="68"/>
        <v>294554.15500000003</v>
      </c>
      <c r="G445" s="4">
        <f t="shared" si="69"/>
        <v>1316804.1299999999</v>
      </c>
      <c r="H445" s="2">
        <f t="shared" si="73"/>
        <v>411898.18446932832</v>
      </c>
      <c r="I445" s="2">
        <f t="shared" si="74"/>
        <v>443219.80999999982</v>
      </c>
      <c r="J445" s="4">
        <f t="shared" si="71"/>
        <v>1219906.1475</v>
      </c>
      <c r="K445" s="2">
        <f t="shared" si="75"/>
        <v>322732.11275215406</v>
      </c>
      <c r="L445" s="2">
        <f t="shared" si="76"/>
        <v>346321.8274999999</v>
      </c>
      <c r="N445" s="4">
        <f t="shared" si="70"/>
        <v>1412718.9858499998</v>
      </c>
      <c r="O445" s="2">
        <f t="shared" si="72"/>
        <v>539134.66584999976</v>
      </c>
    </row>
    <row r="446" spans="1:15" x14ac:dyDescent="0.3">
      <c r="A446" s="50">
        <v>44275</v>
      </c>
      <c r="B446" s="2">
        <v>445</v>
      </c>
      <c r="C446" s="4">
        <v>1141584.6000000001</v>
      </c>
      <c r="D446" s="4">
        <f t="shared" si="66"/>
        <v>1007584.4600000001</v>
      </c>
      <c r="E446" s="2">
        <f t="shared" si="67"/>
        <v>228821.09577985117</v>
      </c>
      <c r="F446" s="2">
        <f t="shared" si="68"/>
        <v>134000.14000000001</v>
      </c>
      <c r="G446" s="4">
        <f t="shared" si="69"/>
        <v>1159287.1833333333</v>
      </c>
      <c r="H446" s="2">
        <f t="shared" si="73"/>
        <v>266442.08431861195</v>
      </c>
      <c r="I446" s="2">
        <f t="shared" si="74"/>
        <v>17702.583333333256</v>
      </c>
      <c r="J446" s="4">
        <f t="shared" si="71"/>
        <v>1272999.2475000001</v>
      </c>
      <c r="K446" s="2">
        <f t="shared" si="75"/>
        <v>324859.75829869648</v>
      </c>
      <c r="L446" s="2">
        <f t="shared" si="76"/>
        <v>131414.64749999996</v>
      </c>
      <c r="N446" s="4">
        <f t="shared" si="70"/>
        <v>1298658.7643500001</v>
      </c>
      <c r="O446" s="2">
        <f t="shared" si="72"/>
        <v>157074.16434999998</v>
      </c>
    </row>
    <row r="447" spans="1:15" x14ac:dyDescent="0.3">
      <c r="A447" s="50">
        <v>44276</v>
      </c>
      <c r="B447" s="2">
        <v>446</v>
      </c>
      <c r="C447" s="4">
        <v>527362.5</v>
      </c>
      <c r="D447" s="4">
        <f t="shared" si="66"/>
        <v>834473.55</v>
      </c>
      <c r="E447" s="2">
        <f t="shared" si="67"/>
        <v>236931.67216744382</v>
      </c>
      <c r="F447" s="2">
        <f t="shared" si="68"/>
        <v>307111.05000000005</v>
      </c>
      <c r="G447" s="4">
        <f t="shared" si="69"/>
        <v>847510.47333333327</v>
      </c>
      <c r="H447" s="2">
        <f t="shared" si="73"/>
        <v>315833.23989227304</v>
      </c>
      <c r="I447" s="2">
        <f t="shared" si="74"/>
        <v>320147.97333333327</v>
      </c>
      <c r="J447" s="4">
        <f t="shared" si="71"/>
        <v>1001306.0125000001</v>
      </c>
      <c r="K447" s="2">
        <f t="shared" si="75"/>
        <v>334913.67549416516</v>
      </c>
      <c r="L447" s="2">
        <f t="shared" si="76"/>
        <v>473943.51250000007</v>
      </c>
      <c r="N447" s="4">
        <f t="shared" si="70"/>
        <v>1092968.2420000001</v>
      </c>
      <c r="O447" s="2">
        <f t="shared" si="72"/>
        <v>565605.74200000009</v>
      </c>
    </row>
    <row r="448" spans="1:15" x14ac:dyDescent="0.3">
      <c r="A448" s="50">
        <v>44277</v>
      </c>
      <c r="B448" s="2">
        <v>447</v>
      </c>
      <c r="C448" s="4">
        <v>497163.59</v>
      </c>
      <c r="D448" s="4">
        <f t="shared" si="66"/>
        <v>512263.04500000004</v>
      </c>
      <c r="E448" s="2">
        <f t="shared" si="67"/>
        <v>217422.61907791419</v>
      </c>
      <c r="F448" s="2">
        <f t="shared" si="68"/>
        <v>15099.455000000016</v>
      </c>
      <c r="G448" s="4">
        <f t="shared" si="69"/>
        <v>722036.89666666661</v>
      </c>
      <c r="H448" s="2">
        <f t="shared" si="73"/>
        <v>226109.19953075401</v>
      </c>
      <c r="I448" s="2">
        <f t="shared" si="74"/>
        <v>224873.30666666658</v>
      </c>
      <c r="J448" s="4">
        <f t="shared" si="71"/>
        <v>759923.75249999994</v>
      </c>
      <c r="K448" s="2">
        <f t="shared" si="75"/>
        <v>328204.95647474349</v>
      </c>
      <c r="L448" s="2">
        <f t="shared" si="76"/>
        <v>262760.16249999992</v>
      </c>
      <c r="N448" s="4">
        <f t="shared" si="70"/>
        <v>876860.13489999995</v>
      </c>
      <c r="O448" s="2">
        <f t="shared" si="72"/>
        <v>379696.54489999992</v>
      </c>
    </row>
    <row r="449" spans="1:15" x14ac:dyDescent="0.3">
      <c r="A449" s="50">
        <v>44278</v>
      </c>
      <c r="B449" s="2">
        <v>448</v>
      </c>
      <c r="C449" s="4">
        <v>77052.900000000009</v>
      </c>
      <c r="D449" s="4">
        <f t="shared" si="66"/>
        <v>287108.245</v>
      </c>
      <c r="E449" s="2">
        <f t="shared" si="67"/>
        <v>148914.81038561283</v>
      </c>
      <c r="F449" s="2">
        <f t="shared" si="68"/>
        <v>210055.34499999997</v>
      </c>
      <c r="G449" s="4">
        <f t="shared" si="69"/>
        <v>367192.99666666664</v>
      </c>
      <c r="H449" s="2">
        <f t="shared" si="73"/>
        <v>281214.03744857403</v>
      </c>
      <c r="I449" s="2">
        <f t="shared" si="74"/>
        <v>290140.09666666662</v>
      </c>
      <c r="J449" s="4">
        <f t="shared" si="71"/>
        <v>560790.89749999996</v>
      </c>
      <c r="K449" s="2">
        <f t="shared" si="75"/>
        <v>369099.44995919568</v>
      </c>
      <c r="L449" s="2">
        <f t="shared" si="76"/>
        <v>483737.99749999994</v>
      </c>
      <c r="N449" s="4">
        <f t="shared" si="70"/>
        <v>652374.72715000005</v>
      </c>
      <c r="O449" s="2">
        <f t="shared" si="72"/>
        <v>575321.82715000003</v>
      </c>
    </row>
    <row r="450" spans="1:15" x14ac:dyDescent="0.3">
      <c r="A450" s="50">
        <v>44279</v>
      </c>
      <c r="B450" s="2">
        <v>449</v>
      </c>
      <c r="C450" s="4">
        <v>22954.94</v>
      </c>
      <c r="D450" s="4">
        <f t="shared" si="66"/>
        <v>50003.920000000006</v>
      </c>
      <c r="E450" s="2">
        <f t="shared" si="67"/>
        <v>149757.96353134181</v>
      </c>
      <c r="F450" s="2">
        <f t="shared" si="68"/>
        <v>27048.980000000007</v>
      </c>
      <c r="G450" s="4">
        <f t="shared" si="69"/>
        <v>199057.14333333331</v>
      </c>
      <c r="H450" s="2">
        <f t="shared" si="73"/>
        <v>235061.17343066109</v>
      </c>
      <c r="I450" s="2">
        <f t="shared" si="74"/>
        <v>176102.20333333331</v>
      </c>
      <c r="J450" s="4">
        <f t="shared" si="71"/>
        <v>281133.48249999998</v>
      </c>
      <c r="K450" s="2">
        <f t="shared" si="75"/>
        <v>385462.04938703054</v>
      </c>
      <c r="L450" s="2">
        <f t="shared" si="76"/>
        <v>258178.54249999998</v>
      </c>
      <c r="N450" s="4">
        <f t="shared" si="70"/>
        <v>363070.26905</v>
      </c>
      <c r="O450" s="2">
        <f t="shared" si="72"/>
        <v>340115.32905</v>
      </c>
    </row>
    <row r="451" spans="1:15" x14ac:dyDescent="0.3">
      <c r="A451" s="50">
        <v>44280</v>
      </c>
      <c r="B451" s="2">
        <v>450</v>
      </c>
      <c r="C451" s="4">
        <v>1169072.8</v>
      </c>
      <c r="D451" s="4">
        <f t="shared" si="66"/>
        <v>596013.87</v>
      </c>
      <c r="E451" s="2">
        <f t="shared" si="67"/>
        <v>405665.0000750529</v>
      </c>
      <c r="F451" s="2">
        <f t="shared" si="68"/>
        <v>573058.93000000005</v>
      </c>
      <c r="G451" s="4">
        <f t="shared" si="69"/>
        <v>423026.88000000006</v>
      </c>
      <c r="H451" s="2">
        <f t="shared" si="73"/>
        <v>473208.12069012632</v>
      </c>
      <c r="I451" s="2">
        <f t="shared" si="74"/>
        <v>746045.91999999993</v>
      </c>
      <c r="J451" s="4">
        <f t="shared" si="71"/>
        <v>441561.0575</v>
      </c>
      <c r="K451" s="2">
        <f t="shared" si="75"/>
        <v>474071.42091280589</v>
      </c>
      <c r="L451" s="2">
        <f t="shared" si="76"/>
        <v>727511.74250000005</v>
      </c>
      <c r="N451" s="4">
        <f t="shared" si="70"/>
        <v>151354.43520000001</v>
      </c>
      <c r="O451" s="2">
        <f t="shared" si="72"/>
        <v>1017718.3648000001</v>
      </c>
    </row>
    <row r="452" spans="1:15" x14ac:dyDescent="0.3">
      <c r="A452" s="50">
        <v>44281</v>
      </c>
      <c r="B452" s="2">
        <v>451</v>
      </c>
      <c r="C452" s="4">
        <v>427208.38</v>
      </c>
      <c r="D452" s="4">
        <f t="shared" ref="D452:D515" si="77">AVERAGE(C451:C452)</f>
        <v>798140.59000000008</v>
      </c>
      <c r="E452" s="2">
        <f t="shared" si="67"/>
        <v>482694.12761511258</v>
      </c>
      <c r="F452" s="2">
        <f t="shared" si="68"/>
        <v>370932.21000000008</v>
      </c>
      <c r="G452" s="4">
        <f t="shared" si="69"/>
        <v>539745.37333333341</v>
      </c>
      <c r="H452" s="2">
        <f t="shared" si="73"/>
        <v>447310.88206302619</v>
      </c>
      <c r="I452" s="2">
        <f t="shared" si="74"/>
        <v>112536.9933333334</v>
      </c>
      <c r="J452" s="4">
        <f t="shared" si="71"/>
        <v>424072.255</v>
      </c>
      <c r="K452" s="2">
        <f t="shared" si="75"/>
        <v>455505.70270528342</v>
      </c>
      <c r="L452" s="2">
        <f t="shared" si="76"/>
        <v>3136.125</v>
      </c>
      <c r="N452" s="4">
        <f t="shared" si="70"/>
        <v>418805.9743</v>
      </c>
      <c r="O452" s="2">
        <f t="shared" si="72"/>
        <v>8402.405700000003</v>
      </c>
    </row>
    <row r="453" spans="1:15" x14ac:dyDescent="0.3">
      <c r="A453" s="50">
        <v>44282</v>
      </c>
      <c r="B453" s="2">
        <v>452</v>
      </c>
      <c r="C453" s="4">
        <v>783428.32000000007</v>
      </c>
      <c r="D453" s="4">
        <f t="shared" si="77"/>
        <v>605318.35000000009</v>
      </c>
      <c r="E453" s="2">
        <f t="shared" ref="E453:E516" si="78">SQRT(SUMXMY2(C452:C453,D452:D453)/2)</f>
        <v>290958.6446807218</v>
      </c>
      <c r="F453" s="2">
        <f t="shared" ref="F453:F516" si="79">ABS(D453-C453)</f>
        <v>178109.96999999997</v>
      </c>
      <c r="G453" s="4">
        <f t="shared" ref="G453:G516" si="80">AVERAGE(C451:C453)</f>
        <v>793236.5</v>
      </c>
      <c r="H453" s="2">
        <f t="shared" si="73"/>
        <v>435639.48780769989</v>
      </c>
      <c r="I453" s="2">
        <f t="shared" si="74"/>
        <v>9808.1799999999348</v>
      </c>
      <c r="J453" s="4">
        <f t="shared" si="71"/>
        <v>600666.1100000001</v>
      </c>
      <c r="K453" s="2">
        <f t="shared" si="75"/>
        <v>396655.1890392052</v>
      </c>
      <c r="L453" s="2">
        <f t="shared" si="76"/>
        <v>182762.20999999996</v>
      </c>
      <c r="N453" s="4">
        <f t="shared" ref="N453:N516" si="81">($M$2*D452)+($M$3*C451)+($M$4*C450)</f>
        <v>668402.29010000022</v>
      </c>
      <c r="O453" s="2">
        <f t="shared" si="72"/>
        <v>115026.02989999985</v>
      </c>
    </row>
    <row r="454" spans="1:15" x14ac:dyDescent="0.3">
      <c r="A454" s="50">
        <v>44283</v>
      </c>
      <c r="B454" s="2">
        <v>453</v>
      </c>
      <c r="C454" s="4">
        <v>4205426.8</v>
      </c>
      <c r="D454" s="4">
        <f t="shared" si="77"/>
        <v>2494427.56</v>
      </c>
      <c r="E454" s="2">
        <f t="shared" si="78"/>
        <v>1216396.6377571868</v>
      </c>
      <c r="F454" s="2">
        <f t="shared" si="79"/>
        <v>1710999.2399999998</v>
      </c>
      <c r="G454" s="4">
        <f t="shared" si="80"/>
        <v>1805354.5</v>
      </c>
      <c r="H454" s="2">
        <f t="shared" si="73"/>
        <v>1387216.3758754085</v>
      </c>
      <c r="I454" s="2">
        <f t="shared" si="74"/>
        <v>2400072.2999999998</v>
      </c>
      <c r="J454" s="4">
        <f t="shared" ref="J454:J517" si="82">AVERAGE(C451:C454)</f>
        <v>1646284.075</v>
      </c>
      <c r="K454" s="2">
        <f t="shared" si="75"/>
        <v>1333406.9786715447</v>
      </c>
      <c r="L454" s="2">
        <f t="shared" si="76"/>
        <v>2559142.7249999996</v>
      </c>
      <c r="N454" s="4">
        <f t="shared" si="81"/>
        <v>709752.23230000003</v>
      </c>
      <c r="O454" s="2">
        <f t="shared" ref="O454:O517" si="83">ABS(N454-C454)</f>
        <v>3495674.5676999995</v>
      </c>
    </row>
    <row r="455" spans="1:15" x14ac:dyDescent="0.3">
      <c r="A455" s="50">
        <v>44284</v>
      </c>
      <c r="B455" s="2">
        <v>454</v>
      </c>
      <c r="C455" s="4">
        <v>909878.36</v>
      </c>
      <c r="D455" s="4">
        <f t="shared" si="77"/>
        <v>2557652.58</v>
      </c>
      <c r="E455" s="2">
        <f t="shared" si="78"/>
        <v>1679684.2380901813</v>
      </c>
      <c r="F455" s="2">
        <f t="shared" si="79"/>
        <v>1647774.2200000002</v>
      </c>
      <c r="G455" s="4">
        <f t="shared" si="80"/>
        <v>1966244.4933333334</v>
      </c>
      <c r="H455" s="2">
        <f t="shared" ref="H455:H518" si="84">SQRT(SUMXMY2(C453:C455,G453:G455)/3)</f>
        <v>1513974.0919487162</v>
      </c>
      <c r="I455" s="2">
        <f t="shared" ref="I455:I518" si="85">ABS(G455-C455)</f>
        <v>1056366.1333333333</v>
      </c>
      <c r="J455" s="4">
        <f t="shared" si="82"/>
        <v>1581485.4650000001</v>
      </c>
      <c r="K455" s="2">
        <f t="shared" si="75"/>
        <v>1326054.2457881393</v>
      </c>
      <c r="L455" s="2">
        <f t="shared" si="76"/>
        <v>671607.1050000001</v>
      </c>
      <c r="N455" s="4">
        <f t="shared" si="81"/>
        <v>1851429.4240000003</v>
      </c>
      <c r="O455" s="2">
        <f t="shared" si="83"/>
        <v>941551.06400000036</v>
      </c>
    </row>
    <row r="456" spans="1:15" x14ac:dyDescent="0.3">
      <c r="A456" s="50">
        <v>44285</v>
      </c>
      <c r="B456" s="2">
        <v>455</v>
      </c>
      <c r="C456" s="4">
        <v>2259228</v>
      </c>
      <c r="D456" s="4">
        <f t="shared" si="77"/>
        <v>1584553.18</v>
      </c>
      <c r="E456" s="2">
        <f t="shared" si="78"/>
        <v>1259036.5349819364</v>
      </c>
      <c r="F456" s="2">
        <f t="shared" si="79"/>
        <v>674674.82000000007</v>
      </c>
      <c r="G456" s="4">
        <f t="shared" si="80"/>
        <v>2458177.7200000002</v>
      </c>
      <c r="H456" s="2">
        <f t="shared" si="84"/>
        <v>1518314.5747800954</v>
      </c>
      <c r="I456" s="2">
        <f t="shared" si="85"/>
        <v>198949.7200000002</v>
      </c>
      <c r="J456" s="4">
        <f t="shared" si="82"/>
        <v>2039490.37</v>
      </c>
      <c r="K456" s="2">
        <f t="shared" si="75"/>
        <v>1330597.069161905</v>
      </c>
      <c r="L456" s="2">
        <f t="shared" si="76"/>
        <v>219737.62999999989</v>
      </c>
      <c r="N456" s="4">
        <f t="shared" si="81"/>
        <v>2348578.4070000006</v>
      </c>
      <c r="O456" s="2">
        <f t="shared" si="83"/>
        <v>89350.407000000589</v>
      </c>
    </row>
    <row r="457" spans="1:15" x14ac:dyDescent="0.3">
      <c r="A457" s="50">
        <v>44286</v>
      </c>
      <c r="B457" s="2">
        <v>456</v>
      </c>
      <c r="C457" s="4">
        <v>2204622.73</v>
      </c>
      <c r="D457" s="4">
        <f t="shared" si="77"/>
        <v>2231925.3650000002</v>
      </c>
      <c r="E457" s="2">
        <f t="shared" si="78"/>
        <v>477457.61415018595</v>
      </c>
      <c r="F457" s="2">
        <f t="shared" si="79"/>
        <v>27302.635000000242</v>
      </c>
      <c r="G457" s="4">
        <f t="shared" si="80"/>
        <v>1791243.03</v>
      </c>
      <c r="H457" s="2">
        <f t="shared" si="84"/>
        <v>664924.35036220122</v>
      </c>
      <c r="I457" s="2">
        <f t="shared" si="85"/>
        <v>413379.69999999995</v>
      </c>
      <c r="J457" s="4">
        <f t="shared" si="82"/>
        <v>2394788.9725000001</v>
      </c>
      <c r="K457" s="2">
        <f t="shared" ref="K457:K520" si="86">SQRT(SUMXMY2(C454:C457,J454:J457)/4)</f>
        <v>1330856.436306288</v>
      </c>
      <c r="L457" s="2">
        <f t="shared" ref="L457:L520" si="87">ABS(J457-C457)</f>
        <v>190166.24250000017</v>
      </c>
      <c r="N457" s="4">
        <f t="shared" si="81"/>
        <v>2086931.1462000001</v>
      </c>
      <c r="O457" s="2">
        <f t="shared" si="83"/>
        <v>117691.58379999991</v>
      </c>
    </row>
    <row r="458" spans="1:15" x14ac:dyDescent="0.3">
      <c r="A458" s="50">
        <v>44287</v>
      </c>
      <c r="B458" s="2">
        <v>457</v>
      </c>
      <c r="C458" s="4">
        <v>53713.4</v>
      </c>
      <c r="D458" s="4">
        <f t="shared" si="77"/>
        <v>1129168.0649999999</v>
      </c>
      <c r="E458" s="2">
        <f t="shared" si="78"/>
        <v>760706.30677949742</v>
      </c>
      <c r="F458" s="2">
        <f t="shared" si="79"/>
        <v>1075454.665</v>
      </c>
      <c r="G458" s="4">
        <f t="shared" si="80"/>
        <v>1505854.7100000002</v>
      </c>
      <c r="H458" s="2">
        <f t="shared" si="84"/>
        <v>879237.95635172725</v>
      </c>
      <c r="I458" s="2">
        <f t="shared" si="85"/>
        <v>1452141.3100000003</v>
      </c>
      <c r="J458" s="4">
        <f t="shared" si="82"/>
        <v>1356860.6225000001</v>
      </c>
      <c r="K458" s="2">
        <f t="shared" si="86"/>
        <v>747277.82865888171</v>
      </c>
      <c r="L458" s="2">
        <f t="shared" si="87"/>
        <v>1303147.2225000001</v>
      </c>
      <c r="N458" s="4">
        <f t="shared" si="81"/>
        <v>1944078.3137500002</v>
      </c>
      <c r="O458" s="2">
        <f t="shared" si="83"/>
        <v>1890364.9137500003</v>
      </c>
    </row>
    <row r="459" spans="1:15" x14ac:dyDescent="0.3">
      <c r="A459" s="50">
        <v>44288</v>
      </c>
      <c r="B459" s="2">
        <v>458</v>
      </c>
      <c r="C459" s="4">
        <v>2737309.1999999997</v>
      </c>
      <c r="D459" s="4">
        <f t="shared" si="77"/>
        <v>1395511.2999999998</v>
      </c>
      <c r="E459" s="2">
        <f t="shared" si="78"/>
        <v>1215940.8581248252</v>
      </c>
      <c r="F459" s="2">
        <f t="shared" si="79"/>
        <v>1341797.8999999999</v>
      </c>
      <c r="G459" s="4">
        <f t="shared" si="80"/>
        <v>1665215.11</v>
      </c>
      <c r="H459" s="2">
        <f t="shared" si="84"/>
        <v>1069109.1148542843</v>
      </c>
      <c r="I459" s="2">
        <f t="shared" si="85"/>
        <v>1072094.0899999996</v>
      </c>
      <c r="J459" s="4">
        <f t="shared" si="82"/>
        <v>1813718.3325</v>
      </c>
      <c r="K459" s="2">
        <f t="shared" si="86"/>
        <v>811735.8868288768</v>
      </c>
      <c r="L459" s="2">
        <f t="shared" si="87"/>
        <v>923590.8674999997</v>
      </c>
      <c r="N459" s="4">
        <f t="shared" si="81"/>
        <v>1496081.26385</v>
      </c>
      <c r="O459" s="2">
        <f t="shared" si="83"/>
        <v>1241227.9361499997</v>
      </c>
    </row>
    <row r="460" spans="1:15" x14ac:dyDescent="0.3">
      <c r="A460" s="50">
        <v>44289</v>
      </c>
      <c r="B460" s="2">
        <v>459</v>
      </c>
      <c r="C460" s="4">
        <v>1052038.56</v>
      </c>
      <c r="D460" s="4">
        <f t="shared" si="77"/>
        <v>1894673.88</v>
      </c>
      <c r="E460" s="2">
        <f t="shared" si="78"/>
        <v>1120369.5566543906</v>
      </c>
      <c r="F460" s="2">
        <f t="shared" si="79"/>
        <v>842635.31999999983</v>
      </c>
      <c r="G460" s="4">
        <f t="shared" si="80"/>
        <v>1281020.3866666665</v>
      </c>
      <c r="H460" s="2">
        <f t="shared" si="84"/>
        <v>1050481.2863579956</v>
      </c>
      <c r="I460" s="2">
        <f t="shared" si="85"/>
        <v>228981.82666666643</v>
      </c>
      <c r="J460" s="4">
        <f t="shared" si="82"/>
        <v>1511920.9725000001</v>
      </c>
      <c r="K460" s="2">
        <f t="shared" si="86"/>
        <v>836490.85577073938</v>
      </c>
      <c r="L460" s="2">
        <f t="shared" si="87"/>
        <v>459882.41250000009</v>
      </c>
      <c r="N460" s="4">
        <f t="shared" si="81"/>
        <v>1425918.0455999998</v>
      </c>
      <c r="O460" s="2">
        <f t="shared" si="83"/>
        <v>373879.48559999978</v>
      </c>
    </row>
    <row r="461" spans="1:15" x14ac:dyDescent="0.3">
      <c r="A461" s="50">
        <v>44290</v>
      </c>
      <c r="B461" s="2">
        <v>460</v>
      </c>
      <c r="C461" s="4">
        <v>199574.7</v>
      </c>
      <c r="D461" s="4">
        <f t="shared" si="77"/>
        <v>625806.63</v>
      </c>
      <c r="E461" s="2">
        <f t="shared" si="78"/>
        <v>667722.97424269712</v>
      </c>
      <c r="F461" s="2">
        <f t="shared" si="79"/>
        <v>426231.93</v>
      </c>
      <c r="G461" s="4">
        <f t="shared" si="80"/>
        <v>1329640.82</v>
      </c>
      <c r="H461" s="2">
        <f t="shared" si="84"/>
        <v>909004.55633775296</v>
      </c>
      <c r="I461" s="2">
        <f t="shared" si="85"/>
        <v>1130066.1200000001</v>
      </c>
      <c r="J461" s="4">
        <f t="shared" si="82"/>
        <v>1010658.965</v>
      </c>
      <c r="K461" s="2">
        <f t="shared" si="86"/>
        <v>924738.11053404165</v>
      </c>
      <c r="L461" s="2">
        <f t="shared" si="87"/>
        <v>811084.2649999999</v>
      </c>
      <c r="N461" s="4">
        <f t="shared" si="81"/>
        <v>1582352.4595999999</v>
      </c>
      <c r="O461" s="2">
        <f t="shared" si="83"/>
        <v>1382777.7596</v>
      </c>
    </row>
    <row r="462" spans="1:15" x14ac:dyDescent="0.3">
      <c r="A462" s="50">
        <v>44291</v>
      </c>
      <c r="B462" s="2">
        <v>461</v>
      </c>
      <c r="C462" s="4">
        <v>47.45</v>
      </c>
      <c r="D462" s="4">
        <f t="shared" si="77"/>
        <v>99811.075000000012</v>
      </c>
      <c r="E462" s="2">
        <f t="shared" si="78"/>
        <v>309537.10522703535</v>
      </c>
      <c r="F462" s="2">
        <f t="shared" si="79"/>
        <v>99763.625000000015</v>
      </c>
      <c r="G462" s="4">
        <f t="shared" si="80"/>
        <v>417220.23666666663</v>
      </c>
      <c r="H462" s="2">
        <f t="shared" si="84"/>
        <v>707934.84786164947</v>
      </c>
      <c r="I462" s="2">
        <f t="shared" si="85"/>
        <v>417172.78666666662</v>
      </c>
      <c r="J462" s="4">
        <f t="shared" si="82"/>
        <v>997242.47750000004</v>
      </c>
      <c r="K462" s="2">
        <f t="shared" si="86"/>
        <v>824130.98650298582</v>
      </c>
      <c r="L462" s="2">
        <f t="shared" si="87"/>
        <v>997195.02750000008</v>
      </c>
      <c r="N462" s="4">
        <f t="shared" si="81"/>
        <v>1137222.7077000001</v>
      </c>
      <c r="O462" s="2">
        <f t="shared" si="83"/>
        <v>1137175.2577000002</v>
      </c>
    </row>
    <row r="463" spans="1:15" x14ac:dyDescent="0.3">
      <c r="A463" s="50">
        <v>44292</v>
      </c>
      <c r="B463" s="2">
        <v>462</v>
      </c>
      <c r="C463" s="4">
        <v>1380696.4200000002</v>
      </c>
      <c r="D463" s="4">
        <f t="shared" si="77"/>
        <v>690371.93500000006</v>
      </c>
      <c r="E463" s="2">
        <f t="shared" si="78"/>
        <v>493204.15421185171</v>
      </c>
      <c r="F463" s="2">
        <f t="shared" si="79"/>
        <v>690324.4850000001</v>
      </c>
      <c r="G463" s="4">
        <f t="shared" si="80"/>
        <v>526772.8566666668</v>
      </c>
      <c r="H463" s="2">
        <f t="shared" si="84"/>
        <v>852499.85758023919</v>
      </c>
      <c r="I463" s="2">
        <f t="shared" si="85"/>
        <v>853923.56333333335</v>
      </c>
      <c r="J463" s="4">
        <f t="shared" si="82"/>
        <v>658089.28249999997</v>
      </c>
      <c r="K463" s="2">
        <f t="shared" si="86"/>
        <v>772319.31807609228</v>
      </c>
      <c r="L463" s="2">
        <f t="shared" si="87"/>
        <v>722607.13750000019</v>
      </c>
      <c r="N463" s="4">
        <f t="shared" si="81"/>
        <v>320275.12045000005</v>
      </c>
      <c r="O463" s="2">
        <f t="shared" si="83"/>
        <v>1060421.2995500001</v>
      </c>
    </row>
    <row r="464" spans="1:15" x14ac:dyDescent="0.3">
      <c r="A464" s="50">
        <v>44293</v>
      </c>
      <c r="B464" s="2">
        <v>463</v>
      </c>
      <c r="C464" s="4">
        <v>45569.760000000002</v>
      </c>
      <c r="D464" s="4">
        <f t="shared" si="77"/>
        <v>713133.09000000008</v>
      </c>
      <c r="E464" s="2">
        <f t="shared" si="78"/>
        <v>679039.28242451639</v>
      </c>
      <c r="F464" s="2">
        <f t="shared" si="79"/>
        <v>667563.33000000007</v>
      </c>
      <c r="G464" s="4">
        <f t="shared" si="80"/>
        <v>475437.87666666671</v>
      </c>
      <c r="H464" s="2">
        <f t="shared" si="84"/>
        <v>602219.55677246605</v>
      </c>
      <c r="I464" s="2">
        <f t="shared" si="85"/>
        <v>429868.1166666667</v>
      </c>
      <c r="J464" s="4">
        <f t="shared" si="82"/>
        <v>406472.08250000008</v>
      </c>
      <c r="K464" s="2">
        <f t="shared" si="86"/>
        <v>759056.5145878722</v>
      </c>
      <c r="L464" s="2">
        <f t="shared" si="87"/>
        <v>360902.32250000007</v>
      </c>
      <c r="N464" s="4">
        <f t="shared" si="81"/>
        <v>506460.84995000006</v>
      </c>
      <c r="O464" s="2">
        <f t="shared" si="83"/>
        <v>460891.08995000005</v>
      </c>
    </row>
    <row r="465" spans="1:15" x14ac:dyDescent="0.3">
      <c r="A465" s="50">
        <v>44294</v>
      </c>
      <c r="B465" s="2">
        <v>464</v>
      </c>
      <c r="C465" s="4">
        <v>425241.19</v>
      </c>
      <c r="D465" s="4">
        <f t="shared" si="77"/>
        <v>235405.47500000001</v>
      </c>
      <c r="E465" s="2">
        <f t="shared" si="78"/>
        <v>490753.70515679772</v>
      </c>
      <c r="F465" s="2">
        <f t="shared" si="79"/>
        <v>189835.715</v>
      </c>
      <c r="G465" s="4">
        <f t="shared" si="80"/>
        <v>617169.12333333341</v>
      </c>
      <c r="H465" s="2">
        <f t="shared" si="84"/>
        <v>562970.80484872067</v>
      </c>
      <c r="I465" s="2">
        <f t="shared" si="85"/>
        <v>191927.93333333341</v>
      </c>
      <c r="J465" s="4">
        <f t="shared" si="82"/>
        <v>462888.70500000002</v>
      </c>
      <c r="K465" s="2">
        <f t="shared" si="86"/>
        <v>641916.43143952929</v>
      </c>
      <c r="L465" s="2">
        <f t="shared" si="87"/>
        <v>37647.515000000014</v>
      </c>
      <c r="N465" s="4">
        <f t="shared" si="81"/>
        <v>629686.21550000005</v>
      </c>
      <c r="O465" s="2">
        <f t="shared" si="83"/>
        <v>204445.02550000005</v>
      </c>
    </row>
    <row r="466" spans="1:15" x14ac:dyDescent="0.3">
      <c r="A466" s="50">
        <v>44295</v>
      </c>
      <c r="B466" s="2">
        <v>465</v>
      </c>
      <c r="C466" s="4">
        <v>237098.34</v>
      </c>
      <c r="D466" s="4">
        <f t="shared" si="77"/>
        <v>331169.76500000001</v>
      </c>
      <c r="E466" s="2">
        <f t="shared" si="78"/>
        <v>149811.60117142441</v>
      </c>
      <c r="F466" s="2">
        <f t="shared" si="79"/>
        <v>94071.425000000017</v>
      </c>
      <c r="G466" s="4">
        <f t="shared" si="80"/>
        <v>235969.76333333334</v>
      </c>
      <c r="H466" s="2">
        <f t="shared" si="84"/>
        <v>271799.06978344865</v>
      </c>
      <c r="I466" s="2">
        <f t="shared" si="85"/>
        <v>1128.5766666666605</v>
      </c>
      <c r="J466" s="4">
        <f t="shared" si="82"/>
        <v>522151.42750000005</v>
      </c>
      <c r="K466" s="2">
        <f t="shared" si="86"/>
        <v>428685.24573129299</v>
      </c>
      <c r="L466" s="2">
        <f t="shared" si="87"/>
        <v>285053.08750000002</v>
      </c>
      <c r="N466" s="4">
        <f t="shared" si="81"/>
        <v>466487.55425000004</v>
      </c>
      <c r="O466" s="2">
        <f t="shared" si="83"/>
        <v>229389.21425000005</v>
      </c>
    </row>
    <row r="467" spans="1:15" x14ac:dyDescent="0.3">
      <c r="A467" s="50">
        <v>44296</v>
      </c>
      <c r="B467" s="2">
        <v>466</v>
      </c>
      <c r="C467" s="4">
        <v>783300.32000000007</v>
      </c>
      <c r="D467" s="4">
        <f t="shared" si="77"/>
        <v>510199.33</v>
      </c>
      <c r="E467" s="2">
        <f t="shared" si="78"/>
        <v>204246.88949958424</v>
      </c>
      <c r="F467" s="2">
        <f t="shared" si="79"/>
        <v>273100.99000000005</v>
      </c>
      <c r="G467" s="4">
        <f t="shared" si="80"/>
        <v>481879.95</v>
      </c>
      <c r="H467" s="2">
        <f t="shared" si="84"/>
        <v>206310.32025392714</v>
      </c>
      <c r="I467" s="2">
        <f t="shared" si="85"/>
        <v>301420.37000000005</v>
      </c>
      <c r="J467" s="4">
        <f t="shared" si="82"/>
        <v>372802.40250000003</v>
      </c>
      <c r="K467" s="2">
        <f t="shared" si="86"/>
        <v>308800.75483096251</v>
      </c>
      <c r="L467" s="2">
        <f t="shared" si="87"/>
        <v>410497.91750000004</v>
      </c>
      <c r="N467" s="4">
        <f t="shared" si="81"/>
        <v>278685.62065000006</v>
      </c>
      <c r="O467" s="2">
        <f t="shared" si="83"/>
        <v>504614.69935000001</v>
      </c>
    </row>
    <row r="468" spans="1:15" x14ac:dyDescent="0.3">
      <c r="A468" s="50">
        <v>44297</v>
      </c>
      <c r="B468" s="2">
        <v>467</v>
      </c>
      <c r="C468" s="4">
        <v>1006165.86</v>
      </c>
      <c r="D468" s="4">
        <f t="shared" si="77"/>
        <v>894733.09000000008</v>
      </c>
      <c r="E468" s="2">
        <f t="shared" si="78"/>
        <v>208568.22980604335</v>
      </c>
      <c r="F468" s="2">
        <f t="shared" si="79"/>
        <v>111432.7699999999</v>
      </c>
      <c r="G468" s="4">
        <f t="shared" si="80"/>
        <v>675521.50666666671</v>
      </c>
      <c r="H468" s="2">
        <f t="shared" si="84"/>
        <v>258315.82834935974</v>
      </c>
      <c r="I468" s="2">
        <f t="shared" si="85"/>
        <v>330644.35333333327</v>
      </c>
      <c r="J468" s="4">
        <f t="shared" si="82"/>
        <v>612951.42749999999</v>
      </c>
      <c r="K468" s="2">
        <f t="shared" si="86"/>
        <v>318511.66708501108</v>
      </c>
      <c r="L468" s="2">
        <f t="shared" si="87"/>
        <v>393214.4325</v>
      </c>
      <c r="N468" s="4">
        <f t="shared" si="81"/>
        <v>461467.43030000001</v>
      </c>
      <c r="O468" s="2">
        <f t="shared" si="83"/>
        <v>544698.42969999998</v>
      </c>
    </row>
    <row r="469" spans="1:15" x14ac:dyDescent="0.3">
      <c r="A469" s="50">
        <v>44298</v>
      </c>
      <c r="B469" s="2">
        <v>468</v>
      </c>
      <c r="C469" s="4">
        <v>409469.12</v>
      </c>
      <c r="D469" s="4">
        <f t="shared" si="77"/>
        <v>707817.49</v>
      </c>
      <c r="E469" s="2">
        <f t="shared" si="78"/>
        <v>225198.81450790295</v>
      </c>
      <c r="F469" s="2">
        <f t="shared" si="79"/>
        <v>298348.37</v>
      </c>
      <c r="G469" s="4">
        <f t="shared" si="80"/>
        <v>732978.43333333347</v>
      </c>
      <c r="H469" s="2">
        <f t="shared" si="84"/>
        <v>318767.52430549345</v>
      </c>
      <c r="I469" s="2">
        <f t="shared" si="85"/>
        <v>323509.31333333347</v>
      </c>
      <c r="J469" s="4">
        <f t="shared" si="82"/>
        <v>609008.41</v>
      </c>
      <c r="K469" s="2">
        <f t="shared" si="86"/>
        <v>333240.649210567</v>
      </c>
      <c r="L469" s="2">
        <f t="shared" si="87"/>
        <v>199539.29000000004</v>
      </c>
      <c r="N469" s="4">
        <f t="shared" si="81"/>
        <v>737795.84030000016</v>
      </c>
      <c r="O469" s="2">
        <f t="shared" si="83"/>
        <v>328326.72030000016</v>
      </c>
    </row>
    <row r="470" spans="1:15" x14ac:dyDescent="0.3">
      <c r="A470" s="50">
        <v>44299</v>
      </c>
      <c r="B470" s="2">
        <v>469</v>
      </c>
      <c r="C470" s="4">
        <v>162841.42000000001</v>
      </c>
      <c r="D470" s="4">
        <f t="shared" si="77"/>
        <v>286155.27</v>
      </c>
      <c r="E470" s="2">
        <f t="shared" si="78"/>
        <v>228274.01898100384</v>
      </c>
      <c r="F470" s="2">
        <f t="shared" si="79"/>
        <v>123313.85</v>
      </c>
      <c r="G470" s="4">
        <f t="shared" si="80"/>
        <v>526158.79999999993</v>
      </c>
      <c r="H470" s="2">
        <f t="shared" si="84"/>
        <v>339599.51060756226</v>
      </c>
      <c r="I470" s="2">
        <f t="shared" si="85"/>
        <v>363317.37999999989</v>
      </c>
      <c r="J470" s="4">
        <f t="shared" si="82"/>
        <v>590444.18000000005</v>
      </c>
      <c r="K470" s="2">
        <f t="shared" si="86"/>
        <v>369386.71430204943</v>
      </c>
      <c r="L470" s="2">
        <f t="shared" si="87"/>
        <v>427602.76</v>
      </c>
      <c r="N470" s="4">
        <f t="shared" si="81"/>
        <v>757242.03330000001</v>
      </c>
      <c r="O470" s="2">
        <f t="shared" si="83"/>
        <v>594400.61329999997</v>
      </c>
    </row>
    <row r="471" spans="1:15" x14ac:dyDescent="0.3">
      <c r="A471" s="50">
        <v>44300</v>
      </c>
      <c r="B471" s="2">
        <v>470</v>
      </c>
      <c r="C471" s="4">
        <v>2123762.06</v>
      </c>
      <c r="D471" s="4">
        <f t="shared" si="77"/>
        <v>1143301.74</v>
      </c>
      <c r="E471" s="2">
        <f t="shared" si="78"/>
        <v>698752.01062191057</v>
      </c>
      <c r="F471" s="2">
        <f t="shared" si="79"/>
        <v>980460.32000000007</v>
      </c>
      <c r="G471" s="4">
        <f t="shared" si="80"/>
        <v>898690.8666666667</v>
      </c>
      <c r="H471" s="2">
        <f t="shared" si="84"/>
        <v>761020.63554120681</v>
      </c>
      <c r="I471" s="2">
        <f t="shared" si="85"/>
        <v>1225071.1933333334</v>
      </c>
      <c r="J471" s="4">
        <f t="shared" si="82"/>
        <v>925559.61499999999</v>
      </c>
      <c r="K471" s="2">
        <f t="shared" si="86"/>
        <v>673232.26633599435</v>
      </c>
      <c r="L471" s="2">
        <f t="shared" si="87"/>
        <v>1198202.4450000001</v>
      </c>
      <c r="N471" s="4">
        <f t="shared" si="81"/>
        <v>458122.12330000004</v>
      </c>
      <c r="O471" s="2">
        <f t="shared" si="83"/>
        <v>1665639.9367</v>
      </c>
    </row>
    <row r="472" spans="1:15" x14ac:dyDescent="0.3">
      <c r="A472" s="50">
        <v>44301</v>
      </c>
      <c r="B472" s="2">
        <v>471</v>
      </c>
      <c r="C472" s="4">
        <v>2193262.14</v>
      </c>
      <c r="D472" s="4">
        <f t="shared" si="77"/>
        <v>2158512.1</v>
      </c>
      <c r="E472" s="2">
        <f t="shared" si="78"/>
        <v>693725.45159252454</v>
      </c>
      <c r="F472" s="2">
        <f t="shared" si="79"/>
        <v>34750.040000000037</v>
      </c>
      <c r="G472" s="4">
        <f t="shared" si="80"/>
        <v>1493288.54</v>
      </c>
      <c r="H472" s="2">
        <f t="shared" si="84"/>
        <v>841182.10236986971</v>
      </c>
      <c r="I472" s="2">
        <f t="shared" si="85"/>
        <v>699973.60000000009</v>
      </c>
      <c r="J472" s="4">
        <f t="shared" si="82"/>
        <v>1222333.6850000001</v>
      </c>
      <c r="K472" s="2">
        <f t="shared" si="86"/>
        <v>806388.74194553145</v>
      </c>
      <c r="L472" s="2">
        <f t="shared" si="87"/>
        <v>970928.45500000007</v>
      </c>
      <c r="N472" s="4">
        <f t="shared" si="81"/>
        <v>874007.92840000009</v>
      </c>
      <c r="O472" s="2">
        <f t="shared" si="83"/>
        <v>1319254.2116</v>
      </c>
    </row>
    <row r="473" spans="1:15" x14ac:dyDescent="0.3">
      <c r="A473" s="50">
        <v>44302</v>
      </c>
      <c r="B473" s="2">
        <v>472</v>
      </c>
      <c r="C473" s="4">
        <v>1343249.1400000001</v>
      </c>
      <c r="D473" s="4">
        <f t="shared" si="77"/>
        <v>1768255.6400000001</v>
      </c>
      <c r="E473" s="2">
        <f t="shared" si="78"/>
        <v>301527.85138544964</v>
      </c>
      <c r="F473" s="2">
        <f t="shared" si="79"/>
        <v>425006.5</v>
      </c>
      <c r="G473" s="4">
        <f t="shared" si="80"/>
        <v>1886757.78</v>
      </c>
      <c r="H473" s="2">
        <f t="shared" si="84"/>
        <v>872957.44668850978</v>
      </c>
      <c r="I473" s="2">
        <f t="shared" si="85"/>
        <v>543508.6399999999</v>
      </c>
      <c r="J473" s="4">
        <f t="shared" si="82"/>
        <v>1455778.69</v>
      </c>
      <c r="K473" s="2">
        <f t="shared" si="86"/>
        <v>802168.6518300696</v>
      </c>
      <c r="L473" s="2">
        <f t="shared" si="87"/>
        <v>112529.54999999981</v>
      </c>
      <c r="N473" s="4">
        <f t="shared" si="81"/>
        <v>1715642.0460000001</v>
      </c>
      <c r="O473" s="2">
        <f t="shared" si="83"/>
        <v>372392.90599999996</v>
      </c>
    </row>
    <row r="474" spans="1:15" x14ac:dyDescent="0.3">
      <c r="A474" s="50">
        <v>44303</v>
      </c>
      <c r="B474" s="2">
        <v>473</v>
      </c>
      <c r="C474" s="4">
        <v>36097.769999999997</v>
      </c>
      <c r="D474" s="4">
        <f t="shared" si="77"/>
        <v>689673.45500000007</v>
      </c>
      <c r="E474" s="2">
        <f t="shared" si="78"/>
        <v>551267.49453666736</v>
      </c>
      <c r="F474" s="2">
        <f t="shared" si="79"/>
        <v>653575.68500000006</v>
      </c>
      <c r="G474" s="4">
        <f t="shared" si="80"/>
        <v>1190869.6833333333</v>
      </c>
      <c r="H474" s="2">
        <f t="shared" si="84"/>
        <v>840409.19681528502</v>
      </c>
      <c r="I474" s="2">
        <f t="shared" si="85"/>
        <v>1154771.9133333333</v>
      </c>
      <c r="J474" s="4">
        <f t="shared" si="82"/>
        <v>1424092.7774999999</v>
      </c>
      <c r="K474" s="2">
        <f t="shared" si="86"/>
        <v>1038939.8688568064</v>
      </c>
      <c r="L474" s="2">
        <f t="shared" si="87"/>
        <v>1387995.0074999998</v>
      </c>
      <c r="N474" s="4">
        <f t="shared" si="81"/>
        <v>1893217.7674000002</v>
      </c>
      <c r="O474" s="2">
        <f t="shared" si="83"/>
        <v>1857119.9974000002</v>
      </c>
    </row>
    <row r="475" spans="1:15" x14ac:dyDescent="0.3">
      <c r="A475" s="50">
        <v>44304</v>
      </c>
      <c r="B475" s="2">
        <v>474</v>
      </c>
      <c r="C475" s="4">
        <v>792330.58</v>
      </c>
      <c r="D475" s="4">
        <f t="shared" si="77"/>
        <v>414214.17499999999</v>
      </c>
      <c r="E475" s="2">
        <f t="shared" si="78"/>
        <v>533916.28171153541</v>
      </c>
      <c r="F475" s="2">
        <f t="shared" si="79"/>
        <v>378116.40499999997</v>
      </c>
      <c r="G475" s="4">
        <f t="shared" si="80"/>
        <v>723892.4966666667</v>
      </c>
      <c r="H475" s="2">
        <f t="shared" si="84"/>
        <v>737921.31125852827</v>
      </c>
      <c r="I475" s="2">
        <f t="shared" si="85"/>
        <v>68438.083333333256</v>
      </c>
      <c r="J475" s="4">
        <f t="shared" si="82"/>
        <v>1091234.9075</v>
      </c>
      <c r="K475" s="2">
        <f t="shared" si="86"/>
        <v>861864.09923418926</v>
      </c>
      <c r="L475" s="2">
        <f t="shared" si="87"/>
        <v>298904.32750000001</v>
      </c>
      <c r="N475" s="4">
        <f t="shared" si="81"/>
        <v>1092356.2910500001</v>
      </c>
      <c r="O475" s="2">
        <f t="shared" si="83"/>
        <v>300025.71105000016</v>
      </c>
    </row>
    <row r="476" spans="1:15" x14ac:dyDescent="0.3">
      <c r="A476" s="50">
        <v>44305</v>
      </c>
      <c r="B476" s="2">
        <v>475</v>
      </c>
      <c r="C476" s="4">
        <v>283893.35000000003</v>
      </c>
      <c r="D476" s="4">
        <f t="shared" si="77"/>
        <v>538111.96499999997</v>
      </c>
      <c r="E476" s="2">
        <f t="shared" si="78"/>
        <v>322179.39097856818</v>
      </c>
      <c r="F476" s="2">
        <f t="shared" si="79"/>
        <v>254218.61499999993</v>
      </c>
      <c r="G476" s="4">
        <f t="shared" si="80"/>
        <v>370773.89999999997</v>
      </c>
      <c r="H476" s="2">
        <f t="shared" si="84"/>
        <v>669758.70606315392</v>
      </c>
      <c r="I476" s="2">
        <f t="shared" si="85"/>
        <v>86880.54999999993</v>
      </c>
      <c r="J476" s="4">
        <f t="shared" si="82"/>
        <v>613892.71000000008</v>
      </c>
      <c r="K476" s="2">
        <f t="shared" si="86"/>
        <v>730998.70298564213</v>
      </c>
      <c r="L476" s="2">
        <f t="shared" si="87"/>
        <v>329999.36000000004</v>
      </c>
      <c r="N476" s="4">
        <f t="shared" si="81"/>
        <v>577009.06275000004</v>
      </c>
      <c r="O476" s="2">
        <f t="shared" si="83"/>
        <v>293115.71275000001</v>
      </c>
    </row>
    <row r="477" spans="1:15" x14ac:dyDescent="0.3">
      <c r="A477" s="50">
        <v>44306</v>
      </c>
      <c r="B477" s="2">
        <v>476</v>
      </c>
      <c r="C477" s="4">
        <v>284256.54000000004</v>
      </c>
      <c r="D477" s="4">
        <f t="shared" si="77"/>
        <v>284074.94500000007</v>
      </c>
      <c r="E477" s="2">
        <f t="shared" si="78"/>
        <v>179759.75243260409</v>
      </c>
      <c r="F477" s="2">
        <f t="shared" si="79"/>
        <v>181.59499999997206</v>
      </c>
      <c r="G477" s="4">
        <f t="shared" si="80"/>
        <v>453493.49</v>
      </c>
      <c r="H477" s="2">
        <f t="shared" si="84"/>
        <v>116723.52871057494</v>
      </c>
      <c r="I477" s="2">
        <f t="shared" si="85"/>
        <v>169236.94999999995</v>
      </c>
      <c r="J477" s="4">
        <f t="shared" si="82"/>
        <v>349144.56</v>
      </c>
      <c r="K477" s="2">
        <f t="shared" si="86"/>
        <v>729551.9122350174</v>
      </c>
      <c r="L477" s="2">
        <f t="shared" si="87"/>
        <v>64888.01999999996</v>
      </c>
      <c r="N477" s="4">
        <f t="shared" si="81"/>
        <v>455632.88974999997</v>
      </c>
      <c r="O477" s="2">
        <f t="shared" si="83"/>
        <v>171376.34974999994</v>
      </c>
    </row>
    <row r="478" spans="1:15" x14ac:dyDescent="0.3">
      <c r="A478" s="50">
        <v>44307</v>
      </c>
      <c r="B478" s="2">
        <v>477</v>
      </c>
      <c r="C478" s="4">
        <v>2311476.4</v>
      </c>
      <c r="D478" s="4">
        <f t="shared" si="77"/>
        <v>1297866.47</v>
      </c>
      <c r="E478" s="2">
        <f t="shared" si="78"/>
        <v>716730.46648351313</v>
      </c>
      <c r="F478" s="2">
        <f t="shared" si="79"/>
        <v>1013609.9299999999</v>
      </c>
      <c r="G478" s="4">
        <f t="shared" si="80"/>
        <v>959875.43</v>
      </c>
      <c r="H478" s="2">
        <f t="shared" si="84"/>
        <v>788038.61100806156</v>
      </c>
      <c r="I478" s="2">
        <f t="shared" si="85"/>
        <v>1351600.9699999997</v>
      </c>
      <c r="J478" s="4">
        <f t="shared" si="82"/>
        <v>917989.21750000003</v>
      </c>
      <c r="K478" s="2">
        <f t="shared" si="86"/>
        <v>732164.66002019402</v>
      </c>
      <c r="L478" s="2">
        <f t="shared" si="87"/>
        <v>1393487.1824999999</v>
      </c>
      <c r="N478" s="4">
        <f t="shared" si="81"/>
        <v>395871.20925000007</v>
      </c>
      <c r="O478" s="2">
        <f t="shared" si="83"/>
        <v>1915605.1907499998</v>
      </c>
    </row>
    <row r="479" spans="1:15" x14ac:dyDescent="0.3">
      <c r="A479" s="50">
        <v>44308</v>
      </c>
      <c r="B479" s="2">
        <v>478</v>
      </c>
      <c r="C479" s="4">
        <v>86659.040000000008</v>
      </c>
      <c r="D479" s="4">
        <f t="shared" si="77"/>
        <v>1199067.72</v>
      </c>
      <c r="E479" s="2">
        <f t="shared" si="78"/>
        <v>1064156.5114056172</v>
      </c>
      <c r="F479" s="2">
        <f t="shared" si="79"/>
        <v>1112408.68</v>
      </c>
      <c r="G479" s="4">
        <f t="shared" si="80"/>
        <v>894130.66</v>
      </c>
      <c r="H479" s="2">
        <f t="shared" si="84"/>
        <v>914234.97060942836</v>
      </c>
      <c r="I479" s="2">
        <f t="shared" si="85"/>
        <v>807471.62</v>
      </c>
      <c r="J479" s="4">
        <f t="shared" si="82"/>
        <v>741571.33250000002</v>
      </c>
      <c r="K479" s="2">
        <f t="shared" si="86"/>
        <v>788008.03793478583</v>
      </c>
      <c r="L479" s="2">
        <f t="shared" si="87"/>
        <v>654912.29249999998</v>
      </c>
      <c r="N479" s="4">
        <f t="shared" si="81"/>
        <v>963295.29130000016</v>
      </c>
      <c r="O479" s="2">
        <f t="shared" si="83"/>
        <v>876636.25130000012</v>
      </c>
    </row>
    <row r="480" spans="1:15" x14ac:dyDescent="0.3">
      <c r="A480" s="50">
        <v>44309</v>
      </c>
      <c r="B480" s="2">
        <v>479</v>
      </c>
      <c r="C480" s="4">
        <v>1532280.76</v>
      </c>
      <c r="D480" s="4">
        <f t="shared" si="77"/>
        <v>809469.9</v>
      </c>
      <c r="E480" s="2">
        <f t="shared" si="78"/>
        <v>938058.79631110595</v>
      </c>
      <c r="F480" s="2">
        <f t="shared" si="79"/>
        <v>722810.86</v>
      </c>
      <c r="G480" s="4">
        <f t="shared" si="80"/>
        <v>1310138.7333333334</v>
      </c>
      <c r="H480" s="2">
        <f t="shared" si="84"/>
        <v>918001.93885451369</v>
      </c>
      <c r="I480" s="2">
        <f t="shared" si="85"/>
        <v>222142.02666666661</v>
      </c>
      <c r="J480" s="4">
        <f t="shared" si="82"/>
        <v>1053668.1850000001</v>
      </c>
      <c r="K480" s="2">
        <f t="shared" si="86"/>
        <v>806845.25944369356</v>
      </c>
      <c r="L480" s="2">
        <f t="shared" si="87"/>
        <v>478612.57499999995</v>
      </c>
      <c r="N480" s="4">
        <f t="shared" si="81"/>
        <v>1120174.2152</v>
      </c>
      <c r="O480" s="2">
        <f t="shared" si="83"/>
        <v>412106.54480000003</v>
      </c>
    </row>
    <row r="481" spans="1:15" x14ac:dyDescent="0.3">
      <c r="A481" s="50">
        <v>44310</v>
      </c>
      <c r="B481" s="2">
        <v>480</v>
      </c>
      <c r="C481" s="4">
        <v>4241509.6899999995</v>
      </c>
      <c r="D481" s="4">
        <f t="shared" si="77"/>
        <v>2886895.2249999996</v>
      </c>
      <c r="E481" s="2">
        <f t="shared" si="78"/>
        <v>1085687.7746666339</v>
      </c>
      <c r="F481" s="2">
        <f t="shared" si="79"/>
        <v>1354614.4649999999</v>
      </c>
      <c r="G481" s="4">
        <f t="shared" si="80"/>
        <v>1953483.1633333331</v>
      </c>
      <c r="H481" s="2">
        <f t="shared" si="84"/>
        <v>1406700.9731812619</v>
      </c>
      <c r="I481" s="2">
        <f t="shared" si="85"/>
        <v>2288026.5266666664</v>
      </c>
      <c r="J481" s="4">
        <f t="shared" si="82"/>
        <v>2042981.4724999999</v>
      </c>
      <c r="K481" s="2">
        <f t="shared" si="86"/>
        <v>1363205.1348523493</v>
      </c>
      <c r="L481" s="2">
        <f t="shared" si="87"/>
        <v>2198528.2174999993</v>
      </c>
      <c r="N481" s="4">
        <f t="shared" si="81"/>
        <v>1060402.1354</v>
      </c>
      <c r="O481" s="2">
        <f t="shared" si="83"/>
        <v>3181107.5545999995</v>
      </c>
    </row>
    <row r="482" spans="1:15" x14ac:dyDescent="0.3">
      <c r="A482" s="50">
        <v>44311</v>
      </c>
      <c r="B482" s="2">
        <v>481</v>
      </c>
      <c r="C482" s="4">
        <v>406355.04000000004</v>
      </c>
      <c r="D482" s="4">
        <f t="shared" si="77"/>
        <v>2323932.3649999998</v>
      </c>
      <c r="E482" s="2">
        <f t="shared" si="78"/>
        <v>1660132.9986090558</v>
      </c>
      <c r="F482" s="2">
        <f t="shared" si="79"/>
        <v>1917577.3249999997</v>
      </c>
      <c r="G482" s="4">
        <f t="shared" si="80"/>
        <v>2060048.4966666664</v>
      </c>
      <c r="H482" s="2">
        <f t="shared" si="84"/>
        <v>1634942.8649919291</v>
      </c>
      <c r="I482" s="2">
        <f t="shared" si="85"/>
        <v>1653693.4566666663</v>
      </c>
      <c r="J482" s="4">
        <f t="shared" si="82"/>
        <v>1566701.1324999998</v>
      </c>
      <c r="K482" s="2">
        <f t="shared" si="86"/>
        <v>1307469.8357265722</v>
      </c>
      <c r="L482" s="2">
        <f t="shared" si="87"/>
        <v>1160346.0924999998</v>
      </c>
      <c r="N482" s="4">
        <f t="shared" si="81"/>
        <v>2121835.6731499997</v>
      </c>
      <c r="O482" s="2">
        <f t="shared" si="83"/>
        <v>1715480.6331499997</v>
      </c>
    </row>
    <row r="483" spans="1:15" x14ac:dyDescent="0.3">
      <c r="A483" s="50">
        <v>44312</v>
      </c>
      <c r="B483" s="2">
        <v>482</v>
      </c>
      <c r="C483" s="4">
        <v>1118802.3</v>
      </c>
      <c r="D483" s="4">
        <f t="shared" si="77"/>
        <v>762578.67</v>
      </c>
      <c r="E483" s="2">
        <f t="shared" si="78"/>
        <v>1379129.8111353645</v>
      </c>
      <c r="F483" s="2">
        <f t="shared" si="79"/>
        <v>356223.63</v>
      </c>
      <c r="G483" s="4">
        <f t="shared" si="80"/>
        <v>1922222.343333333</v>
      </c>
      <c r="H483" s="2">
        <f t="shared" si="84"/>
        <v>1694623.9702248806</v>
      </c>
      <c r="I483" s="2">
        <f t="shared" si="85"/>
        <v>803420.04333333299</v>
      </c>
      <c r="J483" s="4">
        <f t="shared" si="82"/>
        <v>1824736.9474999998</v>
      </c>
      <c r="K483" s="2">
        <f t="shared" si="86"/>
        <v>1314091.2355134273</v>
      </c>
      <c r="L483" s="2">
        <f t="shared" si="87"/>
        <v>705934.64749999973</v>
      </c>
      <c r="N483" s="4">
        <f t="shared" si="81"/>
        <v>2360702.5176499998</v>
      </c>
      <c r="O483" s="2">
        <f t="shared" si="83"/>
        <v>1241900.2176499998</v>
      </c>
    </row>
    <row r="484" spans="1:15" x14ac:dyDescent="0.3">
      <c r="A484" s="50">
        <v>44313</v>
      </c>
      <c r="B484" s="2">
        <v>483</v>
      </c>
      <c r="C484" s="4">
        <v>4515.72</v>
      </c>
      <c r="D484" s="4">
        <f t="shared" si="77"/>
        <v>561659.01</v>
      </c>
      <c r="E484" s="2">
        <f t="shared" si="78"/>
        <v>467602.35251889029</v>
      </c>
      <c r="F484" s="2">
        <f t="shared" si="79"/>
        <v>557143.29</v>
      </c>
      <c r="G484" s="4">
        <f t="shared" si="80"/>
        <v>509891.02</v>
      </c>
      <c r="H484" s="2">
        <f t="shared" si="84"/>
        <v>1100846.6451633142</v>
      </c>
      <c r="I484" s="2">
        <f t="shared" si="85"/>
        <v>505375.30000000005</v>
      </c>
      <c r="J484" s="4">
        <f t="shared" si="82"/>
        <v>1442795.6874999998</v>
      </c>
      <c r="K484" s="2">
        <f t="shared" si="86"/>
        <v>1478759.8156036439</v>
      </c>
      <c r="L484" s="2">
        <f t="shared" si="87"/>
        <v>1438279.9674999998</v>
      </c>
      <c r="N484" s="4">
        <f t="shared" si="81"/>
        <v>1488758.8950999998</v>
      </c>
      <c r="O484" s="2">
        <f t="shared" si="83"/>
        <v>1484243.1750999999</v>
      </c>
    </row>
    <row r="485" spans="1:15" x14ac:dyDescent="0.3">
      <c r="A485" s="50">
        <v>44314</v>
      </c>
      <c r="B485" s="2">
        <v>484</v>
      </c>
      <c r="C485" s="4">
        <v>1539253.0999999999</v>
      </c>
      <c r="D485" s="4">
        <f t="shared" si="77"/>
        <v>771884.40999999992</v>
      </c>
      <c r="E485" s="2">
        <f t="shared" si="78"/>
        <v>670545.80454445479</v>
      </c>
      <c r="F485" s="2">
        <f t="shared" si="79"/>
        <v>767368.69</v>
      </c>
      <c r="G485" s="4">
        <f t="shared" si="80"/>
        <v>887523.70666666667</v>
      </c>
      <c r="H485" s="2">
        <f t="shared" si="84"/>
        <v>664740.3407884062</v>
      </c>
      <c r="I485" s="2">
        <f t="shared" si="85"/>
        <v>651729.3933333332</v>
      </c>
      <c r="J485" s="4">
        <f t="shared" si="82"/>
        <v>767231.54</v>
      </c>
      <c r="K485" s="2">
        <f t="shared" si="86"/>
        <v>1061768.9643865093</v>
      </c>
      <c r="L485" s="2">
        <f t="shared" si="87"/>
        <v>772021.55999999982</v>
      </c>
      <c r="N485" s="4">
        <f t="shared" si="81"/>
        <v>588777.89850000013</v>
      </c>
      <c r="O485" s="2">
        <f t="shared" si="83"/>
        <v>950475.20149999973</v>
      </c>
    </row>
    <row r="486" spans="1:15" x14ac:dyDescent="0.3">
      <c r="A486" s="50">
        <v>44315</v>
      </c>
      <c r="B486" s="2">
        <v>485</v>
      </c>
      <c r="C486" s="4">
        <v>48432.03</v>
      </c>
      <c r="D486" s="4">
        <f t="shared" si="77"/>
        <v>793842.56499999994</v>
      </c>
      <c r="E486" s="2">
        <f t="shared" si="78"/>
        <v>756469.28955553193</v>
      </c>
      <c r="F486" s="2">
        <f t="shared" si="79"/>
        <v>745410.53499999992</v>
      </c>
      <c r="G486" s="4">
        <f t="shared" si="80"/>
        <v>530733.61666666658</v>
      </c>
      <c r="H486" s="2">
        <f t="shared" si="84"/>
        <v>551594.72335097287</v>
      </c>
      <c r="I486" s="2">
        <f t="shared" si="85"/>
        <v>482301.58666666655</v>
      </c>
      <c r="J486" s="4">
        <f t="shared" si="82"/>
        <v>677750.78749999998</v>
      </c>
      <c r="K486" s="2">
        <f t="shared" si="86"/>
        <v>943272.54533073935</v>
      </c>
      <c r="L486" s="2">
        <f t="shared" si="87"/>
        <v>629318.75749999995</v>
      </c>
      <c r="N486" s="4">
        <f t="shared" si="81"/>
        <v>763795.78989999997</v>
      </c>
      <c r="O486" s="2">
        <f t="shared" si="83"/>
        <v>715363.75989999995</v>
      </c>
    </row>
    <row r="487" spans="1:15" x14ac:dyDescent="0.3">
      <c r="A487" s="50">
        <v>44316</v>
      </c>
      <c r="B487" s="2">
        <v>486</v>
      </c>
      <c r="C487" s="4">
        <v>2936378.38</v>
      </c>
      <c r="D487" s="4">
        <f t="shared" si="77"/>
        <v>1492405.2049999998</v>
      </c>
      <c r="E487" s="2">
        <f t="shared" si="78"/>
        <v>1149063.8354348654</v>
      </c>
      <c r="F487" s="2">
        <f t="shared" si="79"/>
        <v>1443973.175</v>
      </c>
      <c r="G487" s="4">
        <f t="shared" si="80"/>
        <v>1508021.17</v>
      </c>
      <c r="H487" s="2">
        <f t="shared" si="84"/>
        <v>948256.3545783743</v>
      </c>
      <c r="I487" s="2">
        <f t="shared" si="85"/>
        <v>1428357.21</v>
      </c>
      <c r="J487" s="4">
        <f t="shared" si="82"/>
        <v>1132144.8074999999</v>
      </c>
      <c r="K487" s="2">
        <f t="shared" si="86"/>
        <v>1256579.4281196564</v>
      </c>
      <c r="L487" s="2">
        <f t="shared" si="87"/>
        <v>1804233.5725</v>
      </c>
      <c r="N487" s="4">
        <f t="shared" si="81"/>
        <v>702185.81795000006</v>
      </c>
      <c r="O487" s="2">
        <f t="shared" si="83"/>
        <v>2234192.5620499998</v>
      </c>
    </row>
    <row r="488" spans="1:15" x14ac:dyDescent="0.3">
      <c r="A488" s="50">
        <v>44317</v>
      </c>
      <c r="B488" s="2">
        <v>487</v>
      </c>
      <c r="C488" s="4">
        <v>317895.52</v>
      </c>
      <c r="D488" s="4">
        <f t="shared" si="77"/>
        <v>1627136.95</v>
      </c>
      <c r="E488" s="2">
        <f t="shared" si="78"/>
        <v>1378254.6303473872</v>
      </c>
      <c r="F488" s="2">
        <f t="shared" si="79"/>
        <v>1309241.43</v>
      </c>
      <c r="G488" s="4">
        <f t="shared" si="80"/>
        <v>1100901.9766666666</v>
      </c>
      <c r="H488" s="2">
        <f t="shared" si="84"/>
        <v>980802.09540318861</v>
      </c>
      <c r="I488" s="2">
        <f t="shared" si="85"/>
        <v>783006.45666666655</v>
      </c>
      <c r="J488" s="4">
        <f t="shared" si="82"/>
        <v>1210489.7574999998</v>
      </c>
      <c r="K488" s="2">
        <f t="shared" si="86"/>
        <v>1122947.3100507094</v>
      </c>
      <c r="L488" s="2">
        <f t="shared" si="87"/>
        <v>892594.23749999981</v>
      </c>
      <c r="N488" s="4">
        <f t="shared" si="81"/>
        <v>1343874.6926499999</v>
      </c>
      <c r="O488" s="2">
        <f t="shared" si="83"/>
        <v>1025979.1726499998</v>
      </c>
    </row>
    <row r="489" spans="1:15" x14ac:dyDescent="0.3">
      <c r="A489" s="50">
        <v>44318</v>
      </c>
      <c r="B489" s="2">
        <v>488</v>
      </c>
      <c r="C489" s="4">
        <v>90125.1</v>
      </c>
      <c r="D489" s="4">
        <f t="shared" si="77"/>
        <v>204010.31</v>
      </c>
      <c r="E489" s="2">
        <f t="shared" si="78"/>
        <v>929269.32669845212</v>
      </c>
      <c r="F489" s="2">
        <f t="shared" si="79"/>
        <v>113885.20999999999</v>
      </c>
      <c r="G489" s="4">
        <f t="shared" si="80"/>
        <v>1114799.6666666667</v>
      </c>
      <c r="H489" s="2">
        <f t="shared" si="84"/>
        <v>1111044.7632917697</v>
      </c>
      <c r="I489" s="2">
        <f t="shared" si="85"/>
        <v>1024674.5666666668</v>
      </c>
      <c r="J489" s="4">
        <f t="shared" si="82"/>
        <v>848207.75749999995</v>
      </c>
      <c r="K489" s="2">
        <f t="shared" si="86"/>
        <v>1120570.6884326758</v>
      </c>
      <c r="L489" s="2">
        <f t="shared" si="87"/>
        <v>758082.65749999997</v>
      </c>
      <c r="N489" s="4">
        <f t="shared" si="81"/>
        <v>1423838.4249</v>
      </c>
      <c r="O489" s="2">
        <f t="shared" si="83"/>
        <v>1333713.3248999999</v>
      </c>
    </row>
    <row r="490" spans="1:15" x14ac:dyDescent="0.3">
      <c r="A490" s="50">
        <v>44319</v>
      </c>
      <c r="B490" s="2">
        <v>489</v>
      </c>
      <c r="C490" s="4">
        <v>470122.56</v>
      </c>
      <c r="D490" s="4">
        <f t="shared" si="77"/>
        <v>280123.83</v>
      </c>
      <c r="E490" s="2">
        <f t="shared" si="78"/>
        <v>156635.49798554124</v>
      </c>
      <c r="F490" s="2">
        <f t="shared" si="79"/>
        <v>189998.72999999998</v>
      </c>
      <c r="G490" s="4">
        <f t="shared" si="80"/>
        <v>292714.39333333331</v>
      </c>
      <c r="H490" s="2">
        <f t="shared" si="84"/>
        <v>751560.76187163952</v>
      </c>
      <c r="I490" s="2">
        <f t="shared" si="85"/>
        <v>177408.16666666669</v>
      </c>
      <c r="J490" s="4">
        <f t="shared" si="82"/>
        <v>953630.39</v>
      </c>
      <c r="K490" s="2">
        <f t="shared" si="86"/>
        <v>1102321.6856058727</v>
      </c>
      <c r="L490" s="2">
        <f t="shared" si="87"/>
        <v>483507.83</v>
      </c>
      <c r="N490" s="4">
        <f t="shared" si="81"/>
        <v>817658.6584999999</v>
      </c>
      <c r="O490" s="2">
        <f t="shared" si="83"/>
        <v>347536.09849999991</v>
      </c>
    </row>
    <row r="491" spans="1:15" x14ac:dyDescent="0.3">
      <c r="A491" s="50">
        <v>44320</v>
      </c>
      <c r="B491" s="2">
        <v>490</v>
      </c>
      <c r="C491" s="4">
        <v>242819.83000000002</v>
      </c>
      <c r="D491" s="4">
        <f t="shared" si="77"/>
        <v>356471.19500000001</v>
      </c>
      <c r="E491" s="2">
        <f t="shared" si="78"/>
        <v>156550.55120946735</v>
      </c>
      <c r="F491" s="2">
        <f t="shared" si="79"/>
        <v>113651.36499999999</v>
      </c>
      <c r="G491" s="4">
        <f t="shared" si="80"/>
        <v>267689.16333333333</v>
      </c>
      <c r="H491" s="2">
        <f t="shared" si="84"/>
        <v>600569.20470333635</v>
      </c>
      <c r="I491" s="2">
        <f t="shared" si="85"/>
        <v>24869.333333333314</v>
      </c>
      <c r="J491" s="4">
        <f t="shared" si="82"/>
        <v>280240.7525</v>
      </c>
      <c r="K491" s="2">
        <f t="shared" si="86"/>
        <v>633757.43300030183</v>
      </c>
      <c r="L491" s="2">
        <f t="shared" si="87"/>
        <v>37420.922499999986</v>
      </c>
      <c r="N491" s="4">
        <f t="shared" si="81"/>
        <v>267533.7415</v>
      </c>
      <c r="O491" s="2">
        <f t="shared" si="83"/>
        <v>24713.911499999987</v>
      </c>
    </row>
    <row r="492" spans="1:15" x14ac:dyDescent="0.3">
      <c r="A492" s="50">
        <v>44321</v>
      </c>
      <c r="B492" s="2">
        <v>491</v>
      </c>
      <c r="C492" s="4">
        <v>646879.52</v>
      </c>
      <c r="D492" s="4">
        <f t="shared" si="77"/>
        <v>444849.67500000005</v>
      </c>
      <c r="E492" s="2">
        <f t="shared" si="78"/>
        <v>163909.56506117518</v>
      </c>
      <c r="F492" s="2">
        <f t="shared" si="79"/>
        <v>202029.84499999997</v>
      </c>
      <c r="G492" s="4">
        <f t="shared" si="80"/>
        <v>453273.97000000003</v>
      </c>
      <c r="H492" s="2">
        <f t="shared" si="84"/>
        <v>152288.37812001581</v>
      </c>
      <c r="I492" s="2">
        <f t="shared" si="85"/>
        <v>193605.55</v>
      </c>
      <c r="J492" s="4">
        <f t="shared" si="82"/>
        <v>362486.7525</v>
      </c>
      <c r="K492" s="2">
        <f t="shared" si="86"/>
        <v>471897.42236015428</v>
      </c>
      <c r="L492" s="2">
        <f t="shared" si="87"/>
        <v>284392.76750000002</v>
      </c>
      <c r="N492" s="4">
        <f t="shared" si="81"/>
        <v>310376.70425000001</v>
      </c>
      <c r="O492" s="2">
        <f t="shared" si="83"/>
        <v>336502.81575000001</v>
      </c>
    </row>
    <row r="493" spans="1:15" x14ac:dyDescent="0.3">
      <c r="A493" s="50">
        <v>44322</v>
      </c>
      <c r="B493" s="2">
        <v>492</v>
      </c>
      <c r="C493" s="4">
        <v>78869.45</v>
      </c>
      <c r="D493" s="4">
        <f t="shared" si="77"/>
        <v>362874.48499999999</v>
      </c>
      <c r="E493" s="2">
        <f t="shared" si="78"/>
        <v>246449.70904433547</v>
      </c>
      <c r="F493" s="2">
        <f t="shared" si="79"/>
        <v>284005.03499999997</v>
      </c>
      <c r="G493" s="4">
        <f t="shared" si="80"/>
        <v>322856.26666666666</v>
      </c>
      <c r="H493" s="2">
        <f t="shared" si="84"/>
        <v>180398.7799648144</v>
      </c>
      <c r="I493" s="2">
        <f t="shared" si="85"/>
        <v>243986.81666666665</v>
      </c>
      <c r="J493" s="4">
        <f t="shared" si="82"/>
        <v>359672.84</v>
      </c>
      <c r="K493" s="2">
        <f t="shared" si="86"/>
        <v>314209.30013044697</v>
      </c>
      <c r="L493" s="2">
        <f t="shared" si="87"/>
        <v>280803.39</v>
      </c>
      <c r="N493" s="4">
        <f t="shared" si="81"/>
        <v>428186.42675000004</v>
      </c>
      <c r="O493" s="2">
        <f t="shared" si="83"/>
        <v>349316.97675000003</v>
      </c>
    </row>
    <row r="494" spans="1:15" x14ac:dyDescent="0.3">
      <c r="A494" s="50">
        <v>44323</v>
      </c>
      <c r="B494" s="2">
        <v>493</v>
      </c>
      <c r="C494" s="4">
        <v>1429206.8</v>
      </c>
      <c r="D494" s="4">
        <f t="shared" si="77"/>
        <v>754038.125</v>
      </c>
      <c r="E494" s="2">
        <f t="shared" si="78"/>
        <v>517934.16551073693</v>
      </c>
      <c r="F494" s="2">
        <f t="shared" si="79"/>
        <v>675168.67500000005</v>
      </c>
      <c r="G494" s="4">
        <f t="shared" si="80"/>
        <v>718318.59</v>
      </c>
      <c r="H494" s="2">
        <f t="shared" si="84"/>
        <v>448097.72848302498</v>
      </c>
      <c r="I494" s="2">
        <f t="shared" si="85"/>
        <v>710888.21000000008</v>
      </c>
      <c r="J494" s="4">
        <f t="shared" si="82"/>
        <v>599443.9</v>
      </c>
      <c r="K494" s="2">
        <f t="shared" si="86"/>
        <v>460878.66779092798</v>
      </c>
      <c r="L494" s="2">
        <f t="shared" si="87"/>
        <v>829762.9</v>
      </c>
      <c r="N494" s="4">
        <f t="shared" si="81"/>
        <v>367703.01474999997</v>
      </c>
      <c r="O494" s="2">
        <f t="shared" si="83"/>
        <v>1061503.7852500002</v>
      </c>
    </row>
    <row r="495" spans="1:15" x14ac:dyDescent="0.3">
      <c r="A495" s="50">
        <v>44324</v>
      </c>
      <c r="B495" s="2">
        <v>494</v>
      </c>
      <c r="C495" s="4">
        <v>60477.06</v>
      </c>
      <c r="D495" s="4">
        <f t="shared" si="77"/>
        <v>744841.93</v>
      </c>
      <c r="E495" s="2">
        <f t="shared" si="78"/>
        <v>679782.32361226226</v>
      </c>
      <c r="F495" s="2">
        <f t="shared" si="79"/>
        <v>684364.87000000011</v>
      </c>
      <c r="G495" s="4">
        <f t="shared" si="80"/>
        <v>522851.10333333333</v>
      </c>
      <c r="H495" s="2">
        <f t="shared" si="84"/>
        <v>509470.76127178385</v>
      </c>
      <c r="I495" s="2">
        <f t="shared" si="85"/>
        <v>462374.04333333333</v>
      </c>
      <c r="J495" s="4">
        <f t="shared" si="82"/>
        <v>553858.20750000002</v>
      </c>
      <c r="K495" s="2">
        <f t="shared" si="86"/>
        <v>522412.96331700747</v>
      </c>
      <c r="L495" s="2">
        <f t="shared" si="87"/>
        <v>493381.14750000002</v>
      </c>
      <c r="N495" s="4">
        <f t="shared" si="81"/>
        <v>656194.67764999997</v>
      </c>
      <c r="O495" s="2">
        <f t="shared" si="83"/>
        <v>595717.61764999991</v>
      </c>
    </row>
    <row r="496" spans="1:15" x14ac:dyDescent="0.3">
      <c r="A496" s="50">
        <v>44325</v>
      </c>
      <c r="B496" s="2">
        <v>495</v>
      </c>
      <c r="C496" s="4">
        <v>3041801.91</v>
      </c>
      <c r="D496" s="4">
        <f t="shared" si="77"/>
        <v>1551139.4850000001</v>
      </c>
      <c r="E496" s="2">
        <f t="shared" si="78"/>
        <v>1159833.9839384337</v>
      </c>
      <c r="F496" s="2">
        <f t="shared" si="79"/>
        <v>1490662.425</v>
      </c>
      <c r="G496" s="4">
        <f t="shared" si="80"/>
        <v>1510495.2566666668</v>
      </c>
      <c r="H496" s="2">
        <f t="shared" si="84"/>
        <v>1010618.9307561897</v>
      </c>
      <c r="I496" s="2">
        <f t="shared" si="85"/>
        <v>1531306.6533333333</v>
      </c>
      <c r="J496" s="4">
        <f t="shared" si="82"/>
        <v>1152588.8050000002</v>
      </c>
      <c r="K496" s="2">
        <f t="shared" si="86"/>
        <v>1070035.9955235221</v>
      </c>
      <c r="L496" s="2">
        <f t="shared" si="87"/>
        <v>1889213.105</v>
      </c>
      <c r="N496" s="4">
        <f t="shared" si="81"/>
        <v>673608.12010000006</v>
      </c>
      <c r="O496" s="2">
        <f t="shared" si="83"/>
        <v>2368193.7899000002</v>
      </c>
    </row>
    <row r="497" spans="1:15" x14ac:dyDescent="0.3">
      <c r="A497" s="50">
        <v>44326</v>
      </c>
      <c r="B497" s="2">
        <v>496</v>
      </c>
      <c r="C497" s="4">
        <v>809429.5</v>
      </c>
      <c r="D497" s="4">
        <f t="shared" si="77"/>
        <v>1925615.7050000001</v>
      </c>
      <c r="E497" s="2">
        <f t="shared" si="78"/>
        <v>1316804.1064522816</v>
      </c>
      <c r="F497" s="2">
        <f t="shared" si="79"/>
        <v>1116186.2050000001</v>
      </c>
      <c r="G497" s="4">
        <f t="shared" si="80"/>
        <v>1303902.8233333335</v>
      </c>
      <c r="H497" s="2">
        <f t="shared" si="84"/>
        <v>966642.58992653887</v>
      </c>
      <c r="I497" s="2">
        <f t="shared" si="85"/>
        <v>494473.32333333348</v>
      </c>
      <c r="J497" s="4">
        <f t="shared" si="82"/>
        <v>1335228.8175000001</v>
      </c>
      <c r="K497" s="2">
        <f t="shared" si="86"/>
        <v>1092877.2238124502</v>
      </c>
      <c r="L497" s="2">
        <f t="shared" si="87"/>
        <v>525799.31750000012</v>
      </c>
      <c r="N497" s="4">
        <f t="shared" si="81"/>
        <v>1360341.4275500001</v>
      </c>
      <c r="O497" s="2">
        <f t="shared" si="83"/>
        <v>550911.92755000014</v>
      </c>
    </row>
    <row r="498" spans="1:15" x14ac:dyDescent="0.3">
      <c r="A498" s="50">
        <v>44327</v>
      </c>
      <c r="B498" s="2">
        <v>497</v>
      </c>
      <c r="C498" s="4">
        <v>1129702.32</v>
      </c>
      <c r="D498" s="4">
        <f t="shared" si="77"/>
        <v>969565.91</v>
      </c>
      <c r="E498" s="2">
        <f t="shared" si="78"/>
        <v>797344.12709945708</v>
      </c>
      <c r="F498" s="2">
        <f t="shared" si="79"/>
        <v>160136.41000000003</v>
      </c>
      <c r="G498" s="4">
        <f t="shared" si="80"/>
        <v>1660311.2433333334</v>
      </c>
      <c r="H498" s="2">
        <f t="shared" si="84"/>
        <v>978255.20929734968</v>
      </c>
      <c r="I498" s="2">
        <f t="shared" si="85"/>
        <v>530608.92333333334</v>
      </c>
      <c r="J498" s="4">
        <f t="shared" si="82"/>
        <v>1260352.6975</v>
      </c>
      <c r="K498" s="2">
        <f t="shared" si="86"/>
        <v>1013173.9184656942</v>
      </c>
      <c r="L498" s="2">
        <f t="shared" si="87"/>
        <v>130650.37749999994</v>
      </c>
      <c r="N498" s="4">
        <f t="shared" si="81"/>
        <v>1638065.6856500003</v>
      </c>
      <c r="O498" s="2">
        <f t="shared" si="83"/>
        <v>508363.36565000028</v>
      </c>
    </row>
    <row r="499" spans="1:15" x14ac:dyDescent="0.3">
      <c r="A499" s="50">
        <v>44328</v>
      </c>
      <c r="B499" s="2">
        <v>498</v>
      </c>
      <c r="C499" s="4">
        <v>159716.53</v>
      </c>
      <c r="D499" s="4">
        <f t="shared" si="77"/>
        <v>644709.42500000005</v>
      </c>
      <c r="E499" s="2">
        <f t="shared" si="78"/>
        <v>361152.1687655836</v>
      </c>
      <c r="F499" s="2">
        <f t="shared" si="79"/>
        <v>484992.89500000002</v>
      </c>
      <c r="G499" s="4">
        <f t="shared" si="80"/>
        <v>699616.1166666667</v>
      </c>
      <c r="H499" s="2">
        <f t="shared" si="84"/>
        <v>522028.49880445801</v>
      </c>
      <c r="I499" s="2">
        <f t="shared" si="85"/>
        <v>539899.58666666667</v>
      </c>
      <c r="J499" s="4">
        <f t="shared" si="82"/>
        <v>1285162.5650000002</v>
      </c>
      <c r="K499" s="2">
        <f t="shared" si="86"/>
        <v>1132396.7256692022</v>
      </c>
      <c r="L499" s="2">
        <f t="shared" si="87"/>
        <v>1125446.0350000001</v>
      </c>
      <c r="N499" s="4">
        <f t="shared" si="81"/>
        <v>1407842.8249000001</v>
      </c>
      <c r="O499" s="2">
        <f t="shared" si="83"/>
        <v>1248126.2949000001</v>
      </c>
    </row>
    <row r="500" spans="1:15" x14ac:dyDescent="0.3">
      <c r="A500" s="50">
        <v>44329</v>
      </c>
      <c r="B500" s="2">
        <v>499</v>
      </c>
      <c r="C500" s="4">
        <v>953008.1</v>
      </c>
      <c r="D500" s="4">
        <f t="shared" si="77"/>
        <v>556362.31499999994</v>
      </c>
      <c r="E500" s="2">
        <f t="shared" si="78"/>
        <v>443027.07984882104</v>
      </c>
      <c r="F500" s="2">
        <f t="shared" si="79"/>
        <v>396645.78500000003</v>
      </c>
      <c r="G500" s="4">
        <f t="shared" si="80"/>
        <v>747475.65</v>
      </c>
      <c r="H500" s="2">
        <f t="shared" si="84"/>
        <v>452872.6757072747</v>
      </c>
      <c r="I500" s="2">
        <f t="shared" si="85"/>
        <v>205532.44999999995</v>
      </c>
      <c r="J500" s="4">
        <f t="shared" si="82"/>
        <v>762964.11250000005</v>
      </c>
      <c r="K500" s="2">
        <f t="shared" si="86"/>
        <v>631719.8624205353</v>
      </c>
      <c r="L500" s="2">
        <f t="shared" si="87"/>
        <v>190043.98749999993</v>
      </c>
      <c r="N500" s="4">
        <f t="shared" si="81"/>
        <v>734297.05995000014</v>
      </c>
      <c r="O500" s="2">
        <f t="shared" si="83"/>
        <v>218711.04004999984</v>
      </c>
    </row>
    <row r="501" spans="1:15" x14ac:dyDescent="0.3">
      <c r="A501" s="50">
        <v>44330</v>
      </c>
      <c r="B501" s="2">
        <v>500</v>
      </c>
      <c r="C501" s="4">
        <v>989005.6</v>
      </c>
      <c r="D501" s="4">
        <f t="shared" si="77"/>
        <v>971006.85</v>
      </c>
      <c r="E501" s="2">
        <f t="shared" si="78"/>
        <v>280759.53568830818</v>
      </c>
      <c r="F501" s="2">
        <f t="shared" si="79"/>
        <v>17998.75</v>
      </c>
      <c r="G501" s="4">
        <f t="shared" si="80"/>
        <v>700576.74333333329</v>
      </c>
      <c r="H501" s="2">
        <f t="shared" si="84"/>
        <v>372794.11522710521</v>
      </c>
      <c r="I501" s="2">
        <f t="shared" si="85"/>
        <v>288428.85666666669</v>
      </c>
      <c r="J501" s="4">
        <f t="shared" si="82"/>
        <v>807858.13750000007</v>
      </c>
      <c r="K501" s="2">
        <f t="shared" si="86"/>
        <v>581512.98764369905</v>
      </c>
      <c r="L501" s="2">
        <f t="shared" si="87"/>
        <v>181147.46249999991</v>
      </c>
      <c r="N501" s="4">
        <f t="shared" si="81"/>
        <v>638866.07975000003</v>
      </c>
      <c r="O501" s="2">
        <f t="shared" si="83"/>
        <v>350139.52024999994</v>
      </c>
    </row>
    <row r="502" spans="1:15" x14ac:dyDescent="0.3">
      <c r="A502" s="50">
        <v>44331</v>
      </c>
      <c r="B502" s="2">
        <v>501</v>
      </c>
      <c r="C502" s="4">
        <v>308364.18000000005</v>
      </c>
      <c r="D502" s="4">
        <f t="shared" si="77"/>
        <v>648684.89</v>
      </c>
      <c r="E502" s="2">
        <f t="shared" si="78"/>
        <v>240979.39814065699</v>
      </c>
      <c r="F502" s="2">
        <f t="shared" si="79"/>
        <v>340320.70999999996</v>
      </c>
      <c r="G502" s="4">
        <f t="shared" si="80"/>
        <v>750125.96</v>
      </c>
      <c r="H502" s="2">
        <f t="shared" si="84"/>
        <v>326898.69155943475</v>
      </c>
      <c r="I502" s="2">
        <f t="shared" si="85"/>
        <v>441761.77999999991</v>
      </c>
      <c r="J502" s="4">
        <f t="shared" si="82"/>
        <v>602523.60250000004</v>
      </c>
      <c r="K502" s="2">
        <f t="shared" si="86"/>
        <v>596257.00496888172</v>
      </c>
      <c r="L502" s="2">
        <f t="shared" si="87"/>
        <v>294159.42249999999</v>
      </c>
      <c r="N502" s="4">
        <f t="shared" si="81"/>
        <v>790543.11710000003</v>
      </c>
      <c r="O502" s="2">
        <f t="shared" si="83"/>
        <v>482178.93709999998</v>
      </c>
    </row>
    <row r="503" spans="1:15" x14ac:dyDescent="0.3">
      <c r="A503" s="50">
        <v>44332</v>
      </c>
      <c r="B503" s="2">
        <v>502</v>
      </c>
      <c r="C503" s="4">
        <v>4177883.1999999997</v>
      </c>
      <c r="D503" s="4">
        <f t="shared" si="77"/>
        <v>2243123.69</v>
      </c>
      <c r="E503" s="2">
        <f t="shared" si="78"/>
        <v>1389084.689137121</v>
      </c>
      <c r="F503" s="2">
        <f t="shared" si="79"/>
        <v>1934759.5099999998</v>
      </c>
      <c r="G503" s="4">
        <f t="shared" si="80"/>
        <v>1825084.3266666664</v>
      </c>
      <c r="H503" s="2">
        <f t="shared" si="84"/>
        <v>1392121.5480919054</v>
      </c>
      <c r="I503" s="2">
        <f t="shared" si="85"/>
        <v>2352798.8733333331</v>
      </c>
      <c r="J503" s="4">
        <f t="shared" si="82"/>
        <v>1607065.27</v>
      </c>
      <c r="K503" s="2">
        <f t="shared" si="86"/>
        <v>1300438.9369949389</v>
      </c>
      <c r="L503" s="2">
        <f t="shared" si="87"/>
        <v>2570817.9299999997</v>
      </c>
      <c r="N503" s="4">
        <f t="shared" si="81"/>
        <v>753071.27430000005</v>
      </c>
      <c r="O503" s="2">
        <f t="shared" si="83"/>
        <v>3424811.9256999996</v>
      </c>
    </row>
    <row r="504" spans="1:15" x14ac:dyDescent="0.3">
      <c r="A504" s="50">
        <v>44333</v>
      </c>
      <c r="B504" s="2">
        <v>503</v>
      </c>
      <c r="C504" s="4">
        <v>72139.56</v>
      </c>
      <c r="D504" s="4">
        <f t="shared" si="77"/>
        <v>2125011.38</v>
      </c>
      <c r="E504" s="2">
        <f t="shared" si="78"/>
        <v>1994690.0850615303</v>
      </c>
      <c r="F504" s="2">
        <f t="shared" si="79"/>
        <v>2052871.8199999998</v>
      </c>
      <c r="G504" s="4">
        <f t="shared" si="80"/>
        <v>1519462.3133333332</v>
      </c>
      <c r="H504" s="2">
        <f t="shared" si="84"/>
        <v>1615091.2421020006</v>
      </c>
      <c r="I504" s="2">
        <f t="shared" si="85"/>
        <v>1447322.7533333332</v>
      </c>
      <c r="J504" s="4">
        <f t="shared" si="82"/>
        <v>1386848.1349999998</v>
      </c>
      <c r="K504" s="2">
        <f t="shared" si="86"/>
        <v>1454038.1387195229</v>
      </c>
      <c r="L504" s="2">
        <f t="shared" si="87"/>
        <v>1314708.5749999997</v>
      </c>
      <c r="N504" s="4">
        <f t="shared" si="81"/>
        <v>1754394.1641000002</v>
      </c>
      <c r="O504" s="2">
        <f t="shared" si="83"/>
        <v>1682254.6041000001</v>
      </c>
    </row>
    <row r="505" spans="1:15" x14ac:dyDescent="0.3">
      <c r="A505" s="50">
        <v>44334</v>
      </c>
      <c r="B505" s="2">
        <v>504</v>
      </c>
      <c r="C505" s="4">
        <v>5944929.9199999999</v>
      </c>
      <c r="D505" s="4">
        <f t="shared" si="77"/>
        <v>3008534.7399999998</v>
      </c>
      <c r="E505" s="2">
        <f t="shared" si="78"/>
        <v>2533446.2065018616</v>
      </c>
      <c r="F505" s="2">
        <f t="shared" si="79"/>
        <v>2936395.18</v>
      </c>
      <c r="G505" s="4">
        <f t="shared" si="80"/>
        <v>3398317.56</v>
      </c>
      <c r="H505" s="2">
        <f t="shared" si="84"/>
        <v>2169150.3868857464</v>
      </c>
      <c r="I505" s="2">
        <f t="shared" si="85"/>
        <v>2546612.36</v>
      </c>
      <c r="J505" s="4">
        <f t="shared" si="82"/>
        <v>2625829.2149999999</v>
      </c>
      <c r="K505" s="2">
        <f t="shared" si="86"/>
        <v>2204570.4072542707</v>
      </c>
      <c r="L505" s="2">
        <f t="shared" si="87"/>
        <v>3319100.7050000001</v>
      </c>
      <c r="N505" s="4">
        <f t="shared" si="81"/>
        <v>1951164.8962000001</v>
      </c>
      <c r="O505" s="2">
        <f t="shared" si="83"/>
        <v>3993765.0237999996</v>
      </c>
    </row>
    <row r="506" spans="1:15" x14ac:dyDescent="0.3">
      <c r="A506" s="50">
        <v>44335</v>
      </c>
      <c r="B506" s="2">
        <v>505</v>
      </c>
      <c r="C506" s="4">
        <v>1582440.3</v>
      </c>
      <c r="D506" s="4">
        <f t="shared" si="77"/>
        <v>3763685.11</v>
      </c>
      <c r="E506" s="2">
        <f t="shared" si="78"/>
        <v>2586527.1672920012</v>
      </c>
      <c r="F506" s="2">
        <f t="shared" si="79"/>
        <v>2181244.8099999996</v>
      </c>
      <c r="G506" s="4">
        <f t="shared" si="80"/>
        <v>2533169.9266666663</v>
      </c>
      <c r="H506" s="2">
        <f t="shared" si="84"/>
        <v>1778001.1705510665</v>
      </c>
      <c r="I506" s="2">
        <f t="shared" si="85"/>
        <v>950729.62666666624</v>
      </c>
      <c r="J506" s="4">
        <f t="shared" si="82"/>
        <v>2944348.2450000001</v>
      </c>
      <c r="K506" s="2">
        <f t="shared" si="86"/>
        <v>2302649.8977793842</v>
      </c>
      <c r="L506" s="2">
        <f t="shared" si="87"/>
        <v>1361907.9450000001</v>
      </c>
      <c r="N506" s="4">
        <f t="shared" si="81"/>
        <v>2942787.9313999997</v>
      </c>
      <c r="O506" s="2">
        <f t="shared" si="83"/>
        <v>1360347.6313999996</v>
      </c>
    </row>
    <row r="507" spans="1:15" x14ac:dyDescent="0.3">
      <c r="A507" s="50">
        <v>44336</v>
      </c>
      <c r="B507" s="2">
        <v>506</v>
      </c>
      <c r="C507" s="4">
        <v>2487448.3199999998</v>
      </c>
      <c r="D507" s="4">
        <f t="shared" si="77"/>
        <v>2034944.31</v>
      </c>
      <c r="E507" s="2">
        <f t="shared" si="78"/>
        <v>1575212.4936366545</v>
      </c>
      <c r="F507" s="2">
        <f t="shared" si="79"/>
        <v>452504.00999999978</v>
      </c>
      <c r="G507" s="4">
        <f t="shared" si="80"/>
        <v>3338272.8466666662</v>
      </c>
      <c r="H507" s="2">
        <f t="shared" si="84"/>
        <v>1644488.1382266097</v>
      </c>
      <c r="I507" s="2">
        <f t="shared" si="85"/>
        <v>850824.52666666638</v>
      </c>
      <c r="J507" s="4">
        <f t="shared" si="82"/>
        <v>2521739.5249999999</v>
      </c>
      <c r="K507" s="2">
        <f t="shared" si="86"/>
        <v>1910553.4057246675</v>
      </c>
      <c r="L507" s="2">
        <f t="shared" si="87"/>
        <v>34291.205000000075</v>
      </c>
      <c r="N507" s="4">
        <f t="shared" si="81"/>
        <v>3191482.0181</v>
      </c>
      <c r="O507" s="2">
        <f t="shared" si="83"/>
        <v>704033.69810000015</v>
      </c>
    </row>
    <row r="508" spans="1:15" x14ac:dyDescent="0.3">
      <c r="A508" s="50">
        <v>44337</v>
      </c>
      <c r="B508" s="2">
        <v>507</v>
      </c>
      <c r="C508" s="4">
        <v>1908896</v>
      </c>
      <c r="D508" s="4">
        <f t="shared" si="77"/>
        <v>2198172.16</v>
      </c>
      <c r="E508" s="2">
        <f t="shared" si="78"/>
        <v>379763.46309935191</v>
      </c>
      <c r="F508" s="2">
        <f t="shared" si="79"/>
        <v>289276.16000000015</v>
      </c>
      <c r="G508" s="4">
        <f t="shared" si="80"/>
        <v>1992928.2066666668</v>
      </c>
      <c r="H508" s="2">
        <f t="shared" si="84"/>
        <v>738207.42567306582</v>
      </c>
      <c r="I508" s="2">
        <f t="shared" si="85"/>
        <v>84032.206666666782</v>
      </c>
      <c r="J508" s="4">
        <f t="shared" si="82"/>
        <v>2980928.6349999998</v>
      </c>
      <c r="K508" s="2">
        <f t="shared" si="86"/>
        <v>1872274.8594845133</v>
      </c>
      <c r="L508" s="2">
        <f t="shared" si="87"/>
        <v>1072032.6349999998</v>
      </c>
      <c r="N508" s="4">
        <f t="shared" si="81"/>
        <v>2845365.7031</v>
      </c>
      <c r="O508" s="2">
        <f t="shared" si="83"/>
        <v>936469.70310000004</v>
      </c>
    </row>
    <row r="509" spans="1:15" x14ac:dyDescent="0.3">
      <c r="A509" s="50">
        <v>44338</v>
      </c>
      <c r="B509" s="2">
        <v>508</v>
      </c>
      <c r="C509" s="4">
        <v>14116.29</v>
      </c>
      <c r="D509" s="4">
        <f t="shared" si="77"/>
        <v>961506.14500000002</v>
      </c>
      <c r="E509" s="2">
        <f t="shared" si="78"/>
        <v>700438.51768062648</v>
      </c>
      <c r="F509" s="2">
        <f t="shared" si="79"/>
        <v>947389.85499999998</v>
      </c>
      <c r="G509" s="4">
        <f t="shared" si="80"/>
        <v>1470153.5366666669</v>
      </c>
      <c r="H509" s="2">
        <f t="shared" si="84"/>
        <v>974851.82645286736</v>
      </c>
      <c r="I509" s="2">
        <f t="shared" si="85"/>
        <v>1456037.2466666668</v>
      </c>
      <c r="J509" s="4">
        <f t="shared" si="82"/>
        <v>1498225.2275</v>
      </c>
      <c r="K509" s="2">
        <f t="shared" si="86"/>
        <v>1141030.5042227067</v>
      </c>
      <c r="L509" s="2">
        <f t="shared" si="87"/>
        <v>1484108.9375</v>
      </c>
      <c r="N509" s="4">
        <f t="shared" si="81"/>
        <v>2094531.5284000002</v>
      </c>
      <c r="O509" s="2">
        <f t="shared" si="83"/>
        <v>2080415.2384000001</v>
      </c>
    </row>
    <row r="510" spans="1:15" x14ac:dyDescent="0.3">
      <c r="A510" s="50">
        <v>44339</v>
      </c>
      <c r="B510" s="2">
        <v>509</v>
      </c>
      <c r="C510" s="4">
        <v>602080.68000000005</v>
      </c>
      <c r="D510" s="4">
        <f t="shared" si="77"/>
        <v>308098.48500000004</v>
      </c>
      <c r="E510" s="2">
        <f t="shared" si="78"/>
        <v>701417.51772176998</v>
      </c>
      <c r="F510" s="2">
        <f t="shared" si="79"/>
        <v>293982.19500000001</v>
      </c>
      <c r="G510" s="4">
        <f t="shared" si="80"/>
        <v>841697.65666666673</v>
      </c>
      <c r="H510" s="2">
        <f t="shared" si="84"/>
        <v>853331.1531765362</v>
      </c>
      <c r="I510" s="2">
        <f t="shared" si="85"/>
        <v>239616.97666666668</v>
      </c>
      <c r="J510" s="4">
        <f t="shared" si="82"/>
        <v>1253135.3225</v>
      </c>
      <c r="K510" s="2">
        <f t="shared" si="86"/>
        <v>971710.00601176999</v>
      </c>
      <c r="L510" s="2">
        <f t="shared" si="87"/>
        <v>651054.64249999996</v>
      </c>
      <c r="N510" s="4">
        <f t="shared" si="81"/>
        <v>1401426.30755</v>
      </c>
      <c r="O510" s="2">
        <f t="shared" si="83"/>
        <v>799345.62754999998</v>
      </c>
    </row>
    <row r="511" spans="1:15" x14ac:dyDescent="0.3">
      <c r="A511" s="50">
        <v>44340</v>
      </c>
      <c r="B511" s="2">
        <v>510</v>
      </c>
      <c r="C511" s="4">
        <v>57062.28</v>
      </c>
      <c r="D511" s="4">
        <f t="shared" si="77"/>
        <v>329571.48000000004</v>
      </c>
      <c r="E511" s="2">
        <f t="shared" si="78"/>
        <v>283449.10924331559</v>
      </c>
      <c r="F511" s="2">
        <f t="shared" si="79"/>
        <v>272509.20000000007</v>
      </c>
      <c r="G511" s="4">
        <f t="shared" si="80"/>
        <v>224419.75000000003</v>
      </c>
      <c r="H511" s="2">
        <f t="shared" si="84"/>
        <v>857412.63538476091</v>
      </c>
      <c r="I511" s="2">
        <f t="shared" si="85"/>
        <v>167357.47000000003</v>
      </c>
      <c r="J511" s="4">
        <f t="shared" si="82"/>
        <v>645538.8125</v>
      </c>
      <c r="K511" s="2">
        <f t="shared" si="86"/>
        <v>1015136.7008556592</v>
      </c>
      <c r="L511" s="2">
        <f t="shared" si="87"/>
        <v>588476.53249999997</v>
      </c>
      <c r="N511" s="4">
        <f t="shared" si="81"/>
        <v>627935.89685000002</v>
      </c>
      <c r="O511" s="2">
        <f t="shared" si="83"/>
        <v>570873.61684999999</v>
      </c>
    </row>
    <row r="512" spans="1:15" x14ac:dyDescent="0.3">
      <c r="A512" s="50">
        <v>44341</v>
      </c>
      <c r="B512" s="2">
        <v>511</v>
      </c>
      <c r="C512" s="4">
        <v>217842.95</v>
      </c>
      <c r="D512" s="4">
        <f t="shared" si="77"/>
        <v>137452.61499999999</v>
      </c>
      <c r="E512" s="2">
        <f t="shared" si="78"/>
        <v>200902.7999382441</v>
      </c>
      <c r="F512" s="2">
        <f t="shared" si="79"/>
        <v>80390.335000000021</v>
      </c>
      <c r="G512" s="4">
        <f t="shared" si="80"/>
        <v>292328.63666666672</v>
      </c>
      <c r="H512" s="2">
        <f t="shared" si="84"/>
        <v>174138.7720467785</v>
      </c>
      <c r="I512" s="2">
        <f t="shared" si="85"/>
        <v>74485.686666666705</v>
      </c>
      <c r="J512" s="4">
        <f t="shared" si="82"/>
        <v>222775.55000000005</v>
      </c>
      <c r="K512" s="2">
        <f t="shared" si="86"/>
        <v>862087.64718765183</v>
      </c>
      <c r="L512" s="2">
        <f t="shared" si="87"/>
        <v>4932.6000000000349</v>
      </c>
      <c r="N512" s="4">
        <f t="shared" si="81"/>
        <v>290147.35020000004</v>
      </c>
      <c r="O512" s="2">
        <f t="shared" si="83"/>
        <v>72304.400200000033</v>
      </c>
    </row>
    <row r="513" spans="1:15" x14ac:dyDescent="0.3">
      <c r="A513" s="50">
        <v>44342</v>
      </c>
      <c r="B513" s="2">
        <v>512</v>
      </c>
      <c r="C513" s="4">
        <v>1215910.02</v>
      </c>
      <c r="D513" s="4">
        <f t="shared" si="77"/>
        <v>716876.48499999999</v>
      </c>
      <c r="E513" s="2">
        <f t="shared" si="78"/>
        <v>357419.27411375596</v>
      </c>
      <c r="F513" s="2">
        <f t="shared" si="79"/>
        <v>499033.53500000003</v>
      </c>
      <c r="G513" s="4">
        <f t="shared" si="80"/>
        <v>496938.41666666669</v>
      </c>
      <c r="H513" s="2">
        <f t="shared" si="84"/>
        <v>428359.97583135212</v>
      </c>
      <c r="I513" s="2">
        <f t="shared" si="85"/>
        <v>718971.60333333327</v>
      </c>
      <c r="J513" s="4">
        <f t="shared" si="82"/>
        <v>523223.98250000004</v>
      </c>
      <c r="K513" s="2">
        <f t="shared" si="86"/>
        <v>559020.36052236892</v>
      </c>
      <c r="L513" s="2">
        <f t="shared" si="87"/>
        <v>692686.03749999998</v>
      </c>
      <c r="N513" s="4">
        <f t="shared" si="81"/>
        <v>230827.85245000001</v>
      </c>
      <c r="O513" s="2">
        <f t="shared" si="83"/>
        <v>985082.16755000001</v>
      </c>
    </row>
    <row r="514" spans="1:15" x14ac:dyDescent="0.3">
      <c r="A514" s="50">
        <v>44343</v>
      </c>
      <c r="B514" s="2">
        <v>513</v>
      </c>
      <c r="C514" s="4">
        <v>289632.8</v>
      </c>
      <c r="D514" s="4">
        <f t="shared" si="77"/>
        <v>752771.41</v>
      </c>
      <c r="E514" s="2">
        <f t="shared" si="78"/>
        <v>481420.73133971309</v>
      </c>
      <c r="F514" s="2">
        <f t="shared" si="79"/>
        <v>463138.61000000004</v>
      </c>
      <c r="G514" s="4">
        <f t="shared" si="80"/>
        <v>574461.92333333334</v>
      </c>
      <c r="H514" s="2">
        <f t="shared" si="84"/>
        <v>448551.71140636766</v>
      </c>
      <c r="I514" s="2">
        <f t="shared" si="85"/>
        <v>284829.12333333335</v>
      </c>
      <c r="J514" s="4">
        <f t="shared" si="82"/>
        <v>445112.01250000001</v>
      </c>
      <c r="K514" s="2">
        <f t="shared" si="86"/>
        <v>461063.09001942864</v>
      </c>
      <c r="L514" s="2">
        <f t="shared" si="87"/>
        <v>155479.21250000002</v>
      </c>
      <c r="N514" s="4">
        <f t="shared" si="81"/>
        <v>516823.67105</v>
      </c>
      <c r="O514" s="2">
        <f t="shared" si="83"/>
        <v>227190.87105000002</v>
      </c>
    </row>
    <row r="515" spans="1:15" x14ac:dyDescent="0.3">
      <c r="A515" s="50">
        <v>44344</v>
      </c>
      <c r="B515" s="2">
        <v>514</v>
      </c>
      <c r="C515" s="4">
        <v>613929.1</v>
      </c>
      <c r="D515" s="4">
        <f t="shared" si="77"/>
        <v>451780.94999999995</v>
      </c>
      <c r="E515" s="2">
        <f t="shared" si="78"/>
        <v>346979.39032538707</v>
      </c>
      <c r="F515" s="2">
        <f t="shared" si="79"/>
        <v>162148.15000000002</v>
      </c>
      <c r="G515" s="4">
        <f t="shared" si="80"/>
        <v>706490.64</v>
      </c>
      <c r="H515" s="2">
        <f t="shared" si="84"/>
        <v>449672.2638343437</v>
      </c>
      <c r="I515" s="2">
        <f t="shared" si="85"/>
        <v>92561.540000000037</v>
      </c>
      <c r="J515" s="4">
        <f t="shared" si="82"/>
        <v>584328.71750000003</v>
      </c>
      <c r="K515" s="2">
        <f t="shared" si="86"/>
        <v>355277.44273102179</v>
      </c>
      <c r="L515" s="2">
        <f t="shared" si="87"/>
        <v>29600.382499999949</v>
      </c>
      <c r="N515" s="4">
        <f t="shared" si="81"/>
        <v>686032.39590000012</v>
      </c>
      <c r="O515" s="2">
        <f t="shared" si="83"/>
        <v>72103.295900000143</v>
      </c>
    </row>
    <row r="516" spans="1:15" x14ac:dyDescent="0.3">
      <c r="A516" s="50">
        <v>44345</v>
      </c>
      <c r="B516" s="2">
        <v>515</v>
      </c>
      <c r="C516" s="4">
        <v>425958.65</v>
      </c>
      <c r="D516" s="4">
        <f t="shared" ref="D516:D579" si="88">AVERAGE(C515:C516)</f>
        <v>519943.875</v>
      </c>
      <c r="E516" s="2">
        <f t="shared" si="78"/>
        <v>132524.04511393985</v>
      </c>
      <c r="F516" s="2">
        <f t="shared" si="79"/>
        <v>93985.224999999977</v>
      </c>
      <c r="G516" s="4">
        <f t="shared" si="80"/>
        <v>443173.5166666666</v>
      </c>
      <c r="H516" s="2">
        <f t="shared" si="84"/>
        <v>173197.01673754654</v>
      </c>
      <c r="I516" s="2">
        <f t="shared" si="85"/>
        <v>17214.866666666581</v>
      </c>
      <c r="J516" s="4">
        <f t="shared" si="82"/>
        <v>636357.64249999996</v>
      </c>
      <c r="K516" s="2">
        <f t="shared" si="86"/>
        <v>370517.08825512789</v>
      </c>
      <c r="L516" s="2">
        <f t="shared" si="87"/>
        <v>210398.99249999993</v>
      </c>
      <c r="N516" s="4">
        <f t="shared" si="81"/>
        <v>602053.04890000005</v>
      </c>
      <c r="O516" s="2">
        <f t="shared" si="83"/>
        <v>176094.39890000003</v>
      </c>
    </row>
    <row r="517" spans="1:15" x14ac:dyDescent="0.3">
      <c r="A517" s="50">
        <v>44346</v>
      </c>
      <c r="B517" s="2">
        <v>516</v>
      </c>
      <c r="C517" s="4">
        <v>545931.24</v>
      </c>
      <c r="D517" s="4">
        <f t="shared" si="88"/>
        <v>485944.94500000001</v>
      </c>
      <c r="E517" s="2">
        <f t="shared" ref="E517:E580" si="89">SQRT(SUMXMY2(C516:C517,D516:D517)/2)</f>
        <v>78840.27557704135</v>
      </c>
      <c r="F517" s="2">
        <f t="shared" ref="F517:F580" si="90">ABS(D517-C517)</f>
        <v>59986.294999999984</v>
      </c>
      <c r="G517" s="4">
        <f t="shared" ref="G517:G580" si="91">AVERAGE(C515:C517)</f>
        <v>528606.32999999996</v>
      </c>
      <c r="H517" s="2">
        <f t="shared" si="84"/>
        <v>55269.469655590794</v>
      </c>
      <c r="I517" s="2">
        <f t="shared" si="85"/>
        <v>17324.910000000033</v>
      </c>
      <c r="J517" s="4">
        <f t="shared" si="82"/>
        <v>468862.94749999995</v>
      </c>
      <c r="K517" s="2">
        <f t="shared" si="86"/>
        <v>137165.25244905055</v>
      </c>
      <c r="L517" s="2">
        <f t="shared" si="87"/>
        <v>77068.29250000004</v>
      </c>
      <c r="N517" s="4">
        <f t="shared" ref="N517:N580" si="92">($M$2*D516)+($M$3*C515)+($M$4*C514)</f>
        <v>479613.81325000006</v>
      </c>
      <c r="O517" s="2">
        <f t="shared" si="83"/>
        <v>66317.426749999926</v>
      </c>
    </row>
    <row r="518" spans="1:15" x14ac:dyDescent="0.3">
      <c r="A518" s="50">
        <v>44347</v>
      </c>
      <c r="B518" s="2">
        <v>517</v>
      </c>
      <c r="C518" s="4">
        <v>317806.5</v>
      </c>
      <c r="D518" s="4">
        <f t="shared" si="88"/>
        <v>431868.87</v>
      </c>
      <c r="E518" s="2">
        <f t="shared" si="89"/>
        <v>91127.876738800187</v>
      </c>
      <c r="F518" s="2">
        <f t="shared" si="90"/>
        <v>114062.37</v>
      </c>
      <c r="G518" s="4">
        <f t="shared" si="91"/>
        <v>429898.79666666669</v>
      </c>
      <c r="H518" s="2">
        <f t="shared" si="84"/>
        <v>66234.902966304275</v>
      </c>
      <c r="I518" s="2">
        <f t="shared" si="85"/>
        <v>112092.29666666669</v>
      </c>
      <c r="J518" s="4">
        <f t="shared" ref="J518:J581" si="93">AVERAGE(C515:C518)</f>
        <v>475906.3725</v>
      </c>
      <c r="K518" s="2">
        <f t="shared" si="86"/>
        <v>137912.1188316523</v>
      </c>
      <c r="L518" s="2">
        <f t="shared" si="87"/>
        <v>158099.8725</v>
      </c>
      <c r="N518" s="4">
        <f t="shared" si="92"/>
        <v>507502.96665000007</v>
      </c>
      <c r="O518" s="2">
        <f t="shared" ref="O518:O581" si="94">ABS(N518-C518)</f>
        <v>189696.46665000007</v>
      </c>
    </row>
    <row r="519" spans="1:15" x14ac:dyDescent="0.3">
      <c r="A519" s="50">
        <v>44348</v>
      </c>
      <c r="B519" s="2">
        <v>518</v>
      </c>
      <c r="C519" s="4">
        <v>80825.789999999994</v>
      </c>
      <c r="D519" s="4">
        <f t="shared" si="88"/>
        <v>199316.14499999999</v>
      </c>
      <c r="E519" s="2">
        <f t="shared" si="89"/>
        <v>116297.4386606234</v>
      </c>
      <c r="F519" s="2">
        <f t="shared" si="90"/>
        <v>118490.355</v>
      </c>
      <c r="G519" s="4">
        <f t="shared" si="91"/>
        <v>314854.51</v>
      </c>
      <c r="H519" s="2">
        <f t="shared" ref="H519:H582" si="95">SQRT(SUMXMY2(C517:C519,G517:G519)/3)</f>
        <v>150149.1228338842</v>
      </c>
      <c r="I519" s="2">
        <f t="shared" ref="I519:I582" si="96">ABS(G519-C519)</f>
        <v>234028.72000000003</v>
      </c>
      <c r="J519" s="4">
        <f t="shared" si="93"/>
        <v>342630.54500000004</v>
      </c>
      <c r="K519" s="2">
        <f t="shared" si="86"/>
        <v>189568.29717743344</v>
      </c>
      <c r="L519" s="2">
        <f t="shared" si="87"/>
        <v>261804.75500000006</v>
      </c>
      <c r="N519" s="4">
        <f t="shared" si="92"/>
        <v>443115.48230000003</v>
      </c>
      <c r="O519" s="2">
        <f t="shared" si="94"/>
        <v>362289.69230000005</v>
      </c>
    </row>
    <row r="520" spans="1:15" x14ac:dyDescent="0.3">
      <c r="A520" s="50">
        <v>44349</v>
      </c>
      <c r="B520" s="2">
        <v>519</v>
      </c>
      <c r="C520" s="4">
        <v>72298.17</v>
      </c>
      <c r="D520" s="4">
        <f t="shared" si="88"/>
        <v>76561.98</v>
      </c>
      <c r="E520" s="2">
        <f t="shared" si="89"/>
        <v>83839.561973277639</v>
      </c>
      <c r="F520" s="2">
        <f t="shared" si="90"/>
        <v>4263.8099999999977</v>
      </c>
      <c r="G520" s="4">
        <f t="shared" si="91"/>
        <v>156976.81999999998</v>
      </c>
      <c r="H520" s="2">
        <f t="shared" si="95"/>
        <v>157590.81881322584</v>
      </c>
      <c r="I520" s="2">
        <f t="shared" si="96"/>
        <v>84678.64999999998</v>
      </c>
      <c r="J520" s="4">
        <f t="shared" si="93"/>
        <v>254215.42500000002</v>
      </c>
      <c r="K520" s="2">
        <f t="shared" si="86"/>
        <v>182051.30375853321</v>
      </c>
      <c r="L520" s="2">
        <f t="shared" si="87"/>
        <v>181917.255</v>
      </c>
      <c r="N520" s="4">
        <f t="shared" si="92"/>
        <v>288605.40495</v>
      </c>
      <c r="O520" s="2">
        <f t="shared" si="94"/>
        <v>216307.23495000001</v>
      </c>
    </row>
    <row r="521" spans="1:15" x14ac:dyDescent="0.3">
      <c r="A521" s="50">
        <v>44350</v>
      </c>
      <c r="B521" s="2">
        <v>520</v>
      </c>
      <c r="C521" s="4">
        <v>562781.18000000005</v>
      </c>
      <c r="D521" s="4">
        <f t="shared" si="88"/>
        <v>317539.67500000005</v>
      </c>
      <c r="E521" s="2">
        <f t="shared" si="89"/>
        <v>173438.13861198627</v>
      </c>
      <c r="F521" s="2">
        <f t="shared" si="90"/>
        <v>245241.505</v>
      </c>
      <c r="G521" s="4">
        <f t="shared" si="91"/>
        <v>238635.04666666666</v>
      </c>
      <c r="H521" s="2">
        <f t="shared" si="95"/>
        <v>235945.35476504732</v>
      </c>
      <c r="I521" s="2">
        <f t="shared" si="96"/>
        <v>324146.13333333342</v>
      </c>
      <c r="J521" s="4">
        <f t="shared" si="93"/>
        <v>258427.91</v>
      </c>
      <c r="K521" s="2">
        <f t="shared" ref="K521:K584" si="97">SQRT(SUMXMY2(C518:C521,J518:J521)/4)</f>
        <v>234127.15565027599</v>
      </c>
      <c r="L521" s="2">
        <f t="shared" ref="L521:L584" si="98">ABS(J521-C521)</f>
        <v>304353.27</v>
      </c>
      <c r="N521" s="4">
        <f t="shared" si="92"/>
        <v>130104.7935</v>
      </c>
      <c r="O521" s="2">
        <f t="shared" si="94"/>
        <v>432676.38650000002</v>
      </c>
    </row>
    <row r="522" spans="1:15" x14ac:dyDescent="0.3">
      <c r="A522" s="50">
        <v>44351</v>
      </c>
      <c r="B522" s="2">
        <v>521</v>
      </c>
      <c r="C522" s="4">
        <v>1271611.24</v>
      </c>
      <c r="D522" s="4">
        <f t="shared" si="88"/>
        <v>917196.21</v>
      </c>
      <c r="E522" s="2">
        <f t="shared" si="89"/>
        <v>304756.79587547015</v>
      </c>
      <c r="F522" s="2">
        <f t="shared" si="90"/>
        <v>354415.03</v>
      </c>
      <c r="G522" s="4">
        <f t="shared" si="91"/>
        <v>635563.53</v>
      </c>
      <c r="H522" s="2">
        <f t="shared" si="95"/>
        <v>415049.34602888598</v>
      </c>
      <c r="I522" s="2">
        <f t="shared" si="96"/>
        <v>636047.71</v>
      </c>
      <c r="J522" s="4">
        <f t="shared" si="93"/>
        <v>496879.09499999997</v>
      </c>
      <c r="K522" s="2">
        <f t="shared" si="97"/>
        <v>445667.03570696677</v>
      </c>
      <c r="L522" s="2">
        <f t="shared" si="98"/>
        <v>774732.14500000002</v>
      </c>
      <c r="N522" s="4">
        <f t="shared" si="92"/>
        <v>238486.05475000004</v>
      </c>
      <c r="O522" s="2">
        <f t="shared" si="94"/>
        <v>1033125.18525</v>
      </c>
    </row>
    <row r="523" spans="1:15" x14ac:dyDescent="0.3">
      <c r="A523" s="50">
        <v>44352</v>
      </c>
      <c r="B523" s="2">
        <v>522</v>
      </c>
      <c r="C523" s="4">
        <v>3557560.23</v>
      </c>
      <c r="D523" s="4">
        <f t="shared" si="88"/>
        <v>2414585.7349999999</v>
      </c>
      <c r="E523" s="2">
        <f t="shared" si="89"/>
        <v>846168.04173592082</v>
      </c>
      <c r="F523" s="2">
        <f t="shared" si="90"/>
        <v>1142974.4950000001</v>
      </c>
      <c r="G523" s="4">
        <f t="shared" si="91"/>
        <v>1797317.55</v>
      </c>
      <c r="H523" s="2">
        <f t="shared" si="95"/>
        <v>1096674.0168413427</v>
      </c>
      <c r="I523" s="2">
        <f t="shared" si="96"/>
        <v>1760242.68</v>
      </c>
      <c r="J523" s="4">
        <f t="shared" si="93"/>
        <v>1366062.7050000001</v>
      </c>
      <c r="K523" s="2">
        <f t="shared" si="97"/>
        <v>1175648.3423205102</v>
      </c>
      <c r="L523" s="2">
        <f t="shared" si="98"/>
        <v>2191497.5249999999</v>
      </c>
      <c r="N523" s="4">
        <f t="shared" si="92"/>
        <v>692332.98790000007</v>
      </c>
      <c r="O523" s="2">
        <f t="shared" si="94"/>
        <v>2865227.2420999999</v>
      </c>
    </row>
    <row r="524" spans="1:15" x14ac:dyDescent="0.3">
      <c r="A524" s="50">
        <v>44353</v>
      </c>
      <c r="B524" s="2">
        <v>523</v>
      </c>
      <c r="C524" s="4">
        <v>2720258.4</v>
      </c>
      <c r="D524" s="4">
        <f t="shared" si="88"/>
        <v>3138909.3149999999</v>
      </c>
      <c r="E524" s="2">
        <f t="shared" si="89"/>
        <v>860714.61148595659</v>
      </c>
      <c r="F524" s="2">
        <f t="shared" si="90"/>
        <v>418650.91500000004</v>
      </c>
      <c r="G524" s="4">
        <f t="shared" si="91"/>
        <v>2516476.6233333331</v>
      </c>
      <c r="H524" s="2">
        <f t="shared" si="95"/>
        <v>1086974.0865343034</v>
      </c>
      <c r="I524" s="2">
        <f t="shared" si="96"/>
        <v>203781.77666666685</v>
      </c>
      <c r="J524" s="4">
        <f t="shared" si="93"/>
        <v>2028052.7625000002</v>
      </c>
      <c r="K524" s="2">
        <f t="shared" si="97"/>
        <v>1222154.9468177001</v>
      </c>
      <c r="L524" s="2">
        <f t="shared" si="98"/>
        <v>692205.63749999972</v>
      </c>
      <c r="N524" s="4">
        <f t="shared" si="92"/>
        <v>1881461.5384500001</v>
      </c>
      <c r="O524" s="2">
        <f t="shared" si="94"/>
        <v>838796.8615499998</v>
      </c>
    </row>
    <row r="525" spans="1:15" x14ac:dyDescent="0.3">
      <c r="A525" s="50">
        <v>44354</v>
      </c>
      <c r="B525" s="2">
        <v>524</v>
      </c>
      <c r="C525" s="4">
        <v>2342954.62</v>
      </c>
      <c r="D525" s="4">
        <f t="shared" si="88"/>
        <v>2531606.5099999998</v>
      </c>
      <c r="E525" s="2">
        <f t="shared" si="89"/>
        <v>324698.41717423667</v>
      </c>
      <c r="F525" s="2">
        <f t="shared" si="90"/>
        <v>188651.88999999966</v>
      </c>
      <c r="G525" s="4">
        <f t="shared" si="91"/>
        <v>2873591.0833333335</v>
      </c>
      <c r="H525" s="2">
        <f t="shared" si="95"/>
        <v>1067950.7418749726</v>
      </c>
      <c r="I525" s="2">
        <f t="shared" si="96"/>
        <v>530636.46333333338</v>
      </c>
      <c r="J525" s="4">
        <f t="shared" si="93"/>
        <v>2473096.1224999996</v>
      </c>
      <c r="K525" s="2">
        <f t="shared" si="97"/>
        <v>1214388.4009900996</v>
      </c>
      <c r="L525" s="2">
        <f t="shared" si="98"/>
        <v>130141.50249999948</v>
      </c>
      <c r="N525" s="4">
        <f t="shared" si="92"/>
        <v>2774155.3391500004</v>
      </c>
      <c r="O525" s="2">
        <f t="shared" si="94"/>
        <v>431200.71915000025</v>
      </c>
    </row>
    <row r="526" spans="1:15" x14ac:dyDescent="0.3">
      <c r="A526" s="50">
        <v>44355</v>
      </c>
      <c r="B526" s="2">
        <v>525</v>
      </c>
      <c r="C526" s="4">
        <v>68276.94</v>
      </c>
      <c r="D526" s="4">
        <f t="shared" si="88"/>
        <v>1205615.78</v>
      </c>
      <c r="E526" s="2">
        <f t="shared" si="89"/>
        <v>815208.3085239986</v>
      </c>
      <c r="F526" s="2">
        <f t="shared" si="90"/>
        <v>1137338.8400000001</v>
      </c>
      <c r="G526" s="4">
        <f t="shared" si="91"/>
        <v>1710496.6533333333</v>
      </c>
      <c r="H526" s="2">
        <f t="shared" si="95"/>
        <v>1003325.7456381331</v>
      </c>
      <c r="I526" s="2">
        <f t="shared" si="96"/>
        <v>1642219.7133333334</v>
      </c>
      <c r="J526" s="4">
        <f t="shared" si="93"/>
        <v>2172262.5474999999</v>
      </c>
      <c r="K526" s="2">
        <f t="shared" si="97"/>
        <v>1559286.8797873603</v>
      </c>
      <c r="L526" s="2">
        <f t="shared" si="98"/>
        <v>2103985.6074999999</v>
      </c>
      <c r="N526" s="4">
        <f t="shared" si="92"/>
        <v>2778068.0362999998</v>
      </c>
      <c r="O526" s="2">
        <f t="shared" si="94"/>
        <v>2709791.0962999999</v>
      </c>
    </row>
    <row r="527" spans="1:15" x14ac:dyDescent="0.3">
      <c r="A527" s="50">
        <v>44356</v>
      </c>
      <c r="B527" s="2">
        <v>526</v>
      </c>
      <c r="C527" s="4">
        <v>460075.2</v>
      </c>
      <c r="D527" s="4">
        <f t="shared" si="88"/>
        <v>264176.07</v>
      </c>
      <c r="E527" s="2">
        <f t="shared" si="89"/>
        <v>816062.5301125223</v>
      </c>
      <c r="F527" s="2">
        <f t="shared" si="90"/>
        <v>195899.13</v>
      </c>
      <c r="G527" s="4">
        <f t="shared" si="91"/>
        <v>957102.25333333341</v>
      </c>
      <c r="H527" s="2">
        <f t="shared" si="95"/>
        <v>1036901.8813794518</v>
      </c>
      <c r="I527" s="2">
        <f t="shared" si="96"/>
        <v>497027.0533333334</v>
      </c>
      <c r="J527" s="4">
        <f t="shared" si="93"/>
        <v>1397891.29</v>
      </c>
      <c r="K527" s="2">
        <f t="shared" si="97"/>
        <v>1204402.3321226353</v>
      </c>
      <c r="L527" s="2">
        <f t="shared" si="98"/>
        <v>937816.09000000008</v>
      </c>
      <c r="N527" s="4">
        <f t="shared" si="92"/>
        <v>1663944.4288000001</v>
      </c>
      <c r="O527" s="2">
        <f t="shared" si="94"/>
        <v>1203869.2288000002</v>
      </c>
    </row>
    <row r="528" spans="1:15" x14ac:dyDescent="0.3">
      <c r="A528" s="50">
        <v>44357</v>
      </c>
      <c r="B528" s="2">
        <v>527</v>
      </c>
      <c r="C528" s="4">
        <v>1481094.06</v>
      </c>
      <c r="D528" s="4">
        <f t="shared" si="88"/>
        <v>970584.63</v>
      </c>
      <c r="E528" s="2">
        <f t="shared" si="89"/>
        <v>386649.93679922016</v>
      </c>
      <c r="F528" s="2">
        <f t="shared" si="90"/>
        <v>510509.43000000005</v>
      </c>
      <c r="G528" s="4">
        <f t="shared" si="91"/>
        <v>669815.4</v>
      </c>
      <c r="H528" s="2">
        <f t="shared" si="95"/>
        <v>1095763.7432064188</v>
      </c>
      <c r="I528" s="2">
        <f t="shared" si="96"/>
        <v>811278.66</v>
      </c>
      <c r="J528" s="4">
        <f t="shared" si="93"/>
        <v>1088100.2050000001</v>
      </c>
      <c r="K528" s="2">
        <f t="shared" si="97"/>
        <v>1170217.4409026245</v>
      </c>
      <c r="L528" s="2">
        <f t="shared" si="98"/>
        <v>392993.85499999998</v>
      </c>
      <c r="N528" s="4">
        <f t="shared" si="92"/>
        <v>699958.44670000009</v>
      </c>
      <c r="O528" s="2">
        <f t="shared" si="94"/>
        <v>781135.61329999997</v>
      </c>
    </row>
    <row r="529" spans="1:15" x14ac:dyDescent="0.3">
      <c r="A529" s="50">
        <v>44358</v>
      </c>
      <c r="B529" s="2">
        <v>528</v>
      </c>
      <c r="C529" s="4">
        <v>400857.60000000003</v>
      </c>
      <c r="D529" s="4">
        <f t="shared" si="88"/>
        <v>940975.83000000007</v>
      </c>
      <c r="E529" s="2">
        <f t="shared" si="89"/>
        <v>525522.39747572027</v>
      </c>
      <c r="F529" s="2">
        <f t="shared" si="90"/>
        <v>540118.23</v>
      </c>
      <c r="G529" s="4">
        <f t="shared" si="91"/>
        <v>780675.62</v>
      </c>
      <c r="H529" s="2">
        <f t="shared" si="95"/>
        <v>591458.84168816917</v>
      </c>
      <c r="I529" s="2">
        <f t="shared" si="96"/>
        <v>379818.01999999996</v>
      </c>
      <c r="J529" s="4">
        <f t="shared" si="93"/>
        <v>602575.95000000007</v>
      </c>
      <c r="K529" s="2">
        <f t="shared" si="97"/>
        <v>1172751.9897685652</v>
      </c>
      <c r="L529" s="2">
        <f t="shared" si="98"/>
        <v>201718.35000000003</v>
      </c>
      <c r="N529" s="4">
        <f t="shared" si="92"/>
        <v>715920.90090000001</v>
      </c>
      <c r="O529" s="2">
        <f t="shared" si="94"/>
        <v>315063.30089999997</v>
      </c>
    </row>
    <row r="530" spans="1:15" x14ac:dyDescent="0.3">
      <c r="A530" s="50">
        <v>44359</v>
      </c>
      <c r="B530" s="2">
        <v>529</v>
      </c>
      <c r="C530" s="4">
        <v>833290.7</v>
      </c>
      <c r="D530" s="4">
        <f t="shared" si="88"/>
        <v>617074.15</v>
      </c>
      <c r="E530" s="2">
        <f t="shared" si="89"/>
        <v>411386.25333877857</v>
      </c>
      <c r="F530" s="2">
        <f t="shared" si="90"/>
        <v>216216.54999999993</v>
      </c>
      <c r="G530" s="4">
        <f t="shared" si="91"/>
        <v>905080.78666666674</v>
      </c>
      <c r="H530" s="2">
        <f t="shared" si="95"/>
        <v>518841.21175035287</v>
      </c>
      <c r="I530" s="2">
        <f t="shared" si="96"/>
        <v>71790.086666666786</v>
      </c>
      <c r="J530" s="4">
        <f t="shared" si="93"/>
        <v>793829.3899999999</v>
      </c>
      <c r="K530" s="2">
        <f t="shared" si="97"/>
        <v>518698.0519638299</v>
      </c>
      <c r="L530" s="2">
        <f t="shared" si="98"/>
        <v>39461.310000000056</v>
      </c>
      <c r="N530" s="4">
        <f t="shared" si="92"/>
        <v>894590.69670000009</v>
      </c>
      <c r="O530" s="2">
        <f t="shared" si="94"/>
        <v>61299.996700000134</v>
      </c>
    </row>
    <row r="531" spans="1:15" x14ac:dyDescent="0.3">
      <c r="A531" s="50">
        <v>44360</v>
      </c>
      <c r="B531" s="2">
        <v>530</v>
      </c>
      <c r="C531" s="4">
        <v>1704249.28</v>
      </c>
      <c r="D531" s="4">
        <f t="shared" si="88"/>
        <v>1268769.99</v>
      </c>
      <c r="E531" s="2">
        <f t="shared" si="89"/>
        <v>343796.31216230826</v>
      </c>
      <c r="F531" s="2">
        <f t="shared" si="90"/>
        <v>435479.29000000004</v>
      </c>
      <c r="G531" s="4">
        <f t="shared" si="91"/>
        <v>979465.86</v>
      </c>
      <c r="H531" s="2">
        <f t="shared" si="95"/>
        <v>474245.5590258505</v>
      </c>
      <c r="I531" s="2">
        <f t="shared" si="96"/>
        <v>724783.42</v>
      </c>
      <c r="J531" s="4">
        <f t="shared" si="93"/>
        <v>1104872.9100000001</v>
      </c>
      <c r="K531" s="2">
        <f t="shared" si="97"/>
        <v>372808.15800347517</v>
      </c>
      <c r="L531" s="2">
        <f t="shared" si="98"/>
        <v>599376.36999999988</v>
      </c>
      <c r="N531" s="4">
        <f t="shared" si="92"/>
        <v>783374.70970000001</v>
      </c>
      <c r="O531" s="2">
        <f t="shared" si="94"/>
        <v>920874.57030000002</v>
      </c>
    </row>
    <row r="532" spans="1:15" x14ac:dyDescent="0.3">
      <c r="A532" s="50">
        <v>44361</v>
      </c>
      <c r="B532" s="2">
        <v>531</v>
      </c>
      <c r="C532" s="4">
        <v>2349637.3199999998</v>
      </c>
      <c r="D532" s="4">
        <f t="shared" si="88"/>
        <v>2026943.2999999998</v>
      </c>
      <c r="E532" s="2">
        <f t="shared" si="89"/>
        <v>383258.16531592939</v>
      </c>
      <c r="F532" s="2">
        <f t="shared" si="90"/>
        <v>322694.02</v>
      </c>
      <c r="G532" s="4">
        <f t="shared" si="91"/>
        <v>1629059.0999999999</v>
      </c>
      <c r="H532" s="2">
        <f t="shared" si="95"/>
        <v>591522.835171749</v>
      </c>
      <c r="I532" s="2">
        <f t="shared" si="96"/>
        <v>720578.22</v>
      </c>
      <c r="J532" s="4">
        <f t="shared" si="93"/>
        <v>1322008.7250000001</v>
      </c>
      <c r="K532" s="2">
        <f t="shared" si="97"/>
        <v>603638.97527613491</v>
      </c>
      <c r="L532" s="2">
        <f t="shared" si="98"/>
        <v>1027628.5949999997</v>
      </c>
      <c r="N532" s="4">
        <f t="shared" si="92"/>
        <v>1029926.5423</v>
      </c>
      <c r="O532" s="2">
        <f t="shared" si="94"/>
        <v>1319710.7777</v>
      </c>
    </row>
    <row r="533" spans="1:15" x14ac:dyDescent="0.3">
      <c r="A533" s="50">
        <v>44362</v>
      </c>
      <c r="B533" s="2">
        <v>532</v>
      </c>
      <c r="C533" s="4">
        <v>2470690.7400000002</v>
      </c>
      <c r="D533" s="4">
        <f t="shared" si="88"/>
        <v>2410164.0300000003</v>
      </c>
      <c r="E533" s="2">
        <f t="shared" si="89"/>
        <v>232158.25762525067</v>
      </c>
      <c r="F533" s="2">
        <f t="shared" si="90"/>
        <v>60526.709999999963</v>
      </c>
      <c r="G533" s="4">
        <f t="shared" si="91"/>
        <v>2174859.1133333333</v>
      </c>
      <c r="H533" s="2">
        <f t="shared" si="95"/>
        <v>614291.00823130808</v>
      </c>
      <c r="I533" s="2">
        <f t="shared" si="96"/>
        <v>295831.62666666694</v>
      </c>
      <c r="J533" s="4">
        <f t="shared" si="93"/>
        <v>1839467.01</v>
      </c>
      <c r="K533" s="2">
        <f t="shared" si="97"/>
        <v>673660.36592597596</v>
      </c>
      <c r="L533" s="2">
        <f t="shared" si="98"/>
        <v>631223.73000000021</v>
      </c>
      <c r="N533" s="4">
        <f t="shared" si="92"/>
        <v>1728843.3857999998</v>
      </c>
      <c r="O533" s="2">
        <f t="shared" si="94"/>
        <v>741847.35420000041</v>
      </c>
    </row>
    <row r="534" spans="1:15" x14ac:dyDescent="0.3">
      <c r="A534" s="50">
        <v>44363</v>
      </c>
      <c r="B534" s="2">
        <v>533</v>
      </c>
      <c r="C534" s="4">
        <v>774460.5</v>
      </c>
      <c r="D534" s="4">
        <f t="shared" si="88"/>
        <v>1622575.62</v>
      </c>
      <c r="E534" s="2">
        <f t="shared" si="89"/>
        <v>601233.20741457667</v>
      </c>
      <c r="F534" s="2">
        <f t="shared" si="90"/>
        <v>848115.12000000011</v>
      </c>
      <c r="G534" s="4">
        <f t="shared" si="91"/>
        <v>1864929.5200000003</v>
      </c>
      <c r="H534" s="2">
        <f t="shared" si="95"/>
        <v>773707.9565431166</v>
      </c>
      <c r="I534" s="2">
        <f t="shared" si="96"/>
        <v>1090469.0200000003</v>
      </c>
      <c r="J534" s="4">
        <f t="shared" si="93"/>
        <v>1824759.46</v>
      </c>
      <c r="K534" s="2">
        <f t="shared" si="97"/>
        <v>853938.50259668077</v>
      </c>
      <c r="L534" s="2">
        <f t="shared" si="98"/>
        <v>1050298.96</v>
      </c>
      <c r="N534" s="4">
        <f t="shared" si="92"/>
        <v>2248204.8469000002</v>
      </c>
      <c r="O534" s="2">
        <f t="shared" si="94"/>
        <v>1473744.3469000002</v>
      </c>
    </row>
    <row r="535" spans="1:15" x14ac:dyDescent="0.3">
      <c r="A535" s="50">
        <v>44364</v>
      </c>
      <c r="B535" s="2">
        <v>534</v>
      </c>
      <c r="C535" s="4">
        <v>81376.75</v>
      </c>
      <c r="D535" s="4">
        <f t="shared" si="88"/>
        <v>427918.625</v>
      </c>
      <c r="E535" s="2">
        <f t="shared" si="89"/>
        <v>647838.91821236326</v>
      </c>
      <c r="F535" s="2">
        <f t="shared" si="90"/>
        <v>346541.875</v>
      </c>
      <c r="G535" s="4">
        <f t="shared" si="91"/>
        <v>1108842.6633333333</v>
      </c>
      <c r="H535" s="2">
        <f t="shared" si="95"/>
        <v>881726.57099161763</v>
      </c>
      <c r="I535" s="2">
        <f t="shared" si="96"/>
        <v>1027465.9133333333</v>
      </c>
      <c r="J535" s="4">
        <f t="shared" si="93"/>
        <v>1419041.3275000001</v>
      </c>
      <c r="K535" s="2">
        <f t="shared" si="97"/>
        <v>1042465.6293916987</v>
      </c>
      <c r="L535" s="2">
        <f t="shared" si="98"/>
        <v>1337664.5775000001</v>
      </c>
      <c r="N535" s="4">
        <f t="shared" si="92"/>
        <v>1875821.8572000002</v>
      </c>
      <c r="O535" s="2">
        <f t="shared" si="94"/>
        <v>1794445.1072000002</v>
      </c>
    </row>
    <row r="536" spans="1:15" x14ac:dyDescent="0.3">
      <c r="A536" s="50">
        <v>44365</v>
      </c>
      <c r="B536" s="2">
        <v>535</v>
      </c>
      <c r="C536" s="4">
        <v>1980084.01</v>
      </c>
      <c r="D536" s="4">
        <f t="shared" si="88"/>
        <v>1030730.38</v>
      </c>
      <c r="E536" s="2">
        <f t="shared" si="89"/>
        <v>714620.03397704032</v>
      </c>
      <c r="F536" s="2">
        <f t="shared" si="90"/>
        <v>949353.63</v>
      </c>
      <c r="G536" s="4">
        <f t="shared" si="91"/>
        <v>945307.08666666655</v>
      </c>
      <c r="H536" s="2">
        <f t="shared" si="95"/>
        <v>1051280.5156418942</v>
      </c>
      <c r="I536" s="2">
        <f t="shared" si="96"/>
        <v>1034776.9233333335</v>
      </c>
      <c r="J536" s="4">
        <f t="shared" si="93"/>
        <v>1326653</v>
      </c>
      <c r="K536" s="2">
        <f t="shared" si="97"/>
        <v>964091.52955257171</v>
      </c>
      <c r="L536" s="2">
        <f t="shared" si="98"/>
        <v>653431.01</v>
      </c>
      <c r="N536" s="4">
        <f t="shared" si="92"/>
        <v>915448.09655000013</v>
      </c>
      <c r="O536" s="2">
        <f t="shared" si="94"/>
        <v>1064635.9134499999</v>
      </c>
    </row>
    <row r="537" spans="1:15" x14ac:dyDescent="0.3">
      <c r="A537" s="50">
        <v>44366</v>
      </c>
      <c r="B537" s="2">
        <v>536</v>
      </c>
      <c r="C537" s="4">
        <v>747961.3</v>
      </c>
      <c r="D537" s="4">
        <f t="shared" si="88"/>
        <v>1364022.655</v>
      </c>
      <c r="E537" s="2">
        <f t="shared" si="89"/>
        <v>800251.18179188366</v>
      </c>
      <c r="F537" s="2">
        <f t="shared" si="90"/>
        <v>616061.35499999998</v>
      </c>
      <c r="G537" s="4">
        <f t="shared" si="91"/>
        <v>936474.02</v>
      </c>
      <c r="H537" s="2">
        <f t="shared" si="95"/>
        <v>848918.23904050561</v>
      </c>
      <c r="I537" s="2">
        <f t="shared" si="96"/>
        <v>188512.71999999997</v>
      </c>
      <c r="J537" s="4">
        <f t="shared" si="93"/>
        <v>895970.6399999999</v>
      </c>
      <c r="K537" s="2">
        <f t="shared" si="97"/>
        <v>913968.44541157316</v>
      </c>
      <c r="L537" s="2">
        <f t="shared" si="98"/>
        <v>148009.33999999985</v>
      </c>
      <c r="N537" s="4">
        <f t="shared" si="92"/>
        <v>869922.10710000014</v>
      </c>
      <c r="O537" s="2">
        <f t="shared" si="94"/>
        <v>121960.80710000009</v>
      </c>
    </row>
    <row r="538" spans="1:15" x14ac:dyDescent="0.3">
      <c r="A538" s="50">
        <v>44367</v>
      </c>
      <c r="B538" s="2">
        <v>537</v>
      </c>
      <c r="C538" s="4">
        <v>1153944.1200000001</v>
      </c>
      <c r="D538" s="4">
        <f t="shared" si="88"/>
        <v>950952.71000000008</v>
      </c>
      <c r="E538" s="2">
        <f t="shared" si="89"/>
        <v>458659.51732097752</v>
      </c>
      <c r="F538" s="2">
        <f t="shared" si="90"/>
        <v>202991.41000000003</v>
      </c>
      <c r="G538" s="4">
        <f t="shared" si="91"/>
        <v>1293996.4766666668</v>
      </c>
      <c r="H538" s="2">
        <f t="shared" si="95"/>
        <v>612621.41361879848</v>
      </c>
      <c r="I538" s="2">
        <f t="shared" si="96"/>
        <v>140052.35666666669</v>
      </c>
      <c r="J538" s="4">
        <f t="shared" si="93"/>
        <v>990841.54500000004</v>
      </c>
      <c r="K538" s="2">
        <f t="shared" si="97"/>
        <v>752467.24537130853</v>
      </c>
      <c r="L538" s="2">
        <f t="shared" si="98"/>
        <v>163102.57500000007</v>
      </c>
      <c r="N538" s="4">
        <f t="shared" si="92"/>
        <v>1149607.30495</v>
      </c>
      <c r="O538" s="2">
        <f t="shared" si="94"/>
        <v>4336.815050000092</v>
      </c>
    </row>
    <row r="539" spans="1:15" x14ac:dyDescent="0.3">
      <c r="A539" s="50">
        <v>44368</v>
      </c>
      <c r="B539" s="2">
        <v>538</v>
      </c>
      <c r="C539" s="4">
        <v>5978.7000000000007</v>
      </c>
      <c r="D539" s="4">
        <f t="shared" si="88"/>
        <v>579961.41</v>
      </c>
      <c r="E539" s="2">
        <f t="shared" si="89"/>
        <v>430500.67590697942</v>
      </c>
      <c r="F539" s="2">
        <f t="shared" si="90"/>
        <v>573982.71000000008</v>
      </c>
      <c r="G539" s="4">
        <f t="shared" si="91"/>
        <v>635961.37333333341</v>
      </c>
      <c r="H539" s="2">
        <f t="shared" si="95"/>
        <v>388170.87170038023</v>
      </c>
      <c r="I539" s="2">
        <f t="shared" si="96"/>
        <v>629982.67333333346</v>
      </c>
      <c r="J539" s="4">
        <f t="shared" si="93"/>
        <v>971992.03250000009</v>
      </c>
      <c r="K539" s="2">
        <f t="shared" si="97"/>
        <v>593435.56054896186</v>
      </c>
      <c r="L539" s="2">
        <f t="shared" si="98"/>
        <v>966013.33250000014</v>
      </c>
      <c r="N539" s="4">
        <f t="shared" si="92"/>
        <v>1155032.5409000001</v>
      </c>
      <c r="O539" s="2">
        <f t="shared" si="94"/>
        <v>1149053.8409000002</v>
      </c>
    </row>
    <row r="540" spans="1:15" x14ac:dyDescent="0.3">
      <c r="A540" s="50">
        <v>44369</v>
      </c>
      <c r="B540" s="2">
        <v>539</v>
      </c>
      <c r="C540" s="4">
        <v>690946.29999999993</v>
      </c>
      <c r="D540" s="4">
        <f t="shared" si="88"/>
        <v>348462.49999999994</v>
      </c>
      <c r="E540" s="2">
        <f t="shared" si="89"/>
        <v>472626.33477271674</v>
      </c>
      <c r="F540" s="2">
        <f t="shared" si="90"/>
        <v>342483.8</v>
      </c>
      <c r="G540" s="4">
        <f t="shared" si="91"/>
        <v>616956.37333333341</v>
      </c>
      <c r="H540" s="2">
        <f t="shared" si="95"/>
        <v>375041.03800172743</v>
      </c>
      <c r="I540" s="2">
        <f t="shared" si="96"/>
        <v>73989.926666666521</v>
      </c>
      <c r="J540" s="4">
        <f t="shared" si="93"/>
        <v>649707.60499999998</v>
      </c>
      <c r="K540" s="2">
        <f t="shared" si="97"/>
        <v>495830.51621293061</v>
      </c>
      <c r="L540" s="2">
        <f t="shared" si="98"/>
        <v>41238.694999999949</v>
      </c>
      <c r="N540" s="4">
        <f t="shared" si="92"/>
        <v>680059.48390000011</v>
      </c>
      <c r="O540" s="2">
        <f t="shared" si="94"/>
        <v>10886.816099999822</v>
      </c>
    </row>
    <row r="541" spans="1:15" x14ac:dyDescent="0.3">
      <c r="A541" s="50">
        <v>44370</v>
      </c>
      <c r="B541" s="2">
        <v>540</v>
      </c>
      <c r="C541" s="4">
        <v>329492.80000000005</v>
      </c>
      <c r="D541" s="4">
        <f t="shared" si="88"/>
        <v>510219.55</v>
      </c>
      <c r="E541" s="2">
        <f t="shared" si="89"/>
        <v>273822.30682324118</v>
      </c>
      <c r="F541" s="2">
        <f t="shared" si="90"/>
        <v>180726.74999999994</v>
      </c>
      <c r="G541" s="4">
        <f t="shared" si="91"/>
        <v>342139.26666666666</v>
      </c>
      <c r="H541" s="2">
        <f t="shared" si="95"/>
        <v>366293.42112005566</v>
      </c>
      <c r="I541" s="2">
        <f t="shared" si="96"/>
        <v>12646.466666666616</v>
      </c>
      <c r="J541" s="4">
        <f t="shared" si="93"/>
        <v>545090.48</v>
      </c>
      <c r="K541" s="2">
        <f t="shared" si="97"/>
        <v>501987.8479918791</v>
      </c>
      <c r="L541" s="2">
        <f t="shared" si="98"/>
        <v>215597.67999999993</v>
      </c>
      <c r="N541" s="4">
        <f t="shared" si="92"/>
        <v>487995.23840000003</v>
      </c>
      <c r="O541" s="2">
        <f t="shared" si="94"/>
        <v>158502.43839999998</v>
      </c>
    </row>
    <row r="542" spans="1:15" x14ac:dyDescent="0.3">
      <c r="A542" s="50">
        <v>44371</v>
      </c>
      <c r="B542" s="2">
        <v>541</v>
      </c>
      <c r="C542" s="4">
        <v>521647.16000000003</v>
      </c>
      <c r="D542" s="4">
        <f t="shared" si="88"/>
        <v>425569.98000000004</v>
      </c>
      <c r="E542" s="2">
        <f t="shared" si="89"/>
        <v>144729.02729292918</v>
      </c>
      <c r="F542" s="2">
        <f t="shared" si="90"/>
        <v>96077.18</v>
      </c>
      <c r="G542" s="4">
        <f t="shared" si="91"/>
        <v>514028.75333333336</v>
      </c>
      <c r="H542" s="2">
        <f t="shared" si="95"/>
        <v>43560.236024109996</v>
      </c>
      <c r="I542" s="2">
        <f t="shared" si="96"/>
        <v>7618.4066666666768</v>
      </c>
      <c r="J542" s="4">
        <f t="shared" si="93"/>
        <v>387016.24</v>
      </c>
      <c r="K542" s="2">
        <f t="shared" si="97"/>
        <v>499872.54194806691</v>
      </c>
      <c r="L542" s="2">
        <f t="shared" si="98"/>
        <v>134630.92000000004</v>
      </c>
      <c r="N542" s="4">
        <f t="shared" si="92"/>
        <v>419166.50550000003</v>
      </c>
      <c r="O542" s="2">
        <f t="shared" si="94"/>
        <v>102480.6545</v>
      </c>
    </row>
    <row r="543" spans="1:15" x14ac:dyDescent="0.3">
      <c r="A543" s="50">
        <v>44372</v>
      </c>
      <c r="B543" s="2">
        <v>542</v>
      </c>
      <c r="C543" s="4">
        <v>3157021.1999999997</v>
      </c>
      <c r="D543" s="4">
        <f t="shared" si="88"/>
        <v>1839334.18</v>
      </c>
      <c r="E543" s="2">
        <f t="shared" si="89"/>
        <v>934218.90025658126</v>
      </c>
      <c r="F543" s="2">
        <f t="shared" si="90"/>
        <v>1317687.0199999998</v>
      </c>
      <c r="G543" s="4">
        <f t="shared" si="91"/>
        <v>1336053.72</v>
      </c>
      <c r="H543" s="2">
        <f t="shared" si="95"/>
        <v>1051370.6191533729</v>
      </c>
      <c r="I543" s="2">
        <f t="shared" si="96"/>
        <v>1820967.4799999997</v>
      </c>
      <c r="J543" s="4">
        <f t="shared" si="93"/>
        <v>1174776.865</v>
      </c>
      <c r="K543" s="2">
        <f t="shared" si="97"/>
        <v>999449.98347169976</v>
      </c>
      <c r="L543" s="2">
        <f t="shared" si="98"/>
        <v>1982244.3349999997</v>
      </c>
      <c r="N543" s="4">
        <f t="shared" si="92"/>
        <v>473384.2806</v>
      </c>
      <c r="O543" s="2">
        <f t="shared" si="94"/>
        <v>2683636.9193999995</v>
      </c>
    </row>
    <row r="544" spans="1:15" x14ac:dyDescent="0.3">
      <c r="A544" s="50">
        <v>44373</v>
      </c>
      <c r="B544" s="2">
        <v>543</v>
      </c>
      <c r="C544" s="4">
        <v>158.61000000000001</v>
      </c>
      <c r="D544" s="4">
        <f t="shared" si="88"/>
        <v>1578589.9049999998</v>
      </c>
      <c r="E544" s="2">
        <f t="shared" si="89"/>
        <v>1453916.1660343171</v>
      </c>
      <c r="F544" s="2">
        <f t="shared" si="90"/>
        <v>1578431.2949999997</v>
      </c>
      <c r="G544" s="4">
        <f t="shared" si="91"/>
        <v>1226275.6566666665</v>
      </c>
      <c r="H544" s="2">
        <f t="shared" si="95"/>
        <v>1267457.246545786</v>
      </c>
      <c r="I544" s="2">
        <f t="shared" si="96"/>
        <v>1226117.0466666664</v>
      </c>
      <c r="J544" s="4">
        <f t="shared" si="93"/>
        <v>1002079.9424999999</v>
      </c>
      <c r="K544" s="2">
        <f t="shared" si="97"/>
        <v>1117782.0454363627</v>
      </c>
      <c r="L544" s="2">
        <f t="shared" si="98"/>
        <v>1001921.3324999999</v>
      </c>
      <c r="N544" s="4">
        <f t="shared" si="92"/>
        <v>1362223.5042000001</v>
      </c>
      <c r="O544" s="2">
        <f t="shared" si="94"/>
        <v>1362064.8942</v>
      </c>
    </row>
    <row r="545" spans="1:15" x14ac:dyDescent="0.3">
      <c r="A545" s="50">
        <v>44374</v>
      </c>
      <c r="B545" s="2">
        <v>544</v>
      </c>
      <c r="C545" s="4">
        <v>827764.38</v>
      </c>
      <c r="D545" s="4">
        <f t="shared" si="88"/>
        <v>413961.495</v>
      </c>
      <c r="E545" s="2">
        <f t="shared" si="89"/>
        <v>1153836.6826959739</v>
      </c>
      <c r="F545" s="2">
        <f t="shared" si="90"/>
        <v>413802.88500000001</v>
      </c>
      <c r="G545" s="4">
        <f t="shared" si="91"/>
        <v>1328314.7299999997</v>
      </c>
      <c r="H545" s="2">
        <f t="shared" si="95"/>
        <v>1299979.0034495762</v>
      </c>
      <c r="I545" s="2">
        <f t="shared" si="96"/>
        <v>500550.34999999974</v>
      </c>
      <c r="J545" s="4">
        <f t="shared" si="93"/>
        <v>1126647.8374999999</v>
      </c>
      <c r="K545" s="2">
        <f t="shared" si="97"/>
        <v>1122563.5578827339</v>
      </c>
      <c r="L545" s="2">
        <f t="shared" si="98"/>
        <v>298883.4574999999</v>
      </c>
      <c r="N545" s="4">
        <f t="shared" si="92"/>
        <v>1519689.94355</v>
      </c>
      <c r="O545" s="2">
        <f t="shared" si="94"/>
        <v>691925.56354999996</v>
      </c>
    </row>
    <row r="546" spans="1:15" x14ac:dyDescent="0.3">
      <c r="A546" s="50">
        <v>44375</v>
      </c>
      <c r="B546" s="2">
        <v>545</v>
      </c>
      <c r="C546" s="4">
        <v>1000187.04</v>
      </c>
      <c r="D546" s="4">
        <f t="shared" si="88"/>
        <v>913975.71</v>
      </c>
      <c r="E546" s="2">
        <f t="shared" si="89"/>
        <v>298885.61445366702</v>
      </c>
      <c r="F546" s="2">
        <f t="shared" si="90"/>
        <v>86211.330000000075</v>
      </c>
      <c r="G546" s="4">
        <f t="shared" si="91"/>
        <v>609370.01</v>
      </c>
      <c r="H546" s="2">
        <f t="shared" si="95"/>
        <v>797214.23635677167</v>
      </c>
      <c r="I546" s="2">
        <f t="shared" si="96"/>
        <v>390817.03</v>
      </c>
      <c r="J546" s="4">
        <f t="shared" si="93"/>
        <v>1246282.8074999999</v>
      </c>
      <c r="K546" s="2">
        <f t="shared" si="97"/>
        <v>1127279.1810490796</v>
      </c>
      <c r="L546" s="2">
        <f t="shared" si="98"/>
        <v>246095.76749999984</v>
      </c>
      <c r="N546" s="4">
        <f t="shared" si="92"/>
        <v>971916.31275000004</v>
      </c>
      <c r="O546" s="2">
        <f t="shared" si="94"/>
        <v>28270.727249999996</v>
      </c>
    </row>
    <row r="547" spans="1:15" x14ac:dyDescent="0.3">
      <c r="A547" s="50">
        <v>44376</v>
      </c>
      <c r="B547" s="2">
        <v>546</v>
      </c>
      <c r="C547" s="4">
        <v>1268397.54</v>
      </c>
      <c r="D547" s="4">
        <f t="shared" si="88"/>
        <v>1134292.29</v>
      </c>
      <c r="E547" s="2">
        <f t="shared" si="89"/>
        <v>112731.12147479819</v>
      </c>
      <c r="F547" s="2">
        <f t="shared" si="90"/>
        <v>134105.25</v>
      </c>
      <c r="G547" s="4">
        <f t="shared" si="91"/>
        <v>1032116.32</v>
      </c>
      <c r="H547" s="2">
        <f t="shared" si="95"/>
        <v>391202.17226213164</v>
      </c>
      <c r="I547" s="2">
        <f t="shared" si="96"/>
        <v>236281.22000000009</v>
      </c>
      <c r="J547" s="4">
        <f t="shared" si="93"/>
        <v>774126.89250000007</v>
      </c>
      <c r="K547" s="2">
        <f t="shared" si="97"/>
        <v>591194.61208793439</v>
      </c>
      <c r="L547" s="2">
        <f t="shared" si="98"/>
        <v>494270.64749999996</v>
      </c>
      <c r="N547" s="4">
        <f t="shared" si="92"/>
        <v>703452.70170000009</v>
      </c>
      <c r="O547" s="2">
        <f t="shared" si="94"/>
        <v>564944.83829999994</v>
      </c>
    </row>
    <row r="548" spans="1:15" x14ac:dyDescent="0.3">
      <c r="A548" s="50">
        <v>44377</v>
      </c>
      <c r="B548" s="2">
        <v>547</v>
      </c>
      <c r="C548" s="4">
        <v>1271149.06</v>
      </c>
      <c r="D548" s="4">
        <f t="shared" si="88"/>
        <v>1269773.3</v>
      </c>
      <c r="E548" s="2">
        <f t="shared" si="89"/>
        <v>94831.721467924697</v>
      </c>
      <c r="F548" s="2">
        <f t="shared" si="90"/>
        <v>1375.7600000000093</v>
      </c>
      <c r="G548" s="4">
        <f t="shared" si="91"/>
        <v>1179911.2133333334</v>
      </c>
      <c r="H548" s="2">
        <f t="shared" si="95"/>
        <v>268881.08308759815</v>
      </c>
      <c r="I548" s="2">
        <f t="shared" si="96"/>
        <v>91237.846666666679</v>
      </c>
      <c r="J548" s="4">
        <f t="shared" si="93"/>
        <v>1091874.5049999999</v>
      </c>
      <c r="K548" s="2">
        <f t="shared" si="97"/>
        <v>326472.54363846796</v>
      </c>
      <c r="L548" s="2">
        <f t="shared" si="98"/>
        <v>179274.55500000017</v>
      </c>
      <c r="N548" s="4">
        <f t="shared" si="92"/>
        <v>1052104.5723000001</v>
      </c>
      <c r="O548" s="2">
        <f t="shared" si="94"/>
        <v>219044.48769999994</v>
      </c>
    </row>
    <row r="549" spans="1:15" x14ac:dyDescent="0.3">
      <c r="A549" s="50">
        <v>44378</v>
      </c>
      <c r="B549" s="2">
        <v>548</v>
      </c>
      <c r="C549" s="4">
        <v>832323.9</v>
      </c>
      <c r="D549" s="4">
        <f t="shared" si="88"/>
        <v>1051736.48</v>
      </c>
      <c r="E549" s="2">
        <f t="shared" si="89"/>
        <v>155151.17301817922</v>
      </c>
      <c r="F549" s="2">
        <f t="shared" si="90"/>
        <v>219412.57999999996</v>
      </c>
      <c r="G549" s="4">
        <f t="shared" si="91"/>
        <v>1123956.8333333333</v>
      </c>
      <c r="H549" s="2">
        <f t="shared" si="95"/>
        <v>223011.90356396002</v>
      </c>
      <c r="I549" s="2">
        <f t="shared" si="96"/>
        <v>291632.93333333323</v>
      </c>
      <c r="J549" s="4">
        <f t="shared" si="93"/>
        <v>1093014.385</v>
      </c>
      <c r="K549" s="2">
        <f t="shared" si="97"/>
        <v>318184.49632307136</v>
      </c>
      <c r="L549" s="2">
        <f t="shared" si="98"/>
        <v>260690.48499999999</v>
      </c>
      <c r="N549" s="4">
        <f t="shared" si="92"/>
        <v>1210312.9892000002</v>
      </c>
      <c r="O549" s="2">
        <f t="shared" si="94"/>
        <v>377989.08920000016</v>
      </c>
    </row>
    <row r="550" spans="1:15" x14ac:dyDescent="0.3">
      <c r="A550" s="50">
        <v>44379</v>
      </c>
      <c r="B550" s="2">
        <v>549</v>
      </c>
      <c r="C550" s="4">
        <v>948550.4</v>
      </c>
      <c r="D550" s="4">
        <f t="shared" si="88"/>
        <v>890437.15</v>
      </c>
      <c r="E550" s="2">
        <f t="shared" si="89"/>
        <v>160497.71040083232</v>
      </c>
      <c r="F550" s="2">
        <f t="shared" si="90"/>
        <v>58113.25</v>
      </c>
      <c r="G550" s="4">
        <f t="shared" si="91"/>
        <v>1017341.12</v>
      </c>
      <c r="H550" s="2">
        <f t="shared" si="95"/>
        <v>180837.19715727086</v>
      </c>
      <c r="I550" s="2">
        <f t="shared" si="96"/>
        <v>68790.719999999972</v>
      </c>
      <c r="J550" s="4">
        <f t="shared" si="93"/>
        <v>1080105.2250000001</v>
      </c>
      <c r="K550" s="2">
        <f t="shared" si="97"/>
        <v>300711.25685648731</v>
      </c>
      <c r="L550" s="2">
        <f t="shared" si="98"/>
        <v>131554.82500000007</v>
      </c>
      <c r="N550" s="4">
        <f t="shared" si="92"/>
        <v>1123537.297</v>
      </c>
      <c r="O550" s="2">
        <f t="shared" si="94"/>
        <v>174986.897</v>
      </c>
    </row>
    <row r="551" spans="1:15" x14ac:dyDescent="0.3">
      <c r="A551" s="50">
        <v>44380</v>
      </c>
      <c r="B551" s="2">
        <v>550</v>
      </c>
      <c r="C551" s="4">
        <v>3809323.6</v>
      </c>
      <c r="D551" s="4">
        <f t="shared" si="88"/>
        <v>2378937</v>
      </c>
      <c r="E551" s="2">
        <f t="shared" si="89"/>
        <v>1012270.461706041</v>
      </c>
      <c r="F551" s="2">
        <f t="shared" si="90"/>
        <v>1430386.6</v>
      </c>
      <c r="G551" s="4">
        <f t="shared" si="91"/>
        <v>1863399.3</v>
      </c>
      <c r="H551" s="2">
        <f t="shared" si="95"/>
        <v>1136720.9144865202</v>
      </c>
      <c r="I551" s="2">
        <f t="shared" si="96"/>
        <v>1945924.3</v>
      </c>
      <c r="J551" s="4">
        <f t="shared" si="93"/>
        <v>1715336.74</v>
      </c>
      <c r="K551" s="2">
        <f t="shared" si="97"/>
        <v>1060917.8263269761</v>
      </c>
      <c r="L551" s="2">
        <f t="shared" si="98"/>
        <v>2093986.86</v>
      </c>
      <c r="N551" s="4">
        <f t="shared" si="92"/>
        <v>967801.31270000013</v>
      </c>
      <c r="O551" s="2">
        <f t="shared" si="94"/>
        <v>2841522.2873</v>
      </c>
    </row>
    <row r="552" spans="1:15" x14ac:dyDescent="0.3">
      <c r="A552" s="50">
        <v>44381</v>
      </c>
      <c r="B552" s="2">
        <v>551</v>
      </c>
      <c r="C552" s="4">
        <v>1422191.19</v>
      </c>
      <c r="D552" s="4">
        <f t="shared" si="88"/>
        <v>2615757.395</v>
      </c>
      <c r="E552" s="2">
        <f t="shared" si="89"/>
        <v>1317309.0205372586</v>
      </c>
      <c r="F552" s="2">
        <f t="shared" si="90"/>
        <v>1193566.2050000001</v>
      </c>
      <c r="G552" s="4">
        <f t="shared" si="91"/>
        <v>2060021.7299999997</v>
      </c>
      <c r="H552" s="2">
        <f t="shared" si="95"/>
        <v>1182959.7544922791</v>
      </c>
      <c r="I552" s="2">
        <f t="shared" si="96"/>
        <v>637830.5399999998</v>
      </c>
      <c r="J552" s="4">
        <f t="shared" si="93"/>
        <v>1753097.2725</v>
      </c>
      <c r="K552" s="2">
        <f t="shared" si="97"/>
        <v>1069993.6922989865</v>
      </c>
      <c r="L552" s="2">
        <f t="shared" si="98"/>
        <v>330906.08250000002</v>
      </c>
      <c r="N552" s="4">
        <f t="shared" si="92"/>
        <v>1881339.5919999999</v>
      </c>
      <c r="O552" s="2">
        <f t="shared" si="94"/>
        <v>459148.402</v>
      </c>
    </row>
    <row r="553" spans="1:15" x14ac:dyDescent="0.3">
      <c r="A553" s="50">
        <v>44382</v>
      </c>
      <c r="B553" s="2">
        <v>552</v>
      </c>
      <c r="C553" s="4">
        <v>1672011.54</v>
      </c>
      <c r="D553" s="4">
        <f t="shared" si="88"/>
        <v>1547101.365</v>
      </c>
      <c r="E553" s="2">
        <f t="shared" si="89"/>
        <v>848587.89690185688</v>
      </c>
      <c r="F553" s="2">
        <f t="shared" si="90"/>
        <v>124910.17500000005</v>
      </c>
      <c r="G553" s="4">
        <f t="shared" si="91"/>
        <v>2301175.4433333334</v>
      </c>
      <c r="H553" s="2">
        <f t="shared" si="95"/>
        <v>1236836.8790783498</v>
      </c>
      <c r="I553" s="2">
        <f t="shared" si="96"/>
        <v>629163.90333333332</v>
      </c>
      <c r="J553" s="4">
        <f t="shared" si="93"/>
        <v>1963019.1824999999</v>
      </c>
      <c r="K553" s="2">
        <f t="shared" si="97"/>
        <v>1071945.8854417915</v>
      </c>
      <c r="L553" s="2">
        <f t="shared" si="98"/>
        <v>291007.64249999984</v>
      </c>
      <c r="N553" s="4">
        <f t="shared" si="92"/>
        <v>2380264.1386500001</v>
      </c>
      <c r="O553" s="2">
        <f t="shared" si="94"/>
        <v>708252.59865000006</v>
      </c>
    </row>
    <row r="554" spans="1:15" x14ac:dyDescent="0.3">
      <c r="A554" s="50">
        <v>44383</v>
      </c>
      <c r="B554" s="2">
        <v>553</v>
      </c>
      <c r="C554" s="4">
        <v>1995454.22</v>
      </c>
      <c r="D554" s="4">
        <f t="shared" si="88"/>
        <v>1833732.88</v>
      </c>
      <c r="E554" s="2">
        <f t="shared" si="89"/>
        <v>144492.80886937983</v>
      </c>
      <c r="F554" s="2">
        <f t="shared" si="90"/>
        <v>161721.34000000008</v>
      </c>
      <c r="G554" s="4">
        <f t="shared" si="91"/>
        <v>1696552.3166666667</v>
      </c>
      <c r="H554" s="2">
        <f t="shared" si="95"/>
        <v>545288.10819927009</v>
      </c>
      <c r="I554" s="2">
        <f t="shared" si="96"/>
        <v>298901.90333333332</v>
      </c>
      <c r="J554" s="4">
        <f t="shared" si="93"/>
        <v>2224745.1375000002</v>
      </c>
      <c r="K554" s="2">
        <f t="shared" si="97"/>
        <v>1076050.6003587327</v>
      </c>
      <c r="L554" s="2">
        <f t="shared" si="98"/>
        <v>229290.91750000021</v>
      </c>
      <c r="N554" s="4">
        <f t="shared" si="92"/>
        <v>2031050.13745</v>
      </c>
      <c r="O554" s="2">
        <f t="shared" si="94"/>
        <v>35595.917450000066</v>
      </c>
    </row>
    <row r="555" spans="1:15" x14ac:dyDescent="0.3">
      <c r="A555" s="50">
        <v>44384</v>
      </c>
      <c r="B555" s="2">
        <v>554</v>
      </c>
      <c r="C555" s="4">
        <v>1575759.15</v>
      </c>
      <c r="D555" s="4">
        <f t="shared" si="88"/>
        <v>1785606.6850000001</v>
      </c>
      <c r="E555" s="2">
        <f t="shared" si="89"/>
        <v>187336.30155014258</v>
      </c>
      <c r="F555" s="2">
        <f t="shared" si="90"/>
        <v>209847.53500000015</v>
      </c>
      <c r="G555" s="4">
        <f t="shared" si="91"/>
        <v>1747741.6366666667</v>
      </c>
      <c r="H555" s="2">
        <f t="shared" si="95"/>
        <v>414233.24379467481</v>
      </c>
      <c r="I555" s="2">
        <f t="shared" si="96"/>
        <v>171982.48666666681</v>
      </c>
      <c r="J555" s="4">
        <f t="shared" si="93"/>
        <v>1666354.0249999999</v>
      </c>
      <c r="K555" s="2">
        <f t="shared" si="97"/>
        <v>252470.81002224894</v>
      </c>
      <c r="L555" s="2">
        <f t="shared" si="98"/>
        <v>90594.875</v>
      </c>
      <c r="N555" s="4">
        <f t="shared" si="92"/>
        <v>1725404.3608000001</v>
      </c>
      <c r="O555" s="2">
        <f t="shared" si="94"/>
        <v>149645.21080000023</v>
      </c>
    </row>
    <row r="556" spans="1:15" x14ac:dyDescent="0.3">
      <c r="A556" s="50">
        <v>44385</v>
      </c>
      <c r="B556" s="2">
        <v>555</v>
      </c>
      <c r="C556" s="4">
        <v>176398.48</v>
      </c>
      <c r="D556" s="4">
        <f t="shared" si="88"/>
        <v>876078.81499999994</v>
      </c>
      <c r="E556" s="2">
        <f t="shared" si="89"/>
        <v>516521.32537354564</v>
      </c>
      <c r="F556" s="2">
        <f t="shared" si="90"/>
        <v>699680.33499999996</v>
      </c>
      <c r="G556" s="4">
        <f t="shared" si="91"/>
        <v>1249203.95</v>
      </c>
      <c r="H556" s="2">
        <f t="shared" si="95"/>
        <v>650597.64831992763</v>
      </c>
      <c r="I556" s="2">
        <f t="shared" si="96"/>
        <v>1072805.47</v>
      </c>
      <c r="J556" s="4">
        <f t="shared" si="93"/>
        <v>1354905.8475000001</v>
      </c>
      <c r="K556" s="2">
        <f t="shared" si="97"/>
        <v>619343.76953947102</v>
      </c>
      <c r="L556" s="2">
        <f t="shared" si="98"/>
        <v>1178507.3675000002</v>
      </c>
      <c r="N556" s="4">
        <f t="shared" si="92"/>
        <v>1783698.9819500002</v>
      </c>
      <c r="O556" s="2">
        <f t="shared" si="94"/>
        <v>1607300.5019500002</v>
      </c>
    </row>
    <row r="557" spans="1:15" x14ac:dyDescent="0.3">
      <c r="A557" s="50">
        <v>44386</v>
      </c>
      <c r="B557" s="2">
        <v>556</v>
      </c>
      <c r="C557" s="4">
        <v>86691.150000000009</v>
      </c>
      <c r="D557" s="4">
        <f t="shared" si="88"/>
        <v>131544.815</v>
      </c>
      <c r="E557" s="2">
        <f t="shared" si="89"/>
        <v>495764.26981461886</v>
      </c>
      <c r="F557" s="2">
        <f t="shared" si="90"/>
        <v>44853.664999999994</v>
      </c>
      <c r="G557" s="4">
        <f t="shared" si="91"/>
        <v>612949.59333333327</v>
      </c>
      <c r="H557" s="2">
        <f t="shared" si="95"/>
        <v>697002.51108146284</v>
      </c>
      <c r="I557" s="2">
        <f t="shared" si="96"/>
        <v>526258.44333333324</v>
      </c>
      <c r="J557" s="4">
        <f t="shared" si="93"/>
        <v>958575.75</v>
      </c>
      <c r="K557" s="2">
        <f t="shared" si="97"/>
        <v>743277.22405459161</v>
      </c>
      <c r="L557" s="2">
        <f t="shared" si="98"/>
        <v>871884.6</v>
      </c>
      <c r="N557" s="4">
        <f t="shared" si="92"/>
        <v>1199306.24095</v>
      </c>
      <c r="O557" s="2">
        <f t="shared" si="94"/>
        <v>1112615.0909500001</v>
      </c>
    </row>
    <row r="558" spans="1:15" x14ac:dyDescent="0.3">
      <c r="A558" s="50">
        <v>44387</v>
      </c>
      <c r="B558" s="2">
        <v>557</v>
      </c>
      <c r="C558" s="4">
        <v>442049.3</v>
      </c>
      <c r="D558" s="4">
        <f t="shared" si="88"/>
        <v>264370.22499999998</v>
      </c>
      <c r="E558" s="2">
        <f t="shared" si="89"/>
        <v>129579.52183271061</v>
      </c>
      <c r="F558" s="2">
        <f t="shared" si="90"/>
        <v>177679.07500000001</v>
      </c>
      <c r="G558" s="4">
        <f t="shared" si="91"/>
        <v>235046.30999999997</v>
      </c>
      <c r="H558" s="2">
        <f t="shared" si="95"/>
        <v>700168.97091832629</v>
      </c>
      <c r="I558" s="2">
        <f t="shared" si="96"/>
        <v>207002.99000000002</v>
      </c>
      <c r="J558" s="4">
        <f t="shared" si="93"/>
        <v>570224.5199999999</v>
      </c>
      <c r="K558" s="2">
        <f t="shared" si="97"/>
        <v>737173.43437064637</v>
      </c>
      <c r="L558" s="2">
        <f t="shared" si="98"/>
        <v>128175.21999999991</v>
      </c>
      <c r="N558" s="4">
        <f t="shared" si="92"/>
        <v>454205.87185</v>
      </c>
      <c r="O558" s="2">
        <f t="shared" si="94"/>
        <v>12156.571850000008</v>
      </c>
    </row>
    <row r="559" spans="1:15" x14ac:dyDescent="0.3">
      <c r="A559" s="50">
        <v>44388</v>
      </c>
      <c r="B559" s="2">
        <v>558</v>
      </c>
      <c r="C559" s="4">
        <v>412435.4</v>
      </c>
      <c r="D559" s="4">
        <f t="shared" si="88"/>
        <v>427242.35</v>
      </c>
      <c r="E559" s="2">
        <f t="shared" si="89"/>
        <v>126073.5885527935</v>
      </c>
      <c r="F559" s="2">
        <f t="shared" si="90"/>
        <v>14806.949999999953</v>
      </c>
      <c r="G559" s="4">
        <f t="shared" si="91"/>
        <v>313725.28333333333</v>
      </c>
      <c r="H559" s="2">
        <f t="shared" si="95"/>
        <v>331432.18219363777</v>
      </c>
      <c r="I559" s="2">
        <f t="shared" si="96"/>
        <v>98710.116666666698</v>
      </c>
      <c r="J559" s="4">
        <f t="shared" si="93"/>
        <v>279393.58250000002</v>
      </c>
      <c r="K559" s="2">
        <f t="shared" si="97"/>
        <v>738781.32474953169</v>
      </c>
      <c r="L559" s="2">
        <f t="shared" si="98"/>
        <v>133041.8175</v>
      </c>
      <c r="N559" s="4">
        <f t="shared" si="92"/>
        <v>225471.74285000001</v>
      </c>
      <c r="O559" s="2">
        <f t="shared" si="94"/>
        <v>186963.65715000001</v>
      </c>
    </row>
    <row r="560" spans="1:15" x14ac:dyDescent="0.3">
      <c r="A560" s="50">
        <v>44389</v>
      </c>
      <c r="B560" s="2">
        <v>559</v>
      </c>
      <c r="C560" s="4">
        <v>1136081.0999999999</v>
      </c>
      <c r="D560" s="4">
        <f t="shared" si="88"/>
        <v>774258.25</v>
      </c>
      <c r="E560" s="2">
        <f t="shared" si="89"/>
        <v>256061.5361103898</v>
      </c>
      <c r="F560" s="2">
        <f t="shared" si="90"/>
        <v>361822.84999999986</v>
      </c>
      <c r="G560" s="4">
        <f t="shared" si="91"/>
        <v>663521.93333333323</v>
      </c>
      <c r="H560" s="2">
        <f t="shared" si="95"/>
        <v>303263.4119056575</v>
      </c>
      <c r="I560" s="2">
        <f t="shared" si="96"/>
        <v>472559.16666666663</v>
      </c>
      <c r="J560" s="4">
        <f t="shared" si="93"/>
        <v>519314.23749999993</v>
      </c>
      <c r="K560" s="2">
        <f t="shared" si="97"/>
        <v>541920.91918955417</v>
      </c>
      <c r="L560" s="2">
        <f t="shared" si="98"/>
        <v>616766.86249999993</v>
      </c>
      <c r="N560" s="4">
        <f t="shared" si="92"/>
        <v>353949.8505</v>
      </c>
      <c r="O560" s="2">
        <f t="shared" si="94"/>
        <v>782131.24949999992</v>
      </c>
    </row>
    <row r="561" spans="1:15" x14ac:dyDescent="0.3">
      <c r="A561" s="50">
        <v>44390</v>
      </c>
      <c r="B561" s="2">
        <v>560</v>
      </c>
      <c r="C561" s="4">
        <v>2231913.04</v>
      </c>
      <c r="D561" s="4">
        <f t="shared" si="88"/>
        <v>1683997.0699999998</v>
      </c>
      <c r="E561" s="2">
        <f t="shared" si="89"/>
        <v>464288.53365292342</v>
      </c>
      <c r="F561" s="2">
        <f t="shared" si="90"/>
        <v>547915.9700000002</v>
      </c>
      <c r="G561" s="4">
        <f t="shared" si="91"/>
        <v>1260143.18</v>
      </c>
      <c r="H561" s="2">
        <f t="shared" si="95"/>
        <v>626469.60924891406</v>
      </c>
      <c r="I561" s="2">
        <f t="shared" si="96"/>
        <v>971769.8600000001</v>
      </c>
      <c r="J561" s="4">
        <f t="shared" si="93"/>
        <v>1055619.71</v>
      </c>
      <c r="K561" s="2">
        <f t="shared" si="97"/>
        <v>670484.2229885679</v>
      </c>
      <c r="L561" s="2">
        <f t="shared" si="98"/>
        <v>1176293.33</v>
      </c>
      <c r="N561" s="4">
        <f t="shared" si="92"/>
        <v>661371.76750000007</v>
      </c>
      <c r="O561" s="2">
        <f t="shared" si="94"/>
        <v>1570541.2725</v>
      </c>
    </row>
    <row r="562" spans="1:15" x14ac:dyDescent="0.3">
      <c r="A562" s="50">
        <v>44391</v>
      </c>
      <c r="B562" s="2">
        <v>561</v>
      </c>
      <c r="C562" s="4">
        <v>646618.79999999993</v>
      </c>
      <c r="D562" s="4">
        <f t="shared" si="88"/>
        <v>1439265.92</v>
      </c>
      <c r="E562" s="2">
        <f t="shared" si="89"/>
        <v>681359.43782460946</v>
      </c>
      <c r="F562" s="2">
        <f t="shared" si="90"/>
        <v>792647.12</v>
      </c>
      <c r="G562" s="4">
        <f t="shared" si="91"/>
        <v>1338204.3133333332</v>
      </c>
      <c r="H562" s="2">
        <f t="shared" si="95"/>
        <v>740706.7231272317</v>
      </c>
      <c r="I562" s="2">
        <f t="shared" si="96"/>
        <v>691585.51333333331</v>
      </c>
      <c r="J562" s="4">
        <f t="shared" si="93"/>
        <v>1106762.085</v>
      </c>
      <c r="K562" s="2">
        <f t="shared" si="97"/>
        <v>705956.67870183033</v>
      </c>
      <c r="L562" s="2">
        <f t="shared" si="98"/>
        <v>460143.28500000003</v>
      </c>
      <c r="N562" s="4">
        <f t="shared" si="92"/>
        <v>1343982.7459</v>
      </c>
      <c r="O562" s="2">
        <f t="shared" si="94"/>
        <v>697363.94590000005</v>
      </c>
    </row>
    <row r="563" spans="1:15" x14ac:dyDescent="0.3">
      <c r="A563" s="50">
        <v>44392</v>
      </c>
      <c r="B563" s="2">
        <v>562</v>
      </c>
      <c r="C563" s="4">
        <v>5943593.3799999999</v>
      </c>
      <c r="D563" s="4">
        <f t="shared" si="88"/>
        <v>3295106.09</v>
      </c>
      <c r="E563" s="2">
        <f t="shared" si="89"/>
        <v>1954836.8707050516</v>
      </c>
      <c r="F563" s="2">
        <f t="shared" si="90"/>
        <v>2648487.29</v>
      </c>
      <c r="G563" s="4">
        <f t="shared" si="91"/>
        <v>2940708.4066666663</v>
      </c>
      <c r="H563" s="2">
        <f t="shared" si="95"/>
        <v>1865470.9276862761</v>
      </c>
      <c r="I563" s="2">
        <f t="shared" si="96"/>
        <v>3002884.9733333336</v>
      </c>
      <c r="J563" s="4">
        <f t="shared" si="93"/>
        <v>2489551.58</v>
      </c>
      <c r="K563" s="2">
        <f t="shared" si="97"/>
        <v>1864551.1497246737</v>
      </c>
      <c r="L563" s="2">
        <f t="shared" si="98"/>
        <v>3454041.8</v>
      </c>
      <c r="N563" s="4">
        <f t="shared" si="92"/>
        <v>1459756.4427999998</v>
      </c>
      <c r="O563" s="2">
        <f t="shared" si="94"/>
        <v>4483836.9372000005</v>
      </c>
    </row>
    <row r="564" spans="1:15" x14ac:dyDescent="0.3">
      <c r="A564" s="50">
        <v>44393</v>
      </c>
      <c r="B564" s="2">
        <v>563</v>
      </c>
      <c r="C564" s="4">
        <v>811790.4</v>
      </c>
      <c r="D564" s="4">
        <f t="shared" si="88"/>
        <v>3377691.89</v>
      </c>
      <c r="E564" s="2">
        <f t="shared" si="89"/>
        <v>2607521.3692006213</v>
      </c>
      <c r="F564" s="2">
        <f t="shared" si="90"/>
        <v>2565901.4900000002</v>
      </c>
      <c r="G564" s="4">
        <f t="shared" si="91"/>
        <v>2467334.1933333334</v>
      </c>
      <c r="H564" s="2">
        <f t="shared" si="95"/>
        <v>2019606.7221919049</v>
      </c>
      <c r="I564" s="2">
        <f t="shared" si="96"/>
        <v>1655543.7933333335</v>
      </c>
      <c r="J564" s="4">
        <f t="shared" si="93"/>
        <v>2408478.9049999998</v>
      </c>
      <c r="K564" s="2">
        <f t="shared" si="97"/>
        <v>2004695.5366762963</v>
      </c>
      <c r="L564" s="2">
        <f t="shared" si="98"/>
        <v>1596688.5049999999</v>
      </c>
      <c r="N564" s="4">
        <f t="shared" si="92"/>
        <v>2769870.0170999998</v>
      </c>
      <c r="O564" s="2">
        <f t="shared" si="94"/>
        <v>1958079.6170999999</v>
      </c>
    </row>
    <row r="565" spans="1:15" x14ac:dyDescent="0.3">
      <c r="A565" s="50">
        <v>44394</v>
      </c>
      <c r="B565" s="2">
        <v>564</v>
      </c>
      <c r="C565" s="4">
        <v>1760997.7</v>
      </c>
      <c r="D565" s="4">
        <f t="shared" si="88"/>
        <v>1286394.05</v>
      </c>
      <c r="E565" s="2">
        <f t="shared" si="89"/>
        <v>1845142.1464182027</v>
      </c>
      <c r="F565" s="2">
        <f t="shared" si="90"/>
        <v>474603.64999999991</v>
      </c>
      <c r="G565" s="4">
        <f t="shared" si="91"/>
        <v>2838793.8266666667</v>
      </c>
      <c r="H565" s="2">
        <f t="shared" si="95"/>
        <v>2075233.9551139232</v>
      </c>
      <c r="I565" s="2">
        <f t="shared" si="96"/>
        <v>1077796.1266666667</v>
      </c>
      <c r="J565" s="4">
        <f t="shared" si="93"/>
        <v>2290750.0699999998</v>
      </c>
      <c r="K565" s="2">
        <f t="shared" si="97"/>
        <v>1934695.606187029</v>
      </c>
      <c r="L565" s="2">
        <f t="shared" si="98"/>
        <v>529752.36999999988</v>
      </c>
      <c r="N565" s="4">
        <f t="shared" si="92"/>
        <v>3059104.9741000002</v>
      </c>
      <c r="O565" s="2">
        <f t="shared" si="94"/>
        <v>1298107.2741000003</v>
      </c>
    </row>
    <row r="566" spans="1:15" x14ac:dyDescent="0.3">
      <c r="A566" s="50">
        <v>44395</v>
      </c>
      <c r="B566" s="2">
        <v>565</v>
      </c>
      <c r="C566" s="4">
        <v>1294058.7</v>
      </c>
      <c r="D566" s="4">
        <f t="shared" si="88"/>
        <v>1527528.2</v>
      </c>
      <c r="E566" s="2">
        <f t="shared" si="89"/>
        <v>374003.09625962481</v>
      </c>
      <c r="F566" s="2">
        <f t="shared" si="90"/>
        <v>233469.5</v>
      </c>
      <c r="G566" s="4">
        <f t="shared" si="91"/>
        <v>1288948.9333333333</v>
      </c>
      <c r="H566" s="2">
        <f t="shared" si="95"/>
        <v>1140540.2012522516</v>
      </c>
      <c r="I566" s="2">
        <f t="shared" si="96"/>
        <v>5109.7666666666046</v>
      </c>
      <c r="J566" s="4">
        <f t="shared" si="93"/>
        <v>2452610.0449999999</v>
      </c>
      <c r="K566" s="2">
        <f t="shared" si="97"/>
        <v>2006408.3414567122</v>
      </c>
      <c r="L566" s="2">
        <f t="shared" si="98"/>
        <v>1158551.345</v>
      </c>
      <c r="N566" s="4">
        <f t="shared" si="92"/>
        <v>2258771.5011</v>
      </c>
      <c r="O566" s="2">
        <f t="shared" si="94"/>
        <v>964712.80110000004</v>
      </c>
    </row>
    <row r="567" spans="1:15" x14ac:dyDescent="0.3">
      <c r="A567" s="50">
        <v>44396</v>
      </c>
      <c r="B567" s="2">
        <v>566</v>
      </c>
      <c r="C567" s="4">
        <v>2464983.6800000002</v>
      </c>
      <c r="D567" s="4">
        <f t="shared" si="88"/>
        <v>1879521.19</v>
      </c>
      <c r="E567" s="2">
        <f t="shared" si="89"/>
        <v>445687.29768036376</v>
      </c>
      <c r="F567" s="2">
        <f t="shared" si="90"/>
        <v>585462.49000000022</v>
      </c>
      <c r="G567" s="4">
        <f t="shared" si="91"/>
        <v>1840013.36</v>
      </c>
      <c r="H567" s="2">
        <f t="shared" si="95"/>
        <v>719318.77524362353</v>
      </c>
      <c r="I567" s="2">
        <f t="shared" si="96"/>
        <v>624970.32000000007</v>
      </c>
      <c r="J567" s="4">
        <f t="shared" si="93"/>
        <v>1582957.62</v>
      </c>
      <c r="K567" s="2">
        <f t="shared" si="97"/>
        <v>1112459.3189236387</v>
      </c>
      <c r="L567" s="2">
        <f t="shared" si="98"/>
        <v>882026.06</v>
      </c>
      <c r="N567" s="4">
        <f t="shared" si="92"/>
        <v>1395747.5290000001</v>
      </c>
      <c r="O567" s="2">
        <f t="shared" si="94"/>
        <v>1069236.1510000001</v>
      </c>
    </row>
    <row r="568" spans="1:15" x14ac:dyDescent="0.3">
      <c r="A568" s="50">
        <v>44397</v>
      </c>
      <c r="B568" s="2">
        <v>567</v>
      </c>
      <c r="C568" s="4">
        <v>1369405.5</v>
      </c>
      <c r="D568" s="4">
        <f t="shared" si="88"/>
        <v>1917194.59</v>
      </c>
      <c r="E568" s="2">
        <f t="shared" si="89"/>
        <v>566938.80371695699</v>
      </c>
      <c r="F568" s="2">
        <f t="shared" si="90"/>
        <v>547789.09000000008</v>
      </c>
      <c r="G568" s="4">
        <f t="shared" si="91"/>
        <v>1709482.6266666667</v>
      </c>
      <c r="H568" s="2">
        <f t="shared" si="95"/>
        <v>410798.59731915116</v>
      </c>
      <c r="I568" s="2">
        <f t="shared" si="96"/>
        <v>340077.12666666671</v>
      </c>
      <c r="J568" s="4">
        <f t="shared" si="93"/>
        <v>1722361.395</v>
      </c>
      <c r="K568" s="2">
        <f t="shared" si="97"/>
        <v>794579.54712796072</v>
      </c>
      <c r="L568" s="2">
        <f t="shared" si="98"/>
        <v>352955.89500000002</v>
      </c>
      <c r="N568" s="4">
        <f t="shared" si="92"/>
        <v>1789045.1483</v>
      </c>
      <c r="O568" s="2">
        <f t="shared" si="94"/>
        <v>419639.6483</v>
      </c>
    </row>
    <row r="569" spans="1:15" x14ac:dyDescent="0.3">
      <c r="A569" s="50">
        <v>44398</v>
      </c>
      <c r="B569" s="2">
        <v>568</v>
      </c>
      <c r="C569" s="4">
        <v>61531.35</v>
      </c>
      <c r="D569" s="4">
        <f t="shared" si="88"/>
        <v>715468.42500000005</v>
      </c>
      <c r="E569" s="2">
        <f t="shared" si="89"/>
        <v>603202.53032567096</v>
      </c>
      <c r="F569" s="2">
        <f t="shared" si="90"/>
        <v>653937.07500000007</v>
      </c>
      <c r="G569" s="4">
        <f t="shared" si="91"/>
        <v>1298640.1766666668</v>
      </c>
      <c r="H569" s="2">
        <f t="shared" si="95"/>
        <v>823949.55387235025</v>
      </c>
      <c r="I569" s="2">
        <f t="shared" si="96"/>
        <v>1237108.8266666667</v>
      </c>
      <c r="J569" s="4">
        <f t="shared" si="93"/>
        <v>1297494.8074999999</v>
      </c>
      <c r="K569" s="2">
        <f t="shared" si="97"/>
        <v>971132.67909321189</v>
      </c>
      <c r="L569" s="2">
        <f t="shared" si="98"/>
        <v>1235963.4574999998</v>
      </c>
      <c r="N569" s="4">
        <f t="shared" si="92"/>
        <v>1840361.4941000002</v>
      </c>
      <c r="O569" s="2">
        <f t="shared" si="94"/>
        <v>1778830.1441000002</v>
      </c>
    </row>
    <row r="570" spans="1:15" x14ac:dyDescent="0.3">
      <c r="A570" s="50">
        <v>44399</v>
      </c>
      <c r="B570" s="2">
        <v>569</v>
      </c>
      <c r="C570" s="4">
        <v>828931.2</v>
      </c>
      <c r="D570" s="4">
        <f t="shared" si="88"/>
        <v>445231.27499999997</v>
      </c>
      <c r="E570" s="2">
        <f t="shared" si="89"/>
        <v>536124.67323588138</v>
      </c>
      <c r="F570" s="2">
        <f t="shared" si="90"/>
        <v>383699.92499999999</v>
      </c>
      <c r="G570" s="4">
        <f t="shared" si="91"/>
        <v>753289.35</v>
      </c>
      <c r="H570" s="2">
        <f t="shared" si="95"/>
        <v>742027.04141422757</v>
      </c>
      <c r="I570" s="2">
        <f t="shared" si="96"/>
        <v>75641.849999999977</v>
      </c>
      <c r="J570" s="4">
        <f t="shared" si="93"/>
        <v>1181212.9325000001</v>
      </c>
      <c r="K570" s="2">
        <f t="shared" si="97"/>
        <v>799101.98373907979</v>
      </c>
      <c r="L570" s="2">
        <f t="shared" si="98"/>
        <v>352281.73250000016</v>
      </c>
      <c r="N570" s="4">
        <f t="shared" si="92"/>
        <v>1172294.85935</v>
      </c>
      <c r="O570" s="2">
        <f t="shared" si="94"/>
        <v>343363.65935000009</v>
      </c>
    </row>
    <row r="571" spans="1:15" x14ac:dyDescent="0.3">
      <c r="A571" s="50">
        <v>44400</v>
      </c>
      <c r="B571" s="2">
        <v>570</v>
      </c>
      <c r="C571" s="4">
        <v>2749988</v>
      </c>
      <c r="D571" s="4">
        <f t="shared" si="88"/>
        <v>1789459.6</v>
      </c>
      <c r="E571" s="2">
        <f t="shared" si="89"/>
        <v>731382.40327873814</v>
      </c>
      <c r="F571" s="2">
        <f t="shared" si="90"/>
        <v>960528.39999999991</v>
      </c>
      <c r="G571" s="4">
        <f t="shared" si="91"/>
        <v>1213483.5166666666</v>
      </c>
      <c r="H571" s="2">
        <f t="shared" si="95"/>
        <v>1139737.6841173342</v>
      </c>
      <c r="I571" s="2">
        <f t="shared" si="96"/>
        <v>1536504.4833333334</v>
      </c>
      <c r="J571" s="4">
        <f t="shared" si="93"/>
        <v>1252464.0125</v>
      </c>
      <c r="K571" s="2">
        <f t="shared" si="97"/>
        <v>1002355.2319763821</v>
      </c>
      <c r="L571" s="2">
        <f t="shared" si="98"/>
        <v>1497523.9875</v>
      </c>
      <c r="N571" s="4">
        <f t="shared" si="92"/>
        <v>606342.61275000009</v>
      </c>
      <c r="O571" s="2">
        <f t="shared" si="94"/>
        <v>2143645.3872499997</v>
      </c>
    </row>
    <row r="572" spans="1:15" x14ac:dyDescent="0.3">
      <c r="A572" s="50">
        <v>44401</v>
      </c>
      <c r="B572" s="2">
        <v>571</v>
      </c>
      <c r="C572" s="4">
        <v>389991.55000000005</v>
      </c>
      <c r="D572" s="4">
        <f t="shared" si="88"/>
        <v>1569989.7749999999</v>
      </c>
      <c r="E572" s="2">
        <f t="shared" si="89"/>
        <v>1075874.2069149418</v>
      </c>
      <c r="F572" s="2">
        <f t="shared" si="90"/>
        <v>1179998.2249999999</v>
      </c>
      <c r="G572" s="4">
        <f t="shared" si="91"/>
        <v>1322970.25</v>
      </c>
      <c r="H572" s="2">
        <f t="shared" si="95"/>
        <v>1038751.9709453497</v>
      </c>
      <c r="I572" s="2">
        <f t="shared" si="96"/>
        <v>932978.7</v>
      </c>
      <c r="J572" s="4">
        <f t="shared" si="93"/>
        <v>1007610.5249999999</v>
      </c>
      <c r="K572" s="2">
        <f t="shared" si="97"/>
        <v>1033893.0528283023</v>
      </c>
      <c r="L572" s="2">
        <f t="shared" si="98"/>
        <v>617618.97499999986</v>
      </c>
      <c r="N572" s="4">
        <f t="shared" si="92"/>
        <v>1303657.2610000002</v>
      </c>
      <c r="O572" s="2">
        <f t="shared" si="94"/>
        <v>913665.71100000013</v>
      </c>
    </row>
    <row r="573" spans="1:15" x14ac:dyDescent="0.3">
      <c r="A573" s="50">
        <v>44402</v>
      </c>
      <c r="B573" s="2">
        <v>572</v>
      </c>
      <c r="C573" s="4">
        <v>1244442.4800000002</v>
      </c>
      <c r="D573" s="4">
        <f t="shared" si="88"/>
        <v>817217.01500000013</v>
      </c>
      <c r="E573" s="2">
        <f t="shared" si="89"/>
        <v>887388.69976679794</v>
      </c>
      <c r="F573" s="2">
        <f t="shared" si="90"/>
        <v>427225.46500000008</v>
      </c>
      <c r="G573" s="4">
        <f t="shared" si="91"/>
        <v>1461474.01</v>
      </c>
      <c r="H573" s="2">
        <f t="shared" si="95"/>
        <v>1045370.4234976972</v>
      </c>
      <c r="I573" s="2">
        <f t="shared" si="96"/>
        <v>217031.5299999998</v>
      </c>
      <c r="J573" s="4">
        <f t="shared" si="93"/>
        <v>1303338.3075000001</v>
      </c>
      <c r="K573" s="2">
        <f t="shared" si="97"/>
        <v>829397.73766391212</v>
      </c>
      <c r="L573" s="2">
        <f t="shared" si="98"/>
        <v>58895.827499999898</v>
      </c>
      <c r="N573" s="4">
        <f t="shared" si="92"/>
        <v>1536756.69325</v>
      </c>
      <c r="O573" s="2">
        <f t="shared" si="94"/>
        <v>292314.2132499998</v>
      </c>
    </row>
    <row r="574" spans="1:15" x14ac:dyDescent="0.3">
      <c r="A574" s="50">
        <v>44403</v>
      </c>
      <c r="B574" s="2">
        <v>573</v>
      </c>
      <c r="C574" s="4">
        <v>294800.11</v>
      </c>
      <c r="D574" s="4">
        <f t="shared" si="88"/>
        <v>769621.29500000016</v>
      </c>
      <c r="E574" s="2">
        <f t="shared" si="89"/>
        <v>451650.72548888408</v>
      </c>
      <c r="F574" s="2">
        <f t="shared" si="90"/>
        <v>474821.18500000017</v>
      </c>
      <c r="G574" s="4">
        <f t="shared" si="91"/>
        <v>643078.04666666675</v>
      </c>
      <c r="H574" s="2">
        <f t="shared" si="95"/>
        <v>588458.28536286857</v>
      </c>
      <c r="I574" s="2">
        <f t="shared" si="96"/>
        <v>348277.93666666676</v>
      </c>
      <c r="J574" s="4">
        <f t="shared" si="93"/>
        <v>1169805.5350000001</v>
      </c>
      <c r="K574" s="2">
        <f t="shared" si="97"/>
        <v>921023.14081871626</v>
      </c>
      <c r="L574" s="2">
        <f t="shared" si="98"/>
        <v>875005.42500000016</v>
      </c>
      <c r="N574" s="4">
        <f t="shared" si="92"/>
        <v>1195431.8305500001</v>
      </c>
      <c r="O574" s="2">
        <f t="shared" si="94"/>
        <v>900631.72055000009</v>
      </c>
    </row>
    <row r="575" spans="1:15" x14ac:dyDescent="0.3">
      <c r="A575" s="50">
        <v>44404</v>
      </c>
      <c r="B575" s="2">
        <v>574</v>
      </c>
      <c r="C575" s="4">
        <v>38318.31</v>
      </c>
      <c r="D575" s="4">
        <f t="shared" si="88"/>
        <v>166559.21</v>
      </c>
      <c r="E575" s="2">
        <f t="shared" si="89"/>
        <v>347779.30225763464</v>
      </c>
      <c r="F575" s="2">
        <f t="shared" si="90"/>
        <v>128240.9</v>
      </c>
      <c r="G575" s="4">
        <f t="shared" si="91"/>
        <v>525853.63333333342</v>
      </c>
      <c r="H575" s="2">
        <f t="shared" si="95"/>
        <v>367917.96987945994</v>
      </c>
      <c r="I575" s="2">
        <f t="shared" si="96"/>
        <v>487535.32333333342</v>
      </c>
      <c r="J575" s="4">
        <f t="shared" si="93"/>
        <v>491888.11250000005</v>
      </c>
      <c r="K575" s="2">
        <f t="shared" si="97"/>
        <v>582297.59923433489</v>
      </c>
      <c r="L575" s="2">
        <f t="shared" si="98"/>
        <v>453569.80250000005</v>
      </c>
      <c r="N575" s="4">
        <f t="shared" si="92"/>
        <v>738333.08145000017</v>
      </c>
      <c r="O575" s="2">
        <f t="shared" si="94"/>
        <v>700014.77145000012</v>
      </c>
    </row>
    <row r="576" spans="1:15" x14ac:dyDescent="0.3">
      <c r="A576" s="50">
        <v>44405</v>
      </c>
      <c r="B576" s="2">
        <v>575</v>
      </c>
      <c r="C576" s="4">
        <v>4053782.25</v>
      </c>
      <c r="D576" s="4">
        <f t="shared" si="88"/>
        <v>2046050.28</v>
      </c>
      <c r="E576" s="2">
        <f t="shared" si="89"/>
        <v>1422573.9685149752</v>
      </c>
      <c r="F576" s="2">
        <f t="shared" si="90"/>
        <v>2007731.97</v>
      </c>
      <c r="G576" s="4">
        <f t="shared" si="91"/>
        <v>1462300.2233333334</v>
      </c>
      <c r="H576" s="2">
        <f t="shared" si="95"/>
        <v>1535661.3458271436</v>
      </c>
      <c r="I576" s="2">
        <f t="shared" si="96"/>
        <v>2591482.0266666664</v>
      </c>
      <c r="J576" s="4">
        <f t="shared" si="93"/>
        <v>1407835.7875000001</v>
      </c>
      <c r="K576" s="2">
        <f t="shared" si="97"/>
        <v>1412078.3849022416</v>
      </c>
      <c r="L576" s="2">
        <f t="shared" si="98"/>
        <v>2645946.4624999999</v>
      </c>
      <c r="N576" s="4">
        <f t="shared" si="92"/>
        <v>417800.02840000007</v>
      </c>
      <c r="O576" s="2">
        <f t="shared" si="94"/>
        <v>3635982.2215999998</v>
      </c>
    </row>
    <row r="577" spans="1:15" x14ac:dyDescent="0.3">
      <c r="A577" s="50">
        <v>44406</v>
      </c>
      <c r="B577" s="2">
        <v>576</v>
      </c>
      <c r="C577" s="4">
        <v>1760380.5999999999</v>
      </c>
      <c r="D577" s="4">
        <f t="shared" si="88"/>
        <v>2907081.4249999998</v>
      </c>
      <c r="E577" s="2">
        <f t="shared" si="89"/>
        <v>1634917.4972174836</v>
      </c>
      <c r="F577" s="2">
        <f t="shared" si="90"/>
        <v>1146700.825</v>
      </c>
      <c r="G577" s="4">
        <f t="shared" si="91"/>
        <v>1950827.0533333335</v>
      </c>
      <c r="H577" s="2">
        <f t="shared" si="95"/>
        <v>1526405.3238050675</v>
      </c>
      <c r="I577" s="2">
        <f t="shared" si="96"/>
        <v>190446.4533333336</v>
      </c>
      <c r="J577" s="4">
        <f t="shared" si="93"/>
        <v>1536820.3174999999</v>
      </c>
      <c r="K577" s="2">
        <f t="shared" si="97"/>
        <v>1416189.6008168419</v>
      </c>
      <c r="L577" s="2">
        <f t="shared" si="98"/>
        <v>223560.28249999997</v>
      </c>
      <c r="N577" s="4">
        <f t="shared" si="92"/>
        <v>1439924.7259000002</v>
      </c>
      <c r="O577" s="2">
        <f t="shared" si="94"/>
        <v>320455.87409999967</v>
      </c>
    </row>
    <row r="578" spans="1:15" x14ac:dyDescent="0.3">
      <c r="A578" s="50">
        <v>44407</v>
      </c>
      <c r="B578" s="2">
        <v>577</v>
      </c>
      <c r="C578" s="4">
        <v>2841851.04</v>
      </c>
      <c r="D578" s="4">
        <f t="shared" si="88"/>
        <v>2301115.8199999998</v>
      </c>
      <c r="E578" s="2">
        <f t="shared" si="89"/>
        <v>896470.12225844117</v>
      </c>
      <c r="F578" s="2">
        <f t="shared" si="90"/>
        <v>540735.2200000002</v>
      </c>
      <c r="G578" s="4">
        <f t="shared" si="91"/>
        <v>2885337.9633333334</v>
      </c>
      <c r="H578" s="2">
        <f t="shared" si="95"/>
        <v>1500437.7204252339</v>
      </c>
      <c r="I578" s="2">
        <f t="shared" si="96"/>
        <v>43486.92333333334</v>
      </c>
      <c r="J578" s="4">
        <f t="shared" si="93"/>
        <v>2173583.0499999998</v>
      </c>
      <c r="K578" s="2">
        <f t="shared" si="97"/>
        <v>1387742.7314281161</v>
      </c>
      <c r="L578" s="2">
        <f t="shared" si="98"/>
        <v>668267.99000000022</v>
      </c>
      <c r="N578" s="4">
        <f t="shared" si="92"/>
        <v>2402090.6304500001</v>
      </c>
      <c r="O578" s="2">
        <f t="shared" si="94"/>
        <v>439760.40954999998</v>
      </c>
    </row>
    <row r="579" spans="1:15" x14ac:dyDescent="0.3">
      <c r="A579" s="50">
        <v>44408</v>
      </c>
      <c r="B579" s="2">
        <v>578</v>
      </c>
      <c r="C579" s="4">
        <v>5627501.6699999999</v>
      </c>
      <c r="D579" s="4">
        <f t="shared" si="88"/>
        <v>4234676.3550000004</v>
      </c>
      <c r="E579" s="2">
        <f t="shared" si="89"/>
        <v>1056493.4775599176</v>
      </c>
      <c r="F579" s="2">
        <f t="shared" si="90"/>
        <v>1392825.3149999995</v>
      </c>
      <c r="G579" s="4">
        <f t="shared" si="91"/>
        <v>3409911.103333333</v>
      </c>
      <c r="H579" s="2">
        <f t="shared" si="95"/>
        <v>1285284.5191444622</v>
      </c>
      <c r="I579" s="2">
        <f t="shared" si="96"/>
        <v>2217590.5666666669</v>
      </c>
      <c r="J579" s="4">
        <f t="shared" si="93"/>
        <v>3570878.89</v>
      </c>
      <c r="K579" s="2">
        <f t="shared" si="97"/>
        <v>1712256.6431467943</v>
      </c>
      <c r="L579" s="2">
        <f t="shared" si="98"/>
        <v>2056622.7799999998</v>
      </c>
      <c r="N579" s="4">
        <f t="shared" si="92"/>
        <v>2627221.5603999998</v>
      </c>
      <c r="O579" s="2">
        <f t="shared" si="94"/>
        <v>3000280.1096000001</v>
      </c>
    </row>
    <row r="580" spans="1:15" x14ac:dyDescent="0.3">
      <c r="A580" s="50">
        <v>44409</v>
      </c>
      <c r="B580" s="2">
        <v>579</v>
      </c>
      <c r="C580" s="4">
        <v>678849.38</v>
      </c>
      <c r="D580" s="4">
        <f t="shared" ref="D580:D643" si="99">AVERAGE(C579:C580)</f>
        <v>3153175.5249999999</v>
      </c>
      <c r="E580" s="2">
        <f t="shared" si="89"/>
        <v>2007766.4493082119</v>
      </c>
      <c r="F580" s="2">
        <f t="shared" si="90"/>
        <v>2474326.145</v>
      </c>
      <c r="G580" s="4">
        <f t="shared" si="91"/>
        <v>3049400.6966666672</v>
      </c>
      <c r="H580" s="2">
        <f t="shared" si="95"/>
        <v>1874309.8800020644</v>
      </c>
      <c r="I580" s="2">
        <f t="shared" si="96"/>
        <v>2370551.3166666673</v>
      </c>
      <c r="J580" s="4">
        <f t="shared" si="93"/>
        <v>2727145.6724999999</v>
      </c>
      <c r="K580" s="2">
        <f t="shared" si="97"/>
        <v>1493467.129488819</v>
      </c>
      <c r="L580" s="2">
        <f t="shared" si="98"/>
        <v>2048296.2925</v>
      </c>
      <c r="N580" s="4">
        <f t="shared" si="92"/>
        <v>3537120.5042500002</v>
      </c>
      <c r="O580" s="2">
        <f t="shared" si="94"/>
        <v>2858271.1242500003</v>
      </c>
    </row>
    <row r="581" spans="1:15" x14ac:dyDescent="0.3">
      <c r="A581" s="50">
        <v>44410</v>
      </c>
      <c r="B581" s="2">
        <v>580</v>
      </c>
      <c r="C581" s="4">
        <v>640138.39999999991</v>
      </c>
      <c r="D581" s="4">
        <f t="shared" si="99"/>
        <v>659493.8899999999</v>
      </c>
      <c r="E581" s="2">
        <f t="shared" ref="E581:E644" si="100">SQRT(SUMXMY2(C580:C581,D580:D581)/2)</f>
        <v>1749666.3263067764</v>
      </c>
      <c r="F581" s="2">
        <f t="shared" ref="F581:F644" si="101">ABS(D581-C581)</f>
        <v>19355.489999999991</v>
      </c>
      <c r="G581" s="4">
        <f t="shared" ref="G581:G644" si="102">AVERAGE(C579:C581)</f>
        <v>2315496.4833333329</v>
      </c>
      <c r="H581" s="2">
        <f t="shared" si="95"/>
        <v>2109031.8611240718</v>
      </c>
      <c r="I581" s="2">
        <f t="shared" si="96"/>
        <v>1675358.083333333</v>
      </c>
      <c r="J581" s="4">
        <f t="shared" si="93"/>
        <v>2447085.1225000005</v>
      </c>
      <c r="K581" s="2">
        <f t="shared" si="97"/>
        <v>1741899.3602886698</v>
      </c>
      <c r="L581" s="2">
        <f t="shared" si="98"/>
        <v>1806946.7225000006</v>
      </c>
      <c r="N581" s="4">
        <f t="shared" ref="N581:N644" si="103">($M$2*D580)+($M$3*C579)+($M$4*C578)</f>
        <v>3356860.01425</v>
      </c>
      <c r="O581" s="2">
        <f t="shared" si="94"/>
        <v>2716721.6142500001</v>
      </c>
    </row>
    <row r="582" spans="1:15" x14ac:dyDescent="0.3">
      <c r="A582" s="50">
        <v>44411</v>
      </c>
      <c r="B582" s="2">
        <v>581</v>
      </c>
      <c r="C582" s="4">
        <v>2884208.4</v>
      </c>
      <c r="D582" s="4">
        <f t="shared" si="99"/>
        <v>1762173.4</v>
      </c>
      <c r="E582" s="2">
        <f t="shared" si="100"/>
        <v>793516.59598843299</v>
      </c>
      <c r="F582" s="2">
        <f t="shared" si="101"/>
        <v>1122035</v>
      </c>
      <c r="G582" s="4">
        <f t="shared" si="102"/>
        <v>1401065.3933333333</v>
      </c>
      <c r="H582" s="2">
        <f t="shared" si="95"/>
        <v>1882024.7457250794</v>
      </c>
      <c r="I582" s="2">
        <f t="shared" si="96"/>
        <v>1483143.0066666666</v>
      </c>
      <c r="J582" s="4">
        <f t="shared" ref="J582:J645" si="104">AVERAGE(C579:C582)</f>
        <v>2457674.4624999999</v>
      </c>
      <c r="K582" s="2">
        <f t="shared" si="97"/>
        <v>1722803.1387013521</v>
      </c>
      <c r="L582" s="2">
        <f t="shared" si="98"/>
        <v>426533.9375</v>
      </c>
      <c r="N582" s="4">
        <f t="shared" si="103"/>
        <v>1754584.7055000002</v>
      </c>
      <c r="O582" s="2">
        <f t="shared" ref="O582:O645" si="105">ABS(N582-C582)</f>
        <v>1129623.6944999998</v>
      </c>
    </row>
    <row r="583" spans="1:15" x14ac:dyDescent="0.3">
      <c r="A583" s="50">
        <v>44412</v>
      </c>
      <c r="B583" s="2">
        <v>582</v>
      </c>
      <c r="C583" s="4">
        <v>2959749.45</v>
      </c>
      <c r="D583" s="4">
        <f t="shared" si="99"/>
        <v>2921978.9249999998</v>
      </c>
      <c r="E583" s="2">
        <f t="shared" si="100"/>
        <v>793847.95577735652</v>
      </c>
      <c r="F583" s="2">
        <f t="shared" si="101"/>
        <v>37770.525000000373</v>
      </c>
      <c r="G583" s="4">
        <f t="shared" si="102"/>
        <v>2161365.4166666665</v>
      </c>
      <c r="H583" s="2">
        <f t="shared" ref="H583:H646" si="106">SQRT(SUMXMY2(C581:C583,G581:G583)/3)</f>
        <v>1371611.5764914618</v>
      </c>
      <c r="I583" s="2">
        <f t="shared" ref="I583:I646" si="107">ABS(G583-C583)</f>
        <v>798384.03333333367</v>
      </c>
      <c r="J583" s="4">
        <f t="shared" si="104"/>
        <v>1790736.4075</v>
      </c>
      <c r="K583" s="2">
        <f t="shared" si="97"/>
        <v>1500757.8796392425</v>
      </c>
      <c r="L583" s="2">
        <f t="shared" si="98"/>
        <v>1169013.0425000002</v>
      </c>
      <c r="N583" s="4">
        <f t="shared" si="103"/>
        <v>1400418.2656</v>
      </c>
      <c r="O583" s="2">
        <f t="shared" si="105"/>
        <v>1559331.1844000001</v>
      </c>
    </row>
    <row r="584" spans="1:15" x14ac:dyDescent="0.3">
      <c r="A584" s="50">
        <v>44413</v>
      </c>
      <c r="B584" s="2">
        <v>583</v>
      </c>
      <c r="C584" s="4">
        <v>798829.02</v>
      </c>
      <c r="D584" s="4">
        <f t="shared" si="99"/>
        <v>1879289.2350000001</v>
      </c>
      <c r="E584" s="2">
        <f t="shared" si="100"/>
        <v>764467.42532191065</v>
      </c>
      <c r="F584" s="2">
        <f t="shared" si="101"/>
        <v>1080460.2150000001</v>
      </c>
      <c r="G584" s="4">
        <f t="shared" si="102"/>
        <v>2214262.2899999996</v>
      </c>
      <c r="H584" s="2">
        <f t="shared" si="106"/>
        <v>1270246.9031293001</v>
      </c>
      <c r="I584" s="2">
        <f t="shared" si="107"/>
        <v>1415433.2699999996</v>
      </c>
      <c r="J584" s="4">
        <f t="shared" si="104"/>
        <v>1820731.3174999999</v>
      </c>
      <c r="K584" s="2">
        <f t="shared" si="97"/>
        <v>1210151.1741269801</v>
      </c>
      <c r="L584" s="2">
        <f t="shared" si="98"/>
        <v>1021902.2974999999</v>
      </c>
      <c r="N584" s="4">
        <f t="shared" si="103"/>
        <v>2415819.2517499998</v>
      </c>
      <c r="O584" s="2">
        <f t="shared" si="105"/>
        <v>1616990.2317499998</v>
      </c>
    </row>
    <row r="585" spans="1:15" x14ac:dyDescent="0.3">
      <c r="A585" s="50">
        <v>44414</v>
      </c>
      <c r="B585" s="2">
        <v>584</v>
      </c>
      <c r="C585" s="4">
        <v>3118110.4</v>
      </c>
      <c r="D585" s="4">
        <f t="shared" si="99"/>
        <v>1958469.71</v>
      </c>
      <c r="E585" s="2">
        <f t="shared" si="100"/>
        <v>1120749.928864937</v>
      </c>
      <c r="F585" s="2">
        <f t="shared" si="101"/>
        <v>1159640.69</v>
      </c>
      <c r="G585" s="4">
        <f t="shared" si="102"/>
        <v>2292229.6233333335</v>
      </c>
      <c r="H585" s="2">
        <f t="shared" si="106"/>
        <v>1052449.1220912661</v>
      </c>
      <c r="I585" s="2">
        <f t="shared" si="107"/>
        <v>825880.77666666638</v>
      </c>
      <c r="J585" s="4">
        <f t="shared" si="104"/>
        <v>2440224.3174999999</v>
      </c>
      <c r="K585" s="2">
        <f t="shared" ref="K585:K648" si="108">SQRT(SUMXMY2(C582:C585,J582:J585)/4)</f>
        <v>873546.87050228403</v>
      </c>
      <c r="L585" s="2">
        <f t="shared" ref="L585:L648" si="109">ABS(J585-C585)</f>
        <v>677886.08250000002</v>
      </c>
      <c r="N585" s="4">
        <f t="shared" si="103"/>
        <v>2219222.0749500003</v>
      </c>
      <c r="O585" s="2">
        <f t="shared" si="105"/>
        <v>898888.32504999964</v>
      </c>
    </row>
    <row r="586" spans="1:15" x14ac:dyDescent="0.3">
      <c r="A586" s="50">
        <v>44415</v>
      </c>
      <c r="B586" s="2">
        <v>585</v>
      </c>
      <c r="C586" s="4">
        <v>1297082.58</v>
      </c>
      <c r="D586" s="4">
        <f t="shared" si="99"/>
        <v>2207596.4900000002</v>
      </c>
      <c r="E586" s="2">
        <f t="shared" si="100"/>
        <v>1042545.4690820839</v>
      </c>
      <c r="F586" s="2">
        <f t="shared" si="101"/>
        <v>910513.91000000015</v>
      </c>
      <c r="G586" s="4">
        <f t="shared" si="102"/>
        <v>1738007.3333333333</v>
      </c>
      <c r="H586" s="2">
        <f t="shared" si="106"/>
        <v>979786.5477052452</v>
      </c>
      <c r="I586" s="2">
        <f t="shared" si="107"/>
        <v>440924.75333333318</v>
      </c>
      <c r="J586" s="4">
        <f t="shared" si="104"/>
        <v>2043442.8625</v>
      </c>
      <c r="K586" s="2">
        <f t="shared" si="108"/>
        <v>925669.89409178181</v>
      </c>
      <c r="L586" s="2">
        <f t="shared" si="109"/>
        <v>746360.28249999997</v>
      </c>
      <c r="N586" s="4">
        <f t="shared" si="103"/>
        <v>2051190.7768999999</v>
      </c>
      <c r="O586" s="2">
        <f t="shared" si="105"/>
        <v>754108.19689999986</v>
      </c>
    </row>
    <row r="587" spans="1:15" x14ac:dyDescent="0.3">
      <c r="A587" s="50">
        <v>44416</v>
      </c>
      <c r="B587" s="2">
        <v>586</v>
      </c>
      <c r="C587" s="4">
        <v>369588.05000000005</v>
      </c>
      <c r="D587" s="4">
        <f t="shared" si="99"/>
        <v>833335.31500000006</v>
      </c>
      <c r="E587" s="2">
        <f t="shared" si="100"/>
        <v>722529.27487350593</v>
      </c>
      <c r="F587" s="2">
        <f t="shared" si="101"/>
        <v>463747.26500000001</v>
      </c>
      <c r="G587" s="4">
        <f t="shared" si="102"/>
        <v>1594927.01</v>
      </c>
      <c r="H587" s="2">
        <f t="shared" si="106"/>
        <v>890308.7970405696</v>
      </c>
      <c r="I587" s="2">
        <f t="shared" si="107"/>
        <v>1225338.96</v>
      </c>
      <c r="J587" s="4">
        <f t="shared" si="104"/>
        <v>1395902.5125</v>
      </c>
      <c r="K587" s="2">
        <f t="shared" si="108"/>
        <v>882353.23053087969</v>
      </c>
      <c r="L587" s="2">
        <f t="shared" si="109"/>
        <v>1026314.4624999999</v>
      </c>
      <c r="N587" s="4">
        <f t="shared" si="103"/>
        <v>1997824.1767000004</v>
      </c>
      <c r="O587" s="2">
        <f t="shared" si="105"/>
        <v>1628236.1267000004</v>
      </c>
    </row>
    <row r="588" spans="1:15" x14ac:dyDescent="0.3">
      <c r="A588" s="50">
        <v>44417</v>
      </c>
      <c r="B588" s="2">
        <v>587</v>
      </c>
      <c r="C588" s="4">
        <v>649232.48</v>
      </c>
      <c r="D588" s="4">
        <f t="shared" si="99"/>
        <v>509410.26500000001</v>
      </c>
      <c r="E588" s="2">
        <f t="shared" si="100"/>
        <v>342499.47270213894</v>
      </c>
      <c r="F588" s="2">
        <f t="shared" si="101"/>
        <v>139822.21499999997</v>
      </c>
      <c r="G588" s="4">
        <f t="shared" si="102"/>
        <v>771967.70333333348</v>
      </c>
      <c r="H588" s="2">
        <f t="shared" si="106"/>
        <v>755189.63182382786</v>
      </c>
      <c r="I588" s="2">
        <f t="shared" si="107"/>
        <v>122735.2233333335</v>
      </c>
      <c r="J588" s="4">
        <f t="shared" si="104"/>
        <v>1358503.3774999999</v>
      </c>
      <c r="K588" s="2">
        <f t="shared" si="108"/>
        <v>802023.97004668694</v>
      </c>
      <c r="L588" s="2">
        <f t="shared" si="109"/>
        <v>709270.89749999996</v>
      </c>
      <c r="N588" s="4">
        <f t="shared" si="103"/>
        <v>1386998.0328500001</v>
      </c>
      <c r="O588" s="2">
        <f t="shared" si="105"/>
        <v>737765.55285000009</v>
      </c>
    </row>
    <row r="589" spans="1:15" x14ac:dyDescent="0.3">
      <c r="A589" s="50">
        <v>44418</v>
      </c>
      <c r="B589" s="2">
        <v>588</v>
      </c>
      <c r="C589" s="4">
        <v>484658.9</v>
      </c>
      <c r="D589" s="4">
        <f t="shared" si="99"/>
        <v>566945.68999999994</v>
      </c>
      <c r="E589" s="2">
        <f t="shared" si="100"/>
        <v>114720.02357045238</v>
      </c>
      <c r="F589" s="2">
        <f t="shared" si="101"/>
        <v>82286.789999999921</v>
      </c>
      <c r="G589" s="4">
        <f t="shared" si="102"/>
        <v>501159.81000000006</v>
      </c>
      <c r="H589" s="2">
        <f t="shared" si="106"/>
        <v>711053.62713168899</v>
      </c>
      <c r="I589" s="2">
        <f t="shared" si="107"/>
        <v>16500.910000000033</v>
      </c>
      <c r="J589" s="4">
        <f t="shared" si="104"/>
        <v>700140.50250000006</v>
      </c>
      <c r="K589" s="2">
        <f t="shared" si="108"/>
        <v>734825.24696123623</v>
      </c>
      <c r="L589" s="2">
        <f t="shared" si="109"/>
        <v>215481.60250000004</v>
      </c>
      <c r="N589" s="4">
        <f t="shared" si="103"/>
        <v>667317.73065000004</v>
      </c>
      <c r="O589" s="2">
        <f t="shared" si="105"/>
        <v>182658.83065000002</v>
      </c>
    </row>
    <row r="590" spans="1:15" x14ac:dyDescent="0.3">
      <c r="A590" s="50">
        <v>44419</v>
      </c>
      <c r="B590" s="2">
        <v>589</v>
      </c>
      <c r="C590" s="4">
        <v>848012.80000000005</v>
      </c>
      <c r="D590" s="4">
        <f t="shared" si="99"/>
        <v>666335.85000000009</v>
      </c>
      <c r="E590" s="2">
        <f t="shared" si="100"/>
        <v>141027.70998957363</v>
      </c>
      <c r="F590" s="2">
        <f t="shared" si="101"/>
        <v>181676.94999999995</v>
      </c>
      <c r="G590" s="4">
        <f t="shared" si="102"/>
        <v>660634.72666666668</v>
      </c>
      <c r="H590" s="2">
        <f t="shared" si="106"/>
        <v>129674.92361494237</v>
      </c>
      <c r="I590" s="2">
        <f t="shared" si="107"/>
        <v>187378.07333333336</v>
      </c>
      <c r="J590" s="4">
        <f t="shared" si="104"/>
        <v>587873.05750000011</v>
      </c>
      <c r="K590" s="2">
        <f t="shared" si="108"/>
        <v>646237.49284242501</v>
      </c>
      <c r="L590" s="2">
        <f t="shared" si="109"/>
        <v>260139.74249999993</v>
      </c>
      <c r="N590" s="4">
        <f t="shared" si="103"/>
        <v>532578.55610000005</v>
      </c>
      <c r="O590" s="2">
        <f t="shared" si="105"/>
        <v>315434.2439</v>
      </c>
    </row>
    <row r="591" spans="1:15" x14ac:dyDescent="0.3">
      <c r="A591" s="50">
        <v>44420</v>
      </c>
      <c r="B591" s="2">
        <v>590</v>
      </c>
      <c r="C591" s="4">
        <v>32356.44</v>
      </c>
      <c r="D591" s="4">
        <f t="shared" si="99"/>
        <v>440184.62</v>
      </c>
      <c r="E591" s="2">
        <f t="shared" si="100"/>
        <v>315697.90826311702</v>
      </c>
      <c r="F591" s="2">
        <f t="shared" si="101"/>
        <v>407828.18</v>
      </c>
      <c r="G591" s="4">
        <f t="shared" si="102"/>
        <v>455009.38000000006</v>
      </c>
      <c r="H591" s="2">
        <f t="shared" si="106"/>
        <v>267094.44652131567</v>
      </c>
      <c r="I591" s="2">
        <f t="shared" si="107"/>
        <v>422652.94000000006</v>
      </c>
      <c r="J591" s="4">
        <f t="shared" si="104"/>
        <v>503565.15499999997</v>
      </c>
      <c r="K591" s="2">
        <f t="shared" si="108"/>
        <v>458041.44620774791</v>
      </c>
      <c r="L591" s="2">
        <f t="shared" si="109"/>
        <v>471208.71499999997</v>
      </c>
      <c r="N591" s="4">
        <f t="shared" si="103"/>
        <v>642588.64410000015</v>
      </c>
      <c r="O591" s="2">
        <f t="shared" si="105"/>
        <v>610232.20410000021</v>
      </c>
    </row>
    <row r="592" spans="1:15" x14ac:dyDescent="0.3">
      <c r="A592" s="50">
        <v>44421</v>
      </c>
      <c r="B592" s="2">
        <v>591</v>
      </c>
      <c r="C592" s="4">
        <v>927301.2</v>
      </c>
      <c r="D592" s="4">
        <f t="shared" si="99"/>
        <v>479828.81999999995</v>
      </c>
      <c r="E592" s="2">
        <f t="shared" si="100"/>
        <v>428109.4224990714</v>
      </c>
      <c r="F592" s="2">
        <f t="shared" si="101"/>
        <v>447472.38</v>
      </c>
      <c r="G592" s="4">
        <f t="shared" si="102"/>
        <v>602556.81333333335</v>
      </c>
      <c r="H592" s="2">
        <f t="shared" si="106"/>
        <v>326192.66634320334</v>
      </c>
      <c r="I592" s="2">
        <f t="shared" si="107"/>
        <v>324744.3866666666</v>
      </c>
      <c r="J592" s="4">
        <f t="shared" si="104"/>
        <v>573082.33499999996</v>
      </c>
      <c r="K592" s="2">
        <f t="shared" si="108"/>
        <v>339710.78289398382</v>
      </c>
      <c r="L592" s="2">
        <f t="shared" si="109"/>
        <v>354218.86499999999</v>
      </c>
      <c r="N592" s="4">
        <f t="shared" si="103"/>
        <v>494830.06140000001</v>
      </c>
      <c r="O592" s="2">
        <f t="shared" si="105"/>
        <v>432471.13859999995</v>
      </c>
    </row>
    <row r="593" spans="1:15" x14ac:dyDescent="0.3">
      <c r="A593" s="50">
        <v>44422</v>
      </c>
      <c r="B593" s="2">
        <v>592</v>
      </c>
      <c r="C593" s="4">
        <v>3137529.7800000003</v>
      </c>
      <c r="D593" s="4">
        <f t="shared" si="99"/>
        <v>2032415.4900000002</v>
      </c>
      <c r="E593" s="2">
        <f t="shared" si="100"/>
        <v>843062.60883313662</v>
      </c>
      <c r="F593" s="2">
        <f t="shared" si="101"/>
        <v>1105114.29</v>
      </c>
      <c r="G593" s="4">
        <f t="shared" si="102"/>
        <v>1365729.14</v>
      </c>
      <c r="H593" s="2">
        <f t="shared" si="106"/>
        <v>1068234.046181916</v>
      </c>
      <c r="I593" s="2">
        <f t="shared" si="107"/>
        <v>1771800.6400000004</v>
      </c>
      <c r="J593" s="4">
        <f t="shared" si="104"/>
        <v>1236300.0550000002</v>
      </c>
      <c r="K593" s="2">
        <f t="shared" si="108"/>
        <v>1003725.0383279006</v>
      </c>
      <c r="L593" s="2">
        <f t="shared" si="109"/>
        <v>1901229.7250000001</v>
      </c>
      <c r="N593" s="4">
        <f t="shared" si="103"/>
        <v>511607.33380000002</v>
      </c>
      <c r="O593" s="2">
        <f t="shared" si="105"/>
        <v>2625922.4462000001</v>
      </c>
    </row>
    <row r="594" spans="1:15" x14ac:dyDescent="0.3">
      <c r="A594" s="50">
        <v>44423</v>
      </c>
      <c r="B594" s="2">
        <v>593</v>
      </c>
      <c r="C594" s="4">
        <v>2473407.92</v>
      </c>
      <c r="D594" s="4">
        <f t="shared" si="99"/>
        <v>2805468.85</v>
      </c>
      <c r="E594" s="2">
        <f t="shared" si="100"/>
        <v>815947.93191559392</v>
      </c>
      <c r="F594" s="2">
        <f t="shared" si="101"/>
        <v>332060.93000000017</v>
      </c>
      <c r="G594" s="4">
        <f t="shared" si="102"/>
        <v>2179412.9666666668</v>
      </c>
      <c r="H594" s="2">
        <f t="shared" si="106"/>
        <v>1053750.358981574</v>
      </c>
      <c r="I594" s="2">
        <f t="shared" si="107"/>
        <v>293994.95333333313</v>
      </c>
      <c r="J594" s="4">
        <f t="shared" si="104"/>
        <v>1642648.835</v>
      </c>
      <c r="K594" s="2">
        <f t="shared" si="108"/>
        <v>1078464.6241239735</v>
      </c>
      <c r="L594" s="2">
        <f t="shared" si="109"/>
        <v>830759.08499999996</v>
      </c>
      <c r="N594" s="4">
        <f t="shared" si="103"/>
        <v>1470839.9271000002</v>
      </c>
      <c r="O594" s="2">
        <f t="shared" si="105"/>
        <v>1002567.9928999997</v>
      </c>
    </row>
    <row r="595" spans="1:15" x14ac:dyDescent="0.3">
      <c r="A595" s="50">
        <v>44424</v>
      </c>
      <c r="B595" s="2">
        <v>594</v>
      </c>
      <c r="C595" s="4">
        <v>4607053.38</v>
      </c>
      <c r="D595" s="4">
        <f t="shared" si="99"/>
        <v>3540230.65</v>
      </c>
      <c r="E595" s="2">
        <f t="shared" si="100"/>
        <v>790055.4406106947</v>
      </c>
      <c r="F595" s="2">
        <f t="shared" si="101"/>
        <v>1066822.73</v>
      </c>
      <c r="G595" s="4">
        <f t="shared" si="102"/>
        <v>3405997.0266666668</v>
      </c>
      <c r="H595" s="2">
        <f t="shared" si="106"/>
        <v>1247430.2791969636</v>
      </c>
      <c r="I595" s="2">
        <f t="shared" si="107"/>
        <v>1201056.353333333</v>
      </c>
      <c r="J595" s="4">
        <f t="shared" si="104"/>
        <v>2786323.0700000003</v>
      </c>
      <c r="K595" s="2">
        <f t="shared" si="108"/>
        <v>1391524.7923238915</v>
      </c>
      <c r="L595" s="2">
        <f t="shared" si="109"/>
        <v>1820730.3099999996</v>
      </c>
      <c r="N595" s="4">
        <f t="shared" si="103"/>
        <v>2428798.6693000002</v>
      </c>
      <c r="O595" s="2">
        <f t="shared" si="105"/>
        <v>2178254.7106999997</v>
      </c>
    </row>
    <row r="596" spans="1:15" x14ac:dyDescent="0.3">
      <c r="A596" s="50">
        <v>44425</v>
      </c>
      <c r="B596" s="2">
        <v>595</v>
      </c>
      <c r="C596" s="4">
        <v>745868.2</v>
      </c>
      <c r="D596" s="4">
        <f t="shared" si="99"/>
        <v>2676460.79</v>
      </c>
      <c r="E596" s="2">
        <f t="shared" si="100"/>
        <v>1559695.2403927443</v>
      </c>
      <c r="F596" s="2">
        <f t="shared" si="101"/>
        <v>1930592.59</v>
      </c>
      <c r="G596" s="4">
        <f t="shared" si="102"/>
        <v>2608776.5</v>
      </c>
      <c r="H596" s="2">
        <f t="shared" si="106"/>
        <v>1290916.5646517365</v>
      </c>
      <c r="I596" s="2">
        <f t="shared" si="107"/>
        <v>1862908.3</v>
      </c>
      <c r="J596" s="4">
        <f t="shared" si="104"/>
        <v>2740964.82</v>
      </c>
      <c r="K596" s="2">
        <f t="shared" si="108"/>
        <v>1702960.9882071384</v>
      </c>
      <c r="L596" s="2">
        <f t="shared" si="109"/>
        <v>1995096.6199999999</v>
      </c>
      <c r="N596" s="4">
        <f t="shared" si="103"/>
        <v>3334285.9583000001</v>
      </c>
      <c r="O596" s="2">
        <f t="shared" si="105"/>
        <v>2588417.7582999999</v>
      </c>
    </row>
    <row r="597" spans="1:15" x14ac:dyDescent="0.3">
      <c r="A597" s="50">
        <v>44426</v>
      </c>
      <c r="B597" s="2">
        <v>596</v>
      </c>
      <c r="C597" s="4">
        <v>2325345.52</v>
      </c>
      <c r="D597" s="4">
        <f t="shared" si="99"/>
        <v>1535606.8599999999</v>
      </c>
      <c r="E597" s="2">
        <f t="shared" si="100"/>
        <v>1474936.4223012298</v>
      </c>
      <c r="F597" s="2">
        <f t="shared" si="101"/>
        <v>789738.66000000015</v>
      </c>
      <c r="G597" s="4">
        <f t="shared" si="102"/>
        <v>2559422.3666666667</v>
      </c>
      <c r="H597" s="2">
        <f t="shared" si="106"/>
        <v>1286824.990462529</v>
      </c>
      <c r="I597" s="2">
        <f t="shared" si="107"/>
        <v>234076.84666666668</v>
      </c>
      <c r="J597" s="4">
        <f t="shared" si="104"/>
        <v>2537918.7549999999</v>
      </c>
      <c r="K597" s="2">
        <f t="shared" si="108"/>
        <v>1416934.8452237069</v>
      </c>
      <c r="L597" s="2">
        <f t="shared" si="109"/>
        <v>212573.23499999987</v>
      </c>
      <c r="N597" s="4">
        <f t="shared" si="103"/>
        <v>2844154.3435</v>
      </c>
      <c r="O597" s="2">
        <f t="shared" si="105"/>
        <v>518808.82349999994</v>
      </c>
    </row>
    <row r="598" spans="1:15" x14ac:dyDescent="0.3">
      <c r="A598" s="50">
        <v>44427</v>
      </c>
      <c r="B598" s="2">
        <v>597</v>
      </c>
      <c r="C598" s="4">
        <v>2450177.44</v>
      </c>
      <c r="D598" s="4">
        <f t="shared" si="99"/>
        <v>2387761.48</v>
      </c>
      <c r="E598" s="2">
        <f t="shared" si="100"/>
        <v>560170.91282987793</v>
      </c>
      <c r="F598" s="2">
        <f t="shared" si="101"/>
        <v>62415.959999999963</v>
      </c>
      <c r="G598" s="4">
        <f t="shared" si="102"/>
        <v>1840463.72</v>
      </c>
      <c r="H598" s="2">
        <f t="shared" si="106"/>
        <v>1139732.4429751833</v>
      </c>
      <c r="I598" s="2">
        <f t="shared" si="107"/>
        <v>609713.72</v>
      </c>
      <c r="J598" s="4">
        <f t="shared" si="104"/>
        <v>2532111.1349999998</v>
      </c>
      <c r="K598" s="2">
        <f t="shared" si="108"/>
        <v>1355301.6173072727</v>
      </c>
      <c r="L598" s="2">
        <f t="shared" si="109"/>
        <v>81933.694999999832</v>
      </c>
      <c r="N598" s="4">
        <f t="shared" si="103"/>
        <v>2124453.8418000001</v>
      </c>
      <c r="O598" s="2">
        <f t="shared" si="105"/>
        <v>325723.59819999989</v>
      </c>
    </row>
    <row r="599" spans="1:15" x14ac:dyDescent="0.3">
      <c r="A599" s="50">
        <v>44428</v>
      </c>
      <c r="B599" s="2">
        <v>598</v>
      </c>
      <c r="C599" s="4">
        <v>2199787.3800000004</v>
      </c>
      <c r="D599" s="4">
        <f t="shared" si="99"/>
        <v>2324982.41</v>
      </c>
      <c r="E599" s="2">
        <f t="shared" si="100"/>
        <v>98918.015546770956</v>
      </c>
      <c r="F599" s="2">
        <f t="shared" si="101"/>
        <v>125195.0299999998</v>
      </c>
      <c r="G599" s="4">
        <f t="shared" si="102"/>
        <v>2325103.4466666668</v>
      </c>
      <c r="H599" s="2">
        <f t="shared" si="106"/>
        <v>383947.43870589585</v>
      </c>
      <c r="I599" s="2">
        <f t="shared" si="107"/>
        <v>125316.06666666642</v>
      </c>
      <c r="J599" s="4">
        <f t="shared" si="104"/>
        <v>1930294.6350000002</v>
      </c>
      <c r="K599" s="2">
        <f t="shared" si="108"/>
        <v>1013032.2518752521</v>
      </c>
      <c r="L599" s="2">
        <f t="shared" si="109"/>
        <v>269492.74500000011</v>
      </c>
      <c r="N599" s="4">
        <f t="shared" si="103"/>
        <v>2019679.2027999999</v>
      </c>
      <c r="O599" s="2">
        <f t="shared" si="105"/>
        <v>180108.1772000005</v>
      </c>
    </row>
    <row r="600" spans="1:15" x14ac:dyDescent="0.3">
      <c r="A600" s="50">
        <v>44429</v>
      </c>
      <c r="B600" s="2">
        <v>599</v>
      </c>
      <c r="C600" s="4">
        <v>880081.44000000006</v>
      </c>
      <c r="D600" s="4">
        <f t="shared" si="99"/>
        <v>1539934.4100000001</v>
      </c>
      <c r="E600" s="2">
        <f t="shared" si="100"/>
        <v>474910.37973207212</v>
      </c>
      <c r="F600" s="2">
        <f t="shared" si="101"/>
        <v>659852.97000000009</v>
      </c>
      <c r="G600" s="4">
        <f t="shared" si="102"/>
        <v>1843348.7533333336</v>
      </c>
      <c r="H600" s="2">
        <f t="shared" si="106"/>
        <v>662152.76531866402</v>
      </c>
      <c r="I600" s="2">
        <f t="shared" si="107"/>
        <v>963267.31333333359</v>
      </c>
      <c r="J600" s="4">
        <f t="shared" si="104"/>
        <v>1963847.9450000001</v>
      </c>
      <c r="K600" s="2">
        <f t="shared" si="108"/>
        <v>569885.22694974905</v>
      </c>
      <c r="L600" s="2">
        <f t="shared" si="109"/>
        <v>1083766.5049999999</v>
      </c>
      <c r="N600" s="4">
        <f t="shared" si="103"/>
        <v>2338833.7475000001</v>
      </c>
      <c r="O600" s="2">
        <f t="shared" si="105"/>
        <v>1458752.3075000001</v>
      </c>
    </row>
    <row r="601" spans="1:15" x14ac:dyDescent="0.3">
      <c r="A601" s="50">
        <v>44430</v>
      </c>
      <c r="B601" s="2">
        <v>600</v>
      </c>
      <c r="C601" s="4">
        <v>1736077.3499999999</v>
      </c>
      <c r="D601" s="4">
        <f t="shared" si="99"/>
        <v>1308079.395</v>
      </c>
      <c r="E601" s="2">
        <f t="shared" si="100"/>
        <v>556142.15426543728</v>
      </c>
      <c r="F601" s="2">
        <f t="shared" si="101"/>
        <v>427997.95499999984</v>
      </c>
      <c r="G601" s="4">
        <f t="shared" si="102"/>
        <v>1605315.39</v>
      </c>
      <c r="H601" s="2">
        <f t="shared" si="106"/>
        <v>565887.71668481629</v>
      </c>
      <c r="I601" s="2">
        <f t="shared" si="107"/>
        <v>130761.95999999996</v>
      </c>
      <c r="J601" s="4">
        <f t="shared" si="104"/>
        <v>1816530.9025000001</v>
      </c>
      <c r="K601" s="2">
        <f t="shared" si="108"/>
        <v>561329.24417265423</v>
      </c>
      <c r="L601" s="2">
        <f t="shared" si="109"/>
        <v>80453.552500000224</v>
      </c>
      <c r="N601" s="4">
        <f t="shared" si="103"/>
        <v>1812771.7033000002</v>
      </c>
      <c r="O601" s="2">
        <f t="shared" si="105"/>
        <v>76694.353300000308</v>
      </c>
    </row>
    <row r="602" spans="1:15" x14ac:dyDescent="0.3">
      <c r="A602" s="50">
        <v>44431</v>
      </c>
      <c r="B602" s="2">
        <v>601</v>
      </c>
      <c r="C602" s="4">
        <v>306093.28000000003</v>
      </c>
      <c r="D602" s="4">
        <f t="shared" si="99"/>
        <v>1021085.3149999999</v>
      </c>
      <c r="E602" s="2">
        <f t="shared" si="100"/>
        <v>589235.03782345762</v>
      </c>
      <c r="F602" s="2">
        <f t="shared" si="101"/>
        <v>714992.03499999992</v>
      </c>
      <c r="G602" s="4">
        <f t="shared" si="102"/>
        <v>974084.02333333343</v>
      </c>
      <c r="H602" s="2">
        <f t="shared" si="106"/>
        <v>680978.27677013783</v>
      </c>
      <c r="I602" s="2">
        <f t="shared" si="107"/>
        <v>667990.7433333334</v>
      </c>
      <c r="J602" s="4">
        <f t="shared" si="104"/>
        <v>1280509.8625</v>
      </c>
      <c r="K602" s="2">
        <f t="shared" si="108"/>
        <v>742148.3388326756</v>
      </c>
      <c r="L602" s="2">
        <f t="shared" si="109"/>
        <v>974416.58250000002</v>
      </c>
      <c r="N602" s="4">
        <f t="shared" si="103"/>
        <v>1457175.3766500002</v>
      </c>
      <c r="O602" s="2">
        <f t="shared" si="105"/>
        <v>1151082.0966500002</v>
      </c>
    </row>
    <row r="603" spans="1:15" x14ac:dyDescent="0.3">
      <c r="A603" s="50">
        <v>44432</v>
      </c>
      <c r="B603" s="2">
        <v>602</v>
      </c>
      <c r="C603" s="4">
        <v>5502535.1799999997</v>
      </c>
      <c r="D603" s="4">
        <f t="shared" si="99"/>
        <v>2904314.23</v>
      </c>
      <c r="E603" s="2">
        <f t="shared" si="100"/>
        <v>1905513.8040870163</v>
      </c>
      <c r="F603" s="2">
        <f t="shared" si="101"/>
        <v>2598220.9499999997</v>
      </c>
      <c r="G603" s="4">
        <f t="shared" si="102"/>
        <v>2514901.9366666665</v>
      </c>
      <c r="H603" s="2">
        <f t="shared" si="106"/>
        <v>1769111.144052526</v>
      </c>
      <c r="I603" s="2">
        <f t="shared" si="107"/>
        <v>2987633.2433333332</v>
      </c>
      <c r="J603" s="4">
        <f t="shared" si="104"/>
        <v>2106196.8125</v>
      </c>
      <c r="K603" s="2">
        <f t="shared" si="108"/>
        <v>1848352.2793472926</v>
      </c>
      <c r="L603" s="2">
        <f t="shared" si="109"/>
        <v>3396338.3674999997</v>
      </c>
      <c r="N603" s="4">
        <f t="shared" si="103"/>
        <v>1068713.58635</v>
      </c>
      <c r="O603" s="2">
        <f t="shared" si="105"/>
        <v>4433821.5936500002</v>
      </c>
    </row>
    <row r="604" spans="1:15" x14ac:dyDescent="0.3">
      <c r="A604" s="50">
        <v>44433</v>
      </c>
      <c r="B604" s="2">
        <v>603</v>
      </c>
      <c r="C604" s="4">
        <v>1628495.4</v>
      </c>
      <c r="D604" s="4">
        <f t="shared" si="99"/>
        <v>3565515.29</v>
      </c>
      <c r="E604" s="2">
        <f t="shared" si="100"/>
        <v>2291593.131347111</v>
      </c>
      <c r="F604" s="2">
        <f t="shared" si="101"/>
        <v>1937019.8900000001</v>
      </c>
      <c r="G604" s="4">
        <f t="shared" si="102"/>
        <v>2479041.2866666666</v>
      </c>
      <c r="H604" s="2">
        <f t="shared" si="106"/>
        <v>1834447.4495221584</v>
      </c>
      <c r="I604" s="2">
        <f t="shared" si="107"/>
        <v>850545.88666666672</v>
      </c>
      <c r="J604" s="4">
        <f t="shared" si="104"/>
        <v>2293300.3024999998</v>
      </c>
      <c r="K604" s="2">
        <f t="shared" si="108"/>
        <v>1798126.82501134</v>
      </c>
      <c r="L604" s="2">
        <f t="shared" si="109"/>
        <v>664804.90249999985</v>
      </c>
      <c r="N604" s="4">
        <f t="shared" si="103"/>
        <v>2361497.8119000001</v>
      </c>
      <c r="O604" s="2">
        <f t="shared" si="105"/>
        <v>733002.41190000018</v>
      </c>
    </row>
    <row r="605" spans="1:15" x14ac:dyDescent="0.3">
      <c r="A605" s="50">
        <v>44434</v>
      </c>
      <c r="B605" s="2">
        <v>604</v>
      </c>
      <c r="C605" s="4">
        <v>1059355</v>
      </c>
      <c r="D605" s="4">
        <f t="shared" si="99"/>
        <v>1343925.2</v>
      </c>
      <c r="E605" s="2">
        <f t="shared" si="100"/>
        <v>1384381.8571809682</v>
      </c>
      <c r="F605" s="2">
        <f t="shared" si="101"/>
        <v>284570.19999999995</v>
      </c>
      <c r="G605" s="4">
        <f t="shared" si="102"/>
        <v>2730128.5266666668</v>
      </c>
      <c r="H605" s="2">
        <f t="shared" si="106"/>
        <v>2036407.3658779743</v>
      </c>
      <c r="I605" s="2">
        <f t="shared" si="107"/>
        <v>1670773.5266666668</v>
      </c>
      <c r="J605" s="4">
        <f t="shared" si="104"/>
        <v>2124119.7149999999</v>
      </c>
      <c r="K605" s="2">
        <f t="shared" si="108"/>
        <v>1874852.7568518952</v>
      </c>
      <c r="L605" s="2">
        <f t="shared" si="109"/>
        <v>1064764.7149999999</v>
      </c>
      <c r="N605" s="4">
        <f t="shared" si="103"/>
        <v>3061514.6357000005</v>
      </c>
      <c r="O605" s="2">
        <f t="shared" si="105"/>
        <v>2002159.6357000005</v>
      </c>
    </row>
    <row r="606" spans="1:15" x14ac:dyDescent="0.3">
      <c r="A606" s="50">
        <v>44435</v>
      </c>
      <c r="B606" s="2">
        <v>605</v>
      </c>
      <c r="C606" s="4">
        <v>376693.57</v>
      </c>
      <c r="D606" s="4">
        <f t="shared" si="99"/>
        <v>718024.28500000003</v>
      </c>
      <c r="E606" s="2">
        <f t="shared" si="100"/>
        <v>314234.67005603568</v>
      </c>
      <c r="F606" s="2">
        <f t="shared" si="101"/>
        <v>341330.71500000003</v>
      </c>
      <c r="G606" s="4">
        <f t="shared" si="102"/>
        <v>1021514.6566666666</v>
      </c>
      <c r="H606" s="2">
        <f t="shared" si="106"/>
        <v>1144655.2197853783</v>
      </c>
      <c r="I606" s="2">
        <f t="shared" si="107"/>
        <v>644821.08666666667</v>
      </c>
      <c r="J606" s="4">
        <f t="shared" si="104"/>
        <v>2141769.7875000001</v>
      </c>
      <c r="K606" s="2">
        <f t="shared" si="108"/>
        <v>2014093.9536695983</v>
      </c>
      <c r="L606" s="2">
        <f t="shared" si="109"/>
        <v>1765076.2175</v>
      </c>
      <c r="N606" s="4">
        <f t="shared" si="103"/>
        <v>2290122.1176</v>
      </c>
      <c r="O606" s="2">
        <f t="shared" si="105"/>
        <v>1913428.5475999999</v>
      </c>
    </row>
    <row r="607" spans="1:15" x14ac:dyDescent="0.3">
      <c r="A607" s="50">
        <v>44436</v>
      </c>
      <c r="B607" s="2">
        <v>606</v>
      </c>
      <c r="C607" s="4">
        <v>740372</v>
      </c>
      <c r="D607" s="4">
        <f t="shared" si="99"/>
        <v>558532.78500000003</v>
      </c>
      <c r="E607" s="2">
        <f t="shared" si="100"/>
        <v>273470.43452101678</v>
      </c>
      <c r="F607" s="2">
        <f t="shared" si="101"/>
        <v>181839.21499999997</v>
      </c>
      <c r="G607" s="4">
        <f t="shared" si="102"/>
        <v>725473.52333333343</v>
      </c>
      <c r="H607" s="2">
        <f t="shared" si="106"/>
        <v>1034005.2185276339</v>
      </c>
      <c r="I607" s="2">
        <f t="shared" si="107"/>
        <v>14898.476666666567</v>
      </c>
      <c r="J607" s="4">
        <f t="shared" si="104"/>
        <v>951228.99249999993</v>
      </c>
      <c r="K607" s="2">
        <f t="shared" si="108"/>
        <v>1088076.7644756639</v>
      </c>
      <c r="L607" s="2">
        <f t="shared" si="109"/>
        <v>210856.99249999993</v>
      </c>
      <c r="N607" s="4">
        <f t="shared" si="103"/>
        <v>955874.30894999998</v>
      </c>
      <c r="O607" s="2">
        <f t="shared" si="105"/>
        <v>215502.30894999998</v>
      </c>
    </row>
    <row r="608" spans="1:15" x14ac:dyDescent="0.3">
      <c r="A608" s="50">
        <v>44437</v>
      </c>
      <c r="B608" s="2">
        <v>607</v>
      </c>
      <c r="C608" s="4">
        <v>494994.78</v>
      </c>
      <c r="D608" s="4">
        <f t="shared" si="99"/>
        <v>617683.39</v>
      </c>
      <c r="E608" s="2">
        <f t="shared" si="100"/>
        <v>155109.63080277818</v>
      </c>
      <c r="F608" s="2">
        <f t="shared" si="101"/>
        <v>122688.60999999999</v>
      </c>
      <c r="G608" s="4">
        <f t="shared" si="102"/>
        <v>537353.45000000007</v>
      </c>
      <c r="H608" s="2">
        <f t="shared" si="106"/>
        <v>373189.16353557073</v>
      </c>
      <c r="I608" s="2">
        <f t="shared" si="107"/>
        <v>42358.670000000042</v>
      </c>
      <c r="J608" s="4">
        <f t="shared" si="104"/>
        <v>667853.83750000014</v>
      </c>
      <c r="K608" s="2">
        <f t="shared" si="108"/>
        <v>1039658.4627822582</v>
      </c>
      <c r="L608" s="2">
        <f t="shared" si="109"/>
        <v>172859.05750000011</v>
      </c>
      <c r="N608" s="4">
        <f t="shared" si="103"/>
        <v>648711.35865000007</v>
      </c>
      <c r="O608" s="2">
        <f t="shared" si="105"/>
        <v>153716.57865000004</v>
      </c>
    </row>
    <row r="609" spans="1:15" x14ac:dyDescent="0.3">
      <c r="A609" s="50">
        <v>44438</v>
      </c>
      <c r="B609" s="2">
        <v>608</v>
      </c>
      <c r="C609" s="4">
        <v>1547686.7999999998</v>
      </c>
      <c r="D609" s="4">
        <f t="shared" si="99"/>
        <v>1021340.7899999999</v>
      </c>
      <c r="E609" s="2">
        <f t="shared" si="100"/>
        <v>382160.05630275654</v>
      </c>
      <c r="F609" s="2">
        <f t="shared" si="101"/>
        <v>526346.00999999989</v>
      </c>
      <c r="G609" s="4">
        <f t="shared" si="102"/>
        <v>927684.52666666673</v>
      </c>
      <c r="H609" s="2">
        <f t="shared" si="106"/>
        <v>358896.01115534711</v>
      </c>
      <c r="I609" s="2">
        <f t="shared" si="107"/>
        <v>620002.27333333308</v>
      </c>
      <c r="J609" s="4">
        <f t="shared" si="104"/>
        <v>789936.78749999998</v>
      </c>
      <c r="K609" s="2">
        <f t="shared" si="108"/>
        <v>970054.12994247267</v>
      </c>
      <c r="L609" s="2">
        <f t="shared" si="109"/>
        <v>757750.01249999984</v>
      </c>
      <c r="N609" s="4">
        <f t="shared" si="103"/>
        <v>578161.37670000002</v>
      </c>
      <c r="O609" s="2">
        <f t="shared" si="105"/>
        <v>969525.42329999979</v>
      </c>
    </row>
    <row r="610" spans="1:15" x14ac:dyDescent="0.3">
      <c r="A610" s="50">
        <v>44439</v>
      </c>
      <c r="B610" s="2">
        <v>609</v>
      </c>
      <c r="C610" s="4">
        <v>36718.080000000002</v>
      </c>
      <c r="D610" s="4">
        <f t="shared" si="99"/>
        <v>792202.44</v>
      </c>
      <c r="E610" s="2">
        <f t="shared" si="100"/>
        <v>651074.78082303633</v>
      </c>
      <c r="F610" s="2">
        <f t="shared" si="101"/>
        <v>755484.36</v>
      </c>
      <c r="G610" s="4">
        <f t="shared" si="102"/>
        <v>693133.22</v>
      </c>
      <c r="H610" s="2">
        <f t="shared" si="106"/>
        <v>521880.54568195634</v>
      </c>
      <c r="I610" s="2">
        <f t="shared" si="107"/>
        <v>656415.14</v>
      </c>
      <c r="J610" s="4">
        <f t="shared" si="104"/>
        <v>704942.91500000004</v>
      </c>
      <c r="K610" s="2">
        <f t="shared" si="108"/>
        <v>523223.28804260533</v>
      </c>
      <c r="L610" s="2">
        <f t="shared" si="109"/>
        <v>668224.83500000008</v>
      </c>
      <c r="N610" s="4">
        <f t="shared" si="103"/>
        <v>901629.59509999992</v>
      </c>
      <c r="O610" s="2">
        <f t="shared" si="105"/>
        <v>864911.51509999996</v>
      </c>
    </row>
    <row r="611" spans="1:15" x14ac:dyDescent="0.3">
      <c r="A611" s="50">
        <v>44440</v>
      </c>
      <c r="B611" s="2">
        <v>610</v>
      </c>
      <c r="C611" s="4">
        <v>471106.08</v>
      </c>
      <c r="D611" s="4">
        <f t="shared" si="99"/>
        <v>253912.08000000002</v>
      </c>
      <c r="E611" s="2">
        <f t="shared" si="100"/>
        <v>555846.13511322066</v>
      </c>
      <c r="F611" s="2">
        <f t="shared" si="101"/>
        <v>217194</v>
      </c>
      <c r="G611" s="4">
        <f t="shared" si="102"/>
        <v>685170.32</v>
      </c>
      <c r="H611" s="2">
        <f t="shared" si="106"/>
        <v>535757.14454918797</v>
      </c>
      <c r="I611" s="2">
        <f t="shared" si="107"/>
        <v>214064.23999999993</v>
      </c>
      <c r="J611" s="4">
        <f t="shared" si="104"/>
        <v>637626.43499999994</v>
      </c>
      <c r="K611" s="2">
        <f t="shared" si="108"/>
        <v>519210.64943422569</v>
      </c>
      <c r="L611" s="2">
        <f t="shared" si="109"/>
        <v>166520.35499999992</v>
      </c>
      <c r="N611" s="4">
        <f t="shared" si="103"/>
        <v>809920.0344</v>
      </c>
      <c r="O611" s="2">
        <f t="shared" si="105"/>
        <v>338813.95439999999</v>
      </c>
    </row>
    <row r="612" spans="1:15" x14ac:dyDescent="0.3">
      <c r="A612" s="50">
        <v>44441</v>
      </c>
      <c r="B612" s="2">
        <v>611</v>
      </c>
      <c r="C612" s="4">
        <v>747175.66</v>
      </c>
      <c r="D612" s="4">
        <f t="shared" si="99"/>
        <v>609140.87</v>
      </c>
      <c r="E612" s="2">
        <f t="shared" si="100"/>
        <v>181970.92746692273</v>
      </c>
      <c r="F612" s="2">
        <f t="shared" si="101"/>
        <v>138034.79000000004</v>
      </c>
      <c r="G612" s="4">
        <f t="shared" si="102"/>
        <v>418333.27333333337</v>
      </c>
      <c r="H612" s="2">
        <f t="shared" si="106"/>
        <v>441528.27396692149</v>
      </c>
      <c r="I612" s="2">
        <f t="shared" si="107"/>
        <v>328842.38666666666</v>
      </c>
      <c r="J612" s="4">
        <f t="shared" si="104"/>
        <v>700671.65500000003</v>
      </c>
      <c r="K612" s="2">
        <f t="shared" si="108"/>
        <v>512494.18598284927</v>
      </c>
      <c r="L612" s="2">
        <f t="shared" si="109"/>
        <v>46504.005000000005</v>
      </c>
      <c r="N612" s="4">
        <f t="shared" si="103"/>
        <v>514651.17839999998</v>
      </c>
      <c r="O612" s="2">
        <f t="shared" si="105"/>
        <v>232524.48160000006</v>
      </c>
    </row>
    <row r="613" spans="1:15" x14ac:dyDescent="0.3">
      <c r="A613" s="50">
        <v>44442</v>
      </c>
      <c r="B613" s="2">
        <v>612</v>
      </c>
      <c r="C613" s="4">
        <v>4377836.7699999996</v>
      </c>
      <c r="D613" s="4">
        <f t="shared" si="99"/>
        <v>2562506.2149999999</v>
      </c>
      <c r="E613" s="2">
        <f t="shared" si="100"/>
        <v>1287338.0727623478</v>
      </c>
      <c r="F613" s="2">
        <f t="shared" si="101"/>
        <v>1815330.5549999997</v>
      </c>
      <c r="G613" s="4">
        <f t="shared" si="102"/>
        <v>1865372.8366666667</v>
      </c>
      <c r="H613" s="2">
        <f t="shared" si="106"/>
        <v>1468154.8318003574</v>
      </c>
      <c r="I613" s="2">
        <f t="shared" si="107"/>
        <v>2512463.9333333327</v>
      </c>
      <c r="J613" s="4">
        <f t="shared" si="104"/>
        <v>1408209.1475</v>
      </c>
      <c r="K613" s="2">
        <f t="shared" si="108"/>
        <v>1524393.6743453234</v>
      </c>
      <c r="L613" s="2">
        <f t="shared" si="109"/>
        <v>2969627.6224999996</v>
      </c>
      <c r="N613" s="4">
        <f t="shared" si="103"/>
        <v>468024.02929999999</v>
      </c>
      <c r="O613" s="2">
        <f t="shared" si="105"/>
        <v>3909812.7406999995</v>
      </c>
    </row>
    <row r="614" spans="1:15" x14ac:dyDescent="0.3">
      <c r="A614" s="50">
        <v>44443</v>
      </c>
      <c r="B614" s="2">
        <v>613</v>
      </c>
      <c r="C614" s="4">
        <v>3447505.74</v>
      </c>
      <c r="D614" s="4">
        <f t="shared" si="99"/>
        <v>3912671.2549999999</v>
      </c>
      <c r="E614" s="2">
        <f t="shared" si="100"/>
        <v>1325104.5204552398</v>
      </c>
      <c r="F614" s="2">
        <f t="shared" si="101"/>
        <v>465165.51499999966</v>
      </c>
      <c r="G614" s="4">
        <f t="shared" si="102"/>
        <v>2857506.0566666666</v>
      </c>
      <c r="H614" s="2">
        <f t="shared" si="106"/>
        <v>1502077.6675328591</v>
      </c>
      <c r="I614" s="2">
        <f t="shared" si="107"/>
        <v>589999.68333333358</v>
      </c>
      <c r="J614" s="4">
        <f t="shared" si="104"/>
        <v>2260906.0625</v>
      </c>
      <c r="K614" s="2">
        <f t="shared" si="108"/>
        <v>1601296.24539531</v>
      </c>
      <c r="L614" s="2">
        <f t="shared" si="109"/>
        <v>1186599.6775000002</v>
      </c>
      <c r="N614" s="4">
        <f t="shared" si="103"/>
        <v>1902711.8242500001</v>
      </c>
      <c r="O614" s="2">
        <f t="shared" si="105"/>
        <v>1544793.9157500002</v>
      </c>
    </row>
    <row r="615" spans="1:15" x14ac:dyDescent="0.3">
      <c r="A615" s="50">
        <v>44444</v>
      </c>
      <c r="B615" s="2">
        <v>614</v>
      </c>
      <c r="C615" s="4">
        <v>292149.65000000002</v>
      </c>
      <c r="D615" s="4">
        <f t="shared" si="99"/>
        <v>1869827.6950000001</v>
      </c>
      <c r="E615" s="2">
        <f t="shared" si="100"/>
        <v>1163066.414703012</v>
      </c>
      <c r="F615" s="2">
        <f t="shared" si="101"/>
        <v>1577678.0449999999</v>
      </c>
      <c r="G615" s="4">
        <f t="shared" si="102"/>
        <v>2705830.72</v>
      </c>
      <c r="H615" s="2">
        <f t="shared" si="106"/>
        <v>2040133.2432229831</v>
      </c>
      <c r="I615" s="2">
        <f t="shared" si="107"/>
        <v>2413681.0700000003</v>
      </c>
      <c r="J615" s="4">
        <f t="shared" si="104"/>
        <v>2216166.9550000001</v>
      </c>
      <c r="K615" s="2">
        <f t="shared" si="108"/>
        <v>1866193.4668851064</v>
      </c>
      <c r="L615" s="2">
        <f t="shared" si="109"/>
        <v>1924017.3050000002</v>
      </c>
      <c r="N615" s="4">
        <f t="shared" si="103"/>
        <v>3267430.4307500003</v>
      </c>
      <c r="O615" s="2">
        <f t="shared" si="105"/>
        <v>2975280.7807500004</v>
      </c>
    </row>
    <row r="616" spans="1:15" x14ac:dyDescent="0.3">
      <c r="A616" s="50">
        <v>44445</v>
      </c>
      <c r="B616" s="2">
        <v>615</v>
      </c>
      <c r="C616" s="4">
        <v>2935510.62</v>
      </c>
      <c r="D616" s="4">
        <f t="shared" si="99"/>
        <v>1613830.135</v>
      </c>
      <c r="E616" s="2">
        <f t="shared" si="100"/>
        <v>1455319.091832588</v>
      </c>
      <c r="F616" s="2">
        <f t="shared" si="101"/>
        <v>1321680.4850000001</v>
      </c>
      <c r="G616" s="4">
        <f t="shared" si="102"/>
        <v>2225055.3366666664</v>
      </c>
      <c r="H616" s="2">
        <f t="shared" si="106"/>
        <v>1492057.0413164536</v>
      </c>
      <c r="I616" s="2">
        <f t="shared" si="107"/>
        <v>710455.28333333367</v>
      </c>
      <c r="J616" s="4">
        <f t="shared" si="104"/>
        <v>2763250.6950000003</v>
      </c>
      <c r="K616" s="2">
        <f t="shared" si="108"/>
        <v>1868035.2701875423</v>
      </c>
      <c r="L616" s="2">
        <f t="shared" si="109"/>
        <v>172259.92499999981</v>
      </c>
      <c r="N616" s="4">
        <f t="shared" si="103"/>
        <v>2595134.2764500002</v>
      </c>
      <c r="O616" s="2">
        <f t="shared" si="105"/>
        <v>340376.34354999987</v>
      </c>
    </row>
    <row r="617" spans="1:15" x14ac:dyDescent="0.3">
      <c r="A617" s="50">
        <v>44446</v>
      </c>
      <c r="B617" s="2">
        <v>616</v>
      </c>
      <c r="C617" s="4">
        <v>1551800.7999999998</v>
      </c>
      <c r="D617" s="4">
        <f t="shared" si="99"/>
        <v>2243655.71</v>
      </c>
      <c r="E617" s="2">
        <f t="shared" si="100"/>
        <v>1054870.2576433141</v>
      </c>
      <c r="F617" s="2">
        <f t="shared" si="101"/>
        <v>691854.91000000015</v>
      </c>
      <c r="G617" s="4">
        <f t="shared" si="102"/>
        <v>1593153.6900000002</v>
      </c>
      <c r="H617" s="2">
        <f t="shared" si="106"/>
        <v>1452849.2785791587</v>
      </c>
      <c r="I617" s="2">
        <f t="shared" si="107"/>
        <v>41352.890000000363</v>
      </c>
      <c r="J617" s="4">
        <f t="shared" si="104"/>
        <v>2056741.7024999999</v>
      </c>
      <c r="K617" s="2">
        <f t="shared" si="108"/>
        <v>1161303.1668519087</v>
      </c>
      <c r="L617" s="2">
        <f t="shared" si="109"/>
        <v>504940.90250000008</v>
      </c>
      <c r="N617" s="4">
        <f t="shared" si="103"/>
        <v>1871853.91475</v>
      </c>
      <c r="O617" s="2">
        <f t="shared" si="105"/>
        <v>320053.11475000018</v>
      </c>
    </row>
    <row r="618" spans="1:15" x14ac:dyDescent="0.3">
      <c r="A618" s="50">
        <v>44447</v>
      </c>
      <c r="B618" s="2">
        <v>617</v>
      </c>
      <c r="C618" s="4">
        <v>731773.68</v>
      </c>
      <c r="D618" s="4">
        <f t="shared" si="99"/>
        <v>1141787.24</v>
      </c>
      <c r="E618" s="2">
        <f t="shared" si="100"/>
        <v>568671.40594326612</v>
      </c>
      <c r="F618" s="2">
        <f t="shared" si="101"/>
        <v>410013.55999999994</v>
      </c>
      <c r="G618" s="4">
        <f t="shared" si="102"/>
        <v>1739695.0333333332</v>
      </c>
      <c r="H618" s="2">
        <f t="shared" si="106"/>
        <v>712358.10882656893</v>
      </c>
      <c r="I618" s="2">
        <f t="shared" si="107"/>
        <v>1007921.3533333332</v>
      </c>
      <c r="J618" s="4">
        <f t="shared" si="104"/>
        <v>1377808.6875</v>
      </c>
      <c r="K618" s="2">
        <f t="shared" si="108"/>
        <v>1049266.7222438618</v>
      </c>
      <c r="L618" s="2">
        <f t="shared" si="109"/>
        <v>646035.00749999995</v>
      </c>
      <c r="N618" s="4">
        <f t="shared" si="103"/>
        <v>1890428.4169000001</v>
      </c>
      <c r="O618" s="2">
        <f t="shared" si="105"/>
        <v>1158654.7368999999</v>
      </c>
    </row>
    <row r="619" spans="1:15" x14ac:dyDescent="0.3">
      <c r="A619" s="50">
        <v>44448</v>
      </c>
      <c r="B619" s="2">
        <v>618</v>
      </c>
      <c r="C619" s="4">
        <v>623191.25</v>
      </c>
      <c r="D619" s="4">
        <f t="shared" si="99"/>
        <v>677482.46500000008</v>
      </c>
      <c r="E619" s="2">
        <f t="shared" si="100"/>
        <v>292453.97536197875</v>
      </c>
      <c r="F619" s="2">
        <f t="shared" si="101"/>
        <v>54291.215000000084</v>
      </c>
      <c r="G619" s="4">
        <f t="shared" si="102"/>
        <v>968921.91</v>
      </c>
      <c r="H619" s="2">
        <f t="shared" si="106"/>
        <v>615669.06838026911</v>
      </c>
      <c r="I619" s="2">
        <f t="shared" si="107"/>
        <v>345730.66000000003</v>
      </c>
      <c r="J619" s="4">
        <f t="shared" si="104"/>
        <v>1460569.0874999999</v>
      </c>
      <c r="K619" s="2">
        <f t="shared" si="108"/>
        <v>592284.06833845819</v>
      </c>
      <c r="L619" s="2">
        <f t="shared" si="109"/>
        <v>837377.83749999991</v>
      </c>
      <c r="N619" s="4">
        <f t="shared" si="103"/>
        <v>1581507.8752000001</v>
      </c>
      <c r="O619" s="2">
        <f t="shared" si="105"/>
        <v>958316.62520000013</v>
      </c>
    </row>
    <row r="620" spans="1:15" x14ac:dyDescent="0.3">
      <c r="A620" s="50">
        <v>44449</v>
      </c>
      <c r="B620" s="2">
        <v>619</v>
      </c>
      <c r="C620" s="4">
        <v>18408.09</v>
      </c>
      <c r="D620" s="4">
        <f t="shared" si="99"/>
        <v>320799.67</v>
      </c>
      <c r="E620" s="2">
        <f t="shared" si="100"/>
        <v>217242.03516017867</v>
      </c>
      <c r="F620" s="2">
        <f t="shared" si="101"/>
        <v>302391.57999999996</v>
      </c>
      <c r="G620" s="4">
        <f t="shared" si="102"/>
        <v>457791.00666666677</v>
      </c>
      <c r="H620" s="2">
        <f t="shared" si="106"/>
        <v>665455.35568457202</v>
      </c>
      <c r="I620" s="2">
        <f t="shared" si="107"/>
        <v>439382.91666666674</v>
      </c>
      <c r="J620" s="4">
        <f t="shared" si="104"/>
        <v>731293.45499999996</v>
      </c>
      <c r="K620" s="2">
        <f t="shared" si="108"/>
        <v>685881.500752936</v>
      </c>
      <c r="L620" s="2">
        <f t="shared" si="109"/>
        <v>712885.36499999999</v>
      </c>
      <c r="N620" s="4">
        <f t="shared" si="103"/>
        <v>875804.53235000011</v>
      </c>
      <c r="O620" s="2">
        <f t="shared" si="105"/>
        <v>857396.44235000014</v>
      </c>
    </row>
    <row r="621" spans="1:15" x14ac:dyDescent="0.3">
      <c r="A621" s="50">
        <v>44450</v>
      </c>
      <c r="B621" s="2">
        <v>620</v>
      </c>
      <c r="C621" s="4">
        <v>2452868.46</v>
      </c>
      <c r="D621" s="4">
        <f t="shared" si="99"/>
        <v>1235638.2749999999</v>
      </c>
      <c r="E621" s="2">
        <f t="shared" si="100"/>
        <v>886873.72013439168</v>
      </c>
      <c r="F621" s="2">
        <f t="shared" si="101"/>
        <v>1217230.1850000001</v>
      </c>
      <c r="G621" s="4">
        <f t="shared" si="102"/>
        <v>1031489.2666666666</v>
      </c>
      <c r="H621" s="2">
        <f t="shared" si="106"/>
        <v>881836.3128463733</v>
      </c>
      <c r="I621" s="2">
        <f t="shared" si="107"/>
        <v>1421379.1933333334</v>
      </c>
      <c r="J621" s="4">
        <f t="shared" si="104"/>
        <v>956560.37000000011</v>
      </c>
      <c r="K621" s="2">
        <f t="shared" si="108"/>
        <v>983069.97684324742</v>
      </c>
      <c r="L621" s="2">
        <f t="shared" si="109"/>
        <v>1496308.0899999999</v>
      </c>
      <c r="N621" s="4">
        <f t="shared" si="103"/>
        <v>444477.02600000001</v>
      </c>
      <c r="O621" s="2">
        <f t="shared" si="105"/>
        <v>2008391.4339999999</v>
      </c>
    </row>
    <row r="622" spans="1:15" x14ac:dyDescent="0.3">
      <c r="A622" s="50">
        <v>44451</v>
      </c>
      <c r="B622" s="2">
        <v>621</v>
      </c>
      <c r="C622" s="4">
        <v>1815691.5999999999</v>
      </c>
      <c r="D622" s="4">
        <f t="shared" si="99"/>
        <v>2134280.0299999998</v>
      </c>
      <c r="E622" s="2">
        <f t="shared" si="100"/>
        <v>889704.42030064086</v>
      </c>
      <c r="F622" s="2">
        <f t="shared" si="101"/>
        <v>318588.42999999993</v>
      </c>
      <c r="G622" s="4">
        <f t="shared" si="102"/>
        <v>1428989.3833333331</v>
      </c>
      <c r="H622" s="2">
        <f t="shared" si="106"/>
        <v>887489.86155229551</v>
      </c>
      <c r="I622" s="2">
        <f t="shared" si="107"/>
        <v>386702.21666666679</v>
      </c>
      <c r="J622" s="4">
        <f t="shared" si="104"/>
        <v>1227539.8499999999</v>
      </c>
      <c r="K622" s="2">
        <f t="shared" si="108"/>
        <v>973943.98807052418</v>
      </c>
      <c r="L622" s="2">
        <f t="shared" si="109"/>
        <v>588151.75</v>
      </c>
      <c r="N622" s="4">
        <f t="shared" si="103"/>
        <v>967004.60914999992</v>
      </c>
      <c r="O622" s="2">
        <f t="shared" si="105"/>
        <v>848686.99084999994</v>
      </c>
    </row>
    <row r="623" spans="1:15" x14ac:dyDescent="0.3">
      <c r="A623" s="50">
        <v>44452</v>
      </c>
      <c r="B623" s="2">
        <v>622</v>
      </c>
      <c r="C623" s="4">
        <v>614287.08000000007</v>
      </c>
      <c r="D623" s="4">
        <f t="shared" si="99"/>
        <v>1214989.3399999999</v>
      </c>
      <c r="E623" s="2">
        <f t="shared" si="100"/>
        <v>480802.34655155969</v>
      </c>
      <c r="F623" s="2">
        <f t="shared" si="101"/>
        <v>600702.25999999978</v>
      </c>
      <c r="G623" s="4">
        <f t="shared" si="102"/>
        <v>1627615.7133333331</v>
      </c>
      <c r="H623" s="2">
        <f t="shared" si="106"/>
        <v>1032261.6487998625</v>
      </c>
      <c r="I623" s="2">
        <f t="shared" si="107"/>
        <v>1013328.6333333331</v>
      </c>
      <c r="J623" s="4">
        <f t="shared" si="104"/>
        <v>1225313.8074999999</v>
      </c>
      <c r="K623" s="2">
        <f t="shared" si="108"/>
        <v>930916.15983638028</v>
      </c>
      <c r="L623" s="2">
        <f t="shared" si="109"/>
        <v>611026.7274999998</v>
      </c>
      <c r="N623" s="4">
        <f t="shared" si="103"/>
        <v>1703832.9304999998</v>
      </c>
      <c r="O623" s="2">
        <f t="shared" si="105"/>
        <v>1089545.8504999997</v>
      </c>
    </row>
    <row r="624" spans="1:15" x14ac:dyDescent="0.3">
      <c r="A624" s="50">
        <v>44453</v>
      </c>
      <c r="B624" s="2">
        <v>623</v>
      </c>
      <c r="C624" s="4">
        <v>2425415.2799999998</v>
      </c>
      <c r="D624" s="4">
        <f t="shared" si="99"/>
        <v>1519851.18</v>
      </c>
      <c r="E624" s="2">
        <f t="shared" si="100"/>
        <v>768404.04227786209</v>
      </c>
      <c r="F624" s="2">
        <f t="shared" si="101"/>
        <v>905564.09999999986</v>
      </c>
      <c r="G624" s="4">
        <f t="shared" si="102"/>
        <v>1618464.6533333331</v>
      </c>
      <c r="H624" s="2">
        <f t="shared" si="106"/>
        <v>780500.44573675946</v>
      </c>
      <c r="I624" s="2">
        <f t="shared" si="107"/>
        <v>806950.62666666671</v>
      </c>
      <c r="J624" s="4">
        <f t="shared" si="104"/>
        <v>1827065.605</v>
      </c>
      <c r="K624" s="2">
        <f t="shared" si="108"/>
        <v>910526.82230117125</v>
      </c>
      <c r="L624" s="2">
        <f t="shared" si="109"/>
        <v>598349.67499999981</v>
      </c>
      <c r="N624" s="4">
        <f t="shared" si="103"/>
        <v>1553399.9950000001</v>
      </c>
      <c r="O624" s="2">
        <f t="shared" si="105"/>
        <v>872015.28499999968</v>
      </c>
    </row>
    <row r="625" spans="1:15" x14ac:dyDescent="0.3">
      <c r="A625" s="50">
        <v>44454</v>
      </c>
      <c r="B625" s="2">
        <v>624</v>
      </c>
      <c r="C625" s="4">
        <v>2918310</v>
      </c>
      <c r="D625" s="4">
        <f t="shared" si="99"/>
        <v>2671862.6399999997</v>
      </c>
      <c r="E625" s="2">
        <f t="shared" si="100"/>
        <v>663619.86123826168</v>
      </c>
      <c r="F625" s="2">
        <f t="shared" si="101"/>
        <v>246447.36000000034</v>
      </c>
      <c r="G625" s="4">
        <f t="shared" si="102"/>
        <v>1986004.1199999999</v>
      </c>
      <c r="H625" s="2">
        <f t="shared" si="106"/>
        <v>921447.8619530428</v>
      </c>
      <c r="I625" s="2">
        <f t="shared" si="107"/>
        <v>932305.88000000012</v>
      </c>
      <c r="J625" s="4">
        <f t="shared" si="104"/>
        <v>1943425.9899999998</v>
      </c>
      <c r="K625" s="2">
        <f t="shared" si="108"/>
        <v>711986.18478059454</v>
      </c>
      <c r="L625" s="2">
        <f t="shared" si="109"/>
        <v>974884.01000000024</v>
      </c>
      <c r="N625" s="4">
        <f t="shared" si="103"/>
        <v>1485324.0214</v>
      </c>
      <c r="O625" s="2">
        <f t="shared" si="105"/>
        <v>1432985.9786</v>
      </c>
    </row>
    <row r="626" spans="1:15" x14ac:dyDescent="0.3">
      <c r="A626" s="50">
        <v>44455</v>
      </c>
      <c r="B626" s="2">
        <v>625</v>
      </c>
      <c r="C626" s="4">
        <v>5799915.3300000001</v>
      </c>
      <c r="D626" s="4">
        <f t="shared" si="99"/>
        <v>4359112.665</v>
      </c>
      <c r="E626" s="2">
        <f t="shared" si="100"/>
        <v>1033597.7507526978</v>
      </c>
      <c r="F626" s="2">
        <f t="shared" si="101"/>
        <v>1440802.665</v>
      </c>
      <c r="G626" s="4">
        <f t="shared" si="102"/>
        <v>3714546.8699999996</v>
      </c>
      <c r="H626" s="2">
        <f t="shared" si="106"/>
        <v>1398704.7796352017</v>
      </c>
      <c r="I626" s="2">
        <f t="shared" si="107"/>
        <v>2085368.4600000004</v>
      </c>
      <c r="J626" s="4">
        <f t="shared" si="104"/>
        <v>2939481.9224999999</v>
      </c>
      <c r="K626" s="2">
        <f t="shared" si="108"/>
        <v>1570338.666258628</v>
      </c>
      <c r="L626" s="2">
        <f t="shared" si="109"/>
        <v>2860433.4075000002</v>
      </c>
      <c r="N626" s="4">
        <f t="shared" si="103"/>
        <v>2192086.8071999997</v>
      </c>
      <c r="O626" s="2">
        <f t="shared" si="105"/>
        <v>3607828.5228000004</v>
      </c>
    </row>
    <row r="627" spans="1:15" x14ac:dyDescent="0.3">
      <c r="A627" s="50">
        <v>44456</v>
      </c>
      <c r="B627" s="2">
        <v>626</v>
      </c>
      <c r="C627" s="4">
        <v>31981.300000000003</v>
      </c>
      <c r="D627" s="4">
        <f t="shared" si="99"/>
        <v>2915948.3149999999</v>
      </c>
      <c r="E627" s="2">
        <f t="shared" si="100"/>
        <v>2279602.8231995935</v>
      </c>
      <c r="F627" s="2">
        <f t="shared" si="101"/>
        <v>2883967.0150000001</v>
      </c>
      <c r="G627" s="4">
        <f t="shared" si="102"/>
        <v>2916735.5433333335</v>
      </c>
      <c r="H627" s="2">
        <f t="shared" si="106"/>
        <v>2124442.1159663717</v>
      </c>
      <c r="I627" s="2">
        <f t="shared" si="107"/>
        <v>2884754.2433333336</v>
      </c>
      <c r="J627" s="4">
        <f t="shared" si="104"/>
        <v>2793905.4775</v>
      </c>
      <c r="K627" s="2">
        <f t="shared" si="108"/>
        <v>2068739.0850181784</v>
      </c>
      <c r="L627" s="2">
        <f t="shared" si="109"/>
        <v>2761924.1775000002</v>
      </c>
      <c r="N627" s="4">
        <f t="shared" si="103"/>
        <v>3775210.9471500004</v>
      </c>
      <c r="O627" s="2">
        <f t="shared" si="105"/>
        <v>3743229.6471500006</v>
      </c>
    </row>
    <row r="628" spans="1:15" x14ac:dyDescent="0.3">
      <c r="A628" s="50">
        <v>44457</v>
      </c>
      <c r="B628" s="2">
        <v>627</v>
      </c>
      <c r="C628" s="4">
        <v>998262.1</v>
      </c>
      <c r="D628" s="4">
        <f t="shared" si="99"/>
        <v>515121.7</v>
      </c>
      <c r="E628" s="2">
        <f t="shared" si="100"/>
        <v>2067690.7880193512</v>
      </c>
      <c r="F628" s="2">
        <f t="shared" si="101"/>
        <v>483140.39999999997</v>
      </c>
      <c r="G628" s="4">
        <f t="shared" si="102"/>
        <v>2276719.5766666667</v>
      </c>
      <c r="H628" s="2">
        <f t="shared" si="106"/>
        <v>2183653.0690593799</v>
      </c>
      <c r="I628" s="2">
        <f t="shared" si="107"/>
        <v>1278457.4766666666</v>
      </c>
      <c r="J628" s="4">
        <f t="shared" si="104"/>
        <v>2437117.1825000001</v>
      </c>
      <c r="K628" s="2">
        <f t="shared" si="108"/>
        <v>2169735.422948549</v>
      </c>
      <c r="L628" s="2">
        <f t="shared" si="109"/>
        <v>1438855.0825</v>
      </c>
      <c r="N628" s="4">
        <f t="shared" si="103"/>
        <v>3233704.2573500006</v>
      </c>
      <c r="O628" s="2">
        <f t="shared" si="105"/>
        <v>2235442.1573500005</v>
      </c>
    </row>
    <row r="629" spans="1:15" x14ac:dyDescent="0.3">
      <c r="A629" s="50">
        <v>44458</v>
      </c>
      <c r="B629" s="2">
        <v>628</v>
      </c>
      <c r="C629" s="4">
        <v>50745.87</v>
      </c>
      <c r="D629" s="4">
        <f t="shared" si="99"/>
        <v>524503.98499999999</v>
      </c>
      <c r="E629" s="2">
        <f t="shared" si="100"/>
        <v>478472.25501616765</v>
      </c>
      <c r="F629" s="2">
        <f t="shared" si="101"/>
        <v>473758.11499999999</v>
      </c>
      <c r="G629" s="4">
        <f t="shared" si="102"/>
        <v>360329.75666666665</v>
      </c>
      <c r="H629" s="2">
        <f t="shared" si="106"/>
        <v>1830491.9873227356</v>
      </c>
      <c r="I629" s="2">
        <f t="shared" si="107"/>
        <v>309583.88666666666</v>
      </c>
      <c r="J629" s="4">
        <f t="shared" si="104"/>
        <v>1720226.15</v>
      </c>
      <c r="K629" s="2">
        <f t="shared" si="108"/>
        <v>2273091.1109514548</v>
      </c>
      <c r="L629" s="2">
        <f t="shared" si="109"/>
        <v>1669480.2799999998</v>
      </c>
      <c r="N629" s="4">
        <f t="shared" si="103"/>
        <v>1624630.8546000002</v>
      </c>
      <c r="O629" s="2">
        <f t="shared" si="105"/>
        <v>1573884.9846000001</v>
      </c>
    </row>
    <row r="630" spans="1:15" x14ac:dyDescent="0.3">
      <c r="A630" s="50">
        <v>44459</v>
      </c>
      <c r="B630" s="2">
        <v>629</v>
      </c>
      <c r="C630" s="4">
        <v>301256.78000000003</v>
      </c>
      <c r="D630" s="4">
        <f t="shared" si="99"/>
        <v>176001.32500000001</v>
      </c>
      <c r="E630" s="2">
        <f t="shared" si="100"/>
        <v>346508.06667061173</v>
      </c>
      <c r="F630" s="2">
        <f t="shared" si="101"/>
        <v>125255.45500000002</v>
      </c>
      <c r="G630" s="4">
        <f t="shared" si="102"/>
        <v>450088.25</v>
      </c>
      <c r="H630" s="2">
        <f t="shared" si="106"/>
        <v>764296.30139776296</v>
      </c>
      <c r="I630" s="2">
        <f t="shared" si="107"/>
        <v>148831.46999999997</v>
      </c>
      <c r="J630" s="4">
        <f t="shared" si="104"/>
        <v>345561.51250000001</v>
      </c>
      <c r="K630" s="2">
        <f t="shared" si="108"/>
        <v>1766893.9148492976</v>
      </c>
      <c r="L630" s="2">
        <f t="shared" si="109"/>
        <v>44304.732499999984</v>
      </c>
      <c r="N630" s="4">
        <f t="shared" si="103"/>
        <v>468262.38695000001</v>
      </c>
      <c r="O630" s="2">
        <f t="shared" si="105"/>
        <v>167005.60694999999</v>
      </c>
    </row>
    <row r="631" spans="1:15" x14ac:dyDescent="0.3">
      <c r="A631" s="50">
        <v>44460</v>
      </c>
      <c r="B631" s="2">
        <v>630</v>
      </c>
      <c r="C631" s="4">
        <v>592827.4</v>
      </c>
      <c r="D631" s="4">
        <f t="shared" si="99"/>
        <v>447042.09</v>
      </c>
      <c r="E631" s="2">
        <f t="shared" si="100"/>
        <v>135908.58254549844</v>
      </c>
      <c r="F631" s="2">
        <f t="shared" si="101"/>
        <v>145785.31</v>
      </c>
      <c r="G631" s="4">
        <f t="shared" si="102"/>
        <v>314943.35000000003</v>
      </c>
      <c r="H631" s="2">
        <f t="shared" si="106"/>
        <v>255089.87605051603</v>
      </c>
      <c r="I631" s="2">
        <f t="shared" si="107"/>
        <v>277884.05</v>
      </c>
      <c r="J631" s="4">
        <f t="shared" si="104"/>
        <v>485773.03749999998</v>
      </c>
      <c r="K631" s="2">
        <f t="shared" si="108"/>
        <v>1103504.8594814998</v>
      </c>
      <c r="L631" s="2">
        <f t="shared" si="109"/>
        <v>107054.36250000005</v>
      </c>
      <c r="N631" s="4">
        <f t="shared" si="103"/>
        <v>343120.59545000002</v>
      </c>
      <c r="O631" s="2">
        <f t="shared" si="105"/>
        <v>249706.80455</v>
      </c>
    </row>
    <row r="632" spans="1:15" x14ac:dyDescent="0.3">
      <c r="A632" s="50">
        <v>44461</v>
      </c>
      <c r="B632" s="2">
        <v>631</v>
      </c>
      <c r="C632" s="4">
        <v>273223.39</v>
      </c>
      <c r="D632" s="4">
        <f t="shared" si="99"/>
        <v>433025.39500000002</v>
      </c>
      <c r="E632" s="2">
        <f t="shared" si="100"/>
        <v>152954.30267536794</v>
      </c>
      <c r="F632" s="2">
        <f t="shared" si="101"/>
        <v>159802.005</v>
      </c>
      <c r="G632" s="4">
        <f t="shared" si="102"/>
        <v>389102.52333333337</v>
      </c>
      <c r="H632" s="2">
        <f t="shared" si="106"/>
        <v>193905.75481304299</v>
      </c>
      <c r="I632" s="2">
        <f t="shared" si="107"/>
        <v>115879.13333333336</v>
      </c>
      <c r="J632" s="4">
        <f t="shared" si="104"/>
        <v>304513.36</v>
      </c>
      <c r="K632" s="2">
        <f t="shared" si="108"/>
        <v>836894.11119084479</v>
      </c>
      <c r="L632" s="2">
        <f t="shared" si="109"/>
        <v>31289.969999999972</v>
      </c>
      <c r="N632" s="4">
        <f t="shared" si="103"/>
        <v>343820.53750000003</v>
      </c>
      <c r="O632" s="2">
        <f t="shared" si="105"/>
        <v>70597.147500000021</v>
      </c>
    </row>
    <row r="633" spans="1:15" x14ac:dyDescent="0.3">
      <c r="A633" s="50">
        <v>44462</v>
      </c>
      <c r="B633" s="2">
        <v>632</v>
      </c>
      <c r="C633" s="4">
        <v>1893667.04</v>
      </c>
      <c r="D633" s="4">
        <f t="shared" si="99"/>
        <v>1083445.2150000001</v>
      </c>
      <c r="E633" s="2">
        <f t="shared" si="100"/>
        <v>583950.37739021564</v>
      </c>
      <c r="F633" s="2">
        <f t="shared" si="101"/>
        <v>810221.82499999995</v>
      </c>
      <c r="G633" s="4">
        <f t="shared" si="102"/>
        <v>919905.94333333336</v>
      </c>
      <c r="H633" s="2">
        <f t="shared" si="106"/>
        <v>588460.75829742919</v>
      </c>
      <c r="I633" s="2">
        <f t="shared" si="107"/>
        <v>973761.09666666668</v>
      </c>
      <c r="J633" s="4">
        <f t="shared" si="104"/>
        <v>765243.65250000008</v>
      </c>
      <c r="K633" s="2">
        <f t="shared" si="108"/>
        <v>567393.59124239185</v>
      </c>
      <c r="L633" s="2">
        <f t="shared" si="109"/>
        <v>1128423.3875</v>
      </c>
      <c r="N633" s="4">
        <f t="shared" si="103"/>
        <v>421614.52025000006</v>
      </c>
      <c r="O633" s="2">
        <f t="shared" si="105"/>
        <v>1472052.51975</v>
      </c>
    </row>
    <row r="634" spans="1:15" x14ac:dyDescent="0.3">
      <c r="A634" s="50">
        <v>44463</v>
      </c>
      <c r="B634" s="2">
        <v>633</v>
      </c>
      <c r="C634" s="4">
        <v>922975.89999999991</v>
      </c>
      <c r="D634" s="4">
        <f t="shared" si="99"/>
        <v>1408321.47</v>
      </c>
      <c r="E634" s="2">
        <f t="shared" si="100"/>
        <v>667839.69933845487</v>
      </c>
      <c r="F634" s="2">
        <f t="shared" si="101"/>
        <v>485345.57000000007</v>
      </c>
      <c r="G634" s="4">
        <f t="shared" si="102"/>
        <v>1029955.4433333334</v>
      </c>
      <c r="H634" s="2">
        <f t="shared" si="106"/>
        <v>569527.07562660042</v>
      </c>
      <c r="I634" s="2">
        <f t="shared" si="107"/>
        <v>106979.54333333345</v>
      </c>
      <c r="J634" s="4">
        <f t="shared" si="104"/>
        <v>920673.4325</v>
      </c>
      <c r="K634" s="2">
        <f t="shared" si="108"/>
        <v>566962.15516700188</v>
      </c>
      <c r="L634" s="2">
        <f t="shared" si="109"/>
        <v>2302.4674999999115</v>
      </c>
      <c r="N634" s="4">
        <f t="shared" si="103"/>
        <v>886384.89495000022</v>
      </c>
      <c r="O634" s="2">
        <f t="shared" si="105"/>
        <v>36591.005049999687</v>
      </c>
    </row>
    <row r="635" spans="1:15" x14ac:dyDescent="0.3">
      <c r="A635" s="50">
        <v>44464</v>
      </c>
      <c r="B635" s="2">
        <v>634</v>
      </c>
      <c r="C635" s="4">
        <v>2514464.4</v>
      </c>
      <c r="D635" s="4">
        <f t="shared" si="99"/>
        <v>1718720.15</v>
      </c>
      <c r="E635" s="2">
        <f t="shared" si="100"/>
        <v>659078.61205120571</v>
      </c>
      <c r="F635" s="2">
        <f t="shared" si="101"/>
        <v>795744.25</v>
      </c>
      <c r="G635" s="4">
        <f t="shared" si="102"/>
        <v>1777035.78</v>
      </c>
      <c r="H635" s="2">
        <f t="shared" si="106"/>
        <v>707920.96208272246</v>
      </c>
      <c r="I635" s="2">
        <f t="shared" si="107"/>
        <v>737428.61999999988</v>
      </c>
      <c r="J635" s="4">
        <f t="shared" si="104"/>
        <v>1401082.6825000001</v>
      </c>
      <c r="K635" s="2">
        <f t="shared" si="108"/>
        <v>792770.86126752512</v>
      </c>
      <c r="L635" s="2">
        <f t="shared" si="109"/>
        <v>1113381.7174999998</v>
      </c>
      <c r="N635" s="4">
        <f t="shared" si="103"/>
        <v>1211987.9051000001</v>
      </c>
      <c r="O635" s="2">
        <f t="shared" si="105"/>
        <v>1302476.4948999998</v>
      </c>
    </row>
    <row r="636" spans="1:15" x14ac:dyDescent="0.3">
      <c r="A636" s="50">
        <v>44465</v>
      </c>
      <c r="B636" s="2">
        <v>635</v>
      </c>
      <c r="C636" s="4">
        <v>13380.900000000001</v>
      </c>
      <c r="D636" s="4">
        <f t="shared" si="99"/>
        <v>1263922.6499999999</v>
      </c>
      <c r="E636" s="2">
        <f t="shared" si="100"/>
        <v>1048108.6727770945</v>
      </c>
      <c r="F636" s="2">
        <f t="shared" si="101"/>
        <v>1250541.75</v>
      </c>
      <c r="G636" s="4">
        <f t="shared" si="102"/>
        <v>1150273.7333333332</v>
      </c>
      <c r="H636" s="2">
        <f t="shared" si="106"/>
        <v>784808.02467261744</v>
      </c>
      <c r="I636" s="2">
        <f t="shared" si="107"/>
        <v>1136892.8333333333</v>
      </c>
      <c r="J636" s="4">
        <f t="shared" si="104"/>
        <v>1336122.06</v>
      </c>
      <c r="K636" s="2">
        <f t="shared" si="108"/>
        <v>1032304.1785291483</v>
      </c>
      <c r="L636" s="2">
        <f t="shared" si="109"/>
        <v>1322741.1600000001</v>
      </c>
      <c r="N636" s="4">
        <f t="shared" si="103"/>
        <v>1669676.5983</v>
      </c>
      <c r="O636" s="2">
        <f t="shared" si="105"/>
        <v>1656295.6983</v>
      </c>
    </row>
    <row r="637" spans="1:15" x14ac:dyDescent="0.3">
      <c r="A637" s="50">
        <v>44466</v>
      </c>
      <c r="B637" s="2">
        <v>636</v>
      </c>
      <c r="C637" s="4">
        <v>5295371.4799999995</v>
      </c>
      <c r="D637" s="4">
        <f t="shared" si="99"/>
        <v>2654376.19</v>
      </c>
      <c r="E637" s="2">
        <f t="shared" si="100"/>
        <v>2066241.8530142163</v>
      </c>
      <c r="F637" s="2">
        <f t="shared" si="101"/>
        <v>2640995.2899999996</v>
      </c>
      <c r="G637" s="4">
        <f t="shared" si="102"/>
        <v>2607738.9266666663</v>
      </c>
      <c r="H637" s="2">
        <f t="shared" si="106"/>
        <v>1737785.4706317896</v>
      </c>
      <c r="I637" s="2">
        <f t="shared" si="107"/>
        <v>2687632.5533333332</v>
      </c>
      <c r="J637" s="4">
        <f t="shared" si="104"/>
        <v>2186548.17</v>
      </c>
      <c r="K637" s="2">
        <f t="shared" si="108"/>
        <v>1778626.6260360363</v>
      </c>
      <c r="L637" s="2">
        <f t="shared" si="109"/>
        <v>3108823.3099999996</v>
      </c>
      <c r="N637" s="4">
        <f t="shared" si="103"/>
        <v>1326473.9575</v>
      </c>
      <c r="O637" s="2">
        <f t="shared" si="105"/>
        <v>3968897.5224999995</v>
      </c>
    </row>
    <row r="638" spans="1:15" x14ac:dyDescent="0.3">
      <c r="A638" s="50">
        <v>44467</v>
      </c>
      <c r="B638" s="2">
        <v>637</v>
      </c>
      <c r="C638" s="4">
        <v>4163185.5300000003</v>
      </c>
      <c r="D638" s="4">
        <f t="shared" si="99"/>
        <v>4729278.5049999999</v>
      </c>
      <c r="E638" s="2">
        <f t="shared" si="100"/>
        <v>1909884.4700853678</v>
      </c>
      <c r="F638" s="2">
        <f t="shared" si="101"/>
        <v>566092.97499999963</v>
      </c>
      <c r="G638" s="4">
        <f t="shared" si="102"/>
        <v>3157312.6366666667</v>
      </c>
      <c r="H638" s="2">
        <f t="shared" si="106"/>
        <v>1782103.0959482039</v>
      </c>
      <c r="I638" s="2">
        <f t="shared" si="107"/>
        <v>1005872.8933333335</v>
      </c>
      <c r="J638" s="4">
        <f t="shared" si="104"/>
        <v>2996600.5774999997</v>
      </c>
      <c r="K638" s="2">
        <f t="shared" si="108"/>
        <v>1871828.3741719071</v>
      </c>
      <c r="L638" s="2">
        <f t="shared" si="109"/>
        <v>1166584.9525000006</v>
      </c>
      <c r="N638" s="4">
        <f t="shared" si="103"/>
        <v>2333086.1143</v>
      </c>
      <c r="O638" s="2">
        <f t="shared" si="105"/>
        <v>1830099.4157000002</v>
      </c>
    </row>
    <row r="639" spans="1:15" x14ac:dyDescent="0.3">
      <c r="A639" s="50">
        <v>44468</v>
      </c>
      <c r="B639" s="2">
        <v>638</v>
      </c>
      <c r="C639" s="4">
        <v>3401269.83</v>
      </c>
      <c r="D639" s="4">
        <f t="shared" si="99"/>
        <v>3782227.68</v>
      </c>
      <c r="E639" s="2">
        <f t="shared" si="100"/>
        <v>482488.41427591437</v>
      </c>
      <c r="F639" s="2">
        <f t="shared" si="101"/>
        <v>380957.85000000009</v>
      </c>
      <c r="G639" s="4">
        <f t="shared" si="102"/>
        <v>4286608.9466666663</v>
      </c>
      <c r="H639" s="2">
        <f t="shared" si="106"/>
        <v>1733875.6559396002</v>
      </c>
      <c r="I639" s="2">
        <f t="shared" si="107"/>
        <v>885339.11666666623</v>
      </c>
      <c r="J639" s="4">
        <f t="shared" si="104"/>
        <v>3218301.9350000001</v>
      </c>
      <c r="K639" s="2">
        <f t="shared" si="108"/>
        <v>1789470.8890589462</v>
      </c>
      <c r="L639" s="2">
        <f t="shared" si="109"/>
        <v>182967.89500000002</v>
      </c>
      <c r="N639" s="4">
        <f t="shared" si="103"/>
        <v>3754051.2591499998</v>
      </c>
      <c r="O639" s="2">
        <f t="shared" si="105"/>
        <v>352781.42914999975</v>
      </c>
    </row>
    <row r="640" spans="1:15" x14ac:dyDescent="0.3">
      <c r="A640" s="50">
        <v>44469</v>
      </c>
      <c r="B640" s="2">
        <v>639</v>
      </c>
      <c r="C640" s="4">
        <v>202203.09999999998</v>
      </c>
      <c r="D640" s="4">
        <f t="shared" si="99"/>
        <v>1801736.4650000001</v>
      </c>
      <c r="E640" s="2">
        <f t="shared" si="100"/>
        <v>1162677.055167265</v>
      </c>
      <c r="F640" s="2">
        <f t="shared" si="101"/>
        <v>1599533.3650000002</v>
      </c>
      <c r="G640" s="4">
        <f t="shared" si="102"/>
        <v>2588886.1533333333</v>
      </c>
      <c r="H640" s="2">
        <f t="shared" si="106"/>
        <v>1580280.737307078</v>
      </c>
      <c r="I640" s="2">
        <f t="shared" si="107"/>
        <v>2386683.0533333332</v>
      </c>
      <c r="J640" s="4">
        <f t="shared" si="104"/>
        <v>3265507.4849999999</v>
      </c>
      <c r="K640" s="2">
        <f t="shared" si="108"/>
        <v>2260697.5599336447</v>
      </c>
      <c r="L640" s="2">
        <f t="shared" si="109"/>
        <v>3063304.3849999998</v>
      </c>
      <c r="N640" s="4">
        <f t="shared" si="103"/>
        <v>4157024.6795000001</v>
      </c>
      <c r="O640" s="2">
        <f t="shared" si="105"/>
        <v>3954821.5795</v>
      </c>
    </row>
    <row r="641" spans="1:15" x14ac:dyDescent="0.3">
      <c r="A641" s="50">
        <v>44470</v>
      </c>
      <c r="B641" s="2">
        <v>640</v>
      </c>
      <c r="C641" s="4">
        <v>958112.19</v>
      </c>
      <c r="D641" s="4">
        <f t="shared" si="99"/>
        <v>580157.64500000002</v>
      </c>
      <c r="E641" s="2">
        <f t="shared" si="100"/>
        <v>1162186.8661782367</v>
      </c>
      <c r="F641" s="2">
        <f t="shared" si="101"/>
        <v>377954.54499999993</v>
      </c>
      <c r="G641" s="4">
        <f t="shared" si="102"/>
        <v>1520528.3733333333</v>
      </c>
      <c r="H641" s="2">
        <f t="shared" si="106"/>
        <v>1505145.9853719471</v>
      </c>
      <c r="I641" s="2">
        <f t="shared" si="107"/>
        <v>562416.18333333335</v>
      </c>
      <c r="J641" s="4">
        <f t="shared" si="104"/>
        <v>2181192.6625000001</v>
      </c>
      <c r="K641" s="2">
        <f t="shared" si="108"/>
        <v>1751724.6715288344</v>
      </c>
      <c r="L641" s="2">
        <f t="shared" si="109"/>
        <v>1223080.4725000001</v>
      </c>
      <c r="N641" s="4">
        <f t="shared" si="103"/>
        <v>2497203.9294500002</v>
      </c>
      <c r="O641" s="2">
        <f t="shared" si="105"/>
        <v>1539091.7394500002</v>
      </c>
    </row>
    <row r="642" spans="1:15" x14ac:dyDescent="0.3">
      <c r="A642" s="50">
        <v>44471</v>
      </c>
      <c r="B642" s="2">
        <v>641</v>
      </c>
      <c r="C642" s="4">
        <v>719872.44000000006</v>
      </c>
      <c r="D642" s="4">
        <f t="shared" si="99"/>
        <v>838992.31499999994</v>
      </c>
      <c r="E642" s="2">
        <f t="shared" si="100"/>
        <v>280213.47461013769</v>
      </c>
      <c r="F642" s="2">
        <f t="shared" si="101"/>
        <v>119119.87499999988</v>
      </c>
      <c r="G642" s="4">
        <f t="shared" si="102"/>
        <v>626729.24333333329</v>
      </c>
      <c r="H642" s="2">
        <f t="shared" si="106"/>
        <v>1416714.9343262441</v>
      </c>
      <c r="I642" s="2">
        <f t="shared" si="107"/>
        <v>93143.196666666772</v>
      </c>
      <c r="J642" s="4">
        <f t="shared" si="104"/>
        <v>1320364.3900000001</v>
      </c>
      <c r="K642" s="2">
        <f t="shared" si="108"/>
        <v>1678826.0355071474</v>
      </c>
      <c r="L642" s="2">
        <f t="shared" si="109"/>
        <v>600491.95000000007</v>
      </c>
      <c r="N642" s="4">
        <f t="shared" si="103"/>
        <v>1159227.3257500001</v>
      </c>
      <c r="O642" s="2">
        <f t="shared" si="105"/>
        <v>439354.88575000002</v>
      </c>
    </row>
    <row r="643" spans="1:15" x14ac:dyDescent="0.3">
      <c r="A643" s="50">
        <v>44472</v>
      </c>
      <c r="B643" s="2">
        <v>642</v>
      </c>
      <c r="C643" s="4">
        <v>2615767.6</v>
      </c>
      <c r="D643" s="4">
        <f t="shared" si="99"/>
        <v>1667820.02</v>
      </c>
      <c r="E643" s="2">
        <f t="shared" si="100"/>
        <v>675571.66868063388</v>
      </c>
      <c r="F643" s="2">
        <f t="shared" si="101"/>
        <v>947947.58000000007</v>
      </c>
      <c r="G643" s="4">
        <f t="shared" si="102"/>
        <v>1431250.7433333334</v>
      </c>
      <c r="H643" s="2">
        <f t="shared" si="106"/>
        <v>758961.52781020454</v>
      </c>
      <c r="I643" s="2">
        <f t="shared" si="107"/>
        <v>1184516.8566666667</v>
      </c>
      <c r="J643" s="4">
        <f t="shared" si="104"/>
        <v>1123988.8325</v>
      </c>
      <c r="K643" s="2">
        <f t="shared" si="108"/>
        <v>1834785.6871137342</v>
      </c>
      <c r="L643" s="2">
        <f t="shared" si="109"/>
        <v>1491778.7675000001</v>
      </c>
      <c r="N643" s="4">
        <f t="shared" si="103"/>
        <v>712001.87394999992</v>
      </c>
      <c r="O643" s="2">
        <f t="shared" si="105"/>
        <v>1903765.7260500002</v>
      </c>
    </row>
    <row r="644" spans="1:15" x14ac:dyDescent="0.3">
      <c r="A644" s="50">
        <v>44473</v>
      </c>
      <c r="B644" s="2">
        <v>643</v>
      </c>
      <c r="C644" s="4">
        <v>494919.60000000003</v>
      </c>
      <c r="D644" s="4">
        <f t="shared" ref="D644:D707" si="110">AVERAGE(C643:C644)</f>
        <v>1555343.6</v>
      </c>
      <c r="E644" s="2">
        <f t="shared" si="100"/>
        <v>1005759.3335892679</v>
      </c>
      <c r="F644" s="2">
        <f t="shared" si="101"/>
        <v>1060424</v>
      </c>
      <c r="G644" s="4">
        <f t="shared" si="102"/>
        <v>1276853.2133333334</v>
      </c>
      <c r="H644" s="2">
        <f t="shared" si="106"/>
        <v>821213.73881860357</v>
      </c>
      <c r="I644" s="2">
        <f t="shared" si="107"/>
        <v>781933.61333333328</v>
      </c>
      <c r="J644" s="4">
        <f t="shared" si="104"/>
        <v>1197167.9575</v>
      </c>
      <c r="K644" s="2">
        <f t="shared" si="108"/>
        <v>1069471.022398561</v>
      </c>
      <c r="L644" s="2">
        <f t="shared" si="109"/>
        <v>702248.35749999993</v>
      </c>
      <c r="N644" s="4">
        <f t="shared" si="103"/>
        <v>1407410.0636</v>
      </c>
      <c r="O644" s="2">
        <f t="shared" si="105"/>
        <v>912490.4635999999</v>
      </c>
    </row>
    <row r="645" spans="1:15" x14ac:dyDescent="0.3">
      <c r="A645" s="50">
        <v>44474</v>
      </c>
      <c r="B645" s="2">
        <v>644</v>
      </c>
      <c r="C645" s="4">
        <v>471663.83</v>
      </c>
      <c r="D645" s="4">
        <f t="shared" si="110"/>
        <v>483291.71500000003</v>
      </c>
      <c r="E645" s="2">
        <f t="shared" ref="E645:E708" si="111">SQRT(SUMXMY2(C644:C645,D644:D645)/2)</f>
        <v>749878.07925207855</v>
      </c>
      <c r="F645" s="2">
        <f t="shared" ref="F645:F708" si="112">ABS(D645-C645)</f>
        <v>11627.885000000009</v>
      </c>
      <c r="G645" s="4">
        <f t="shared" ref="G645:G708" si="113">AVERAGE(C643:C645)</f>
        <v>1194117.01</v>
      </c>
      <c r="H645" s="2">
        <f t="shared" si="106"/>
        <v>919499.67494649242</v>
      </c>
      <c r="I645" s="2">
        <f t="shared" si="107"/>
        <v>722453.17999999993</v>
      </c>
      <c r="J645" s="4">
        <f t="shared" si="104"/>
        <v>1075555.8674999999</v>
      </c>
      <c r="K645" s="2">
        <f t="shared" si="108"/>
        <v>927878.33547103184</v>
      </c>
      <c r="L645" s="2">
        <f t="shared" si="109"/>
        <v>603892.03749999986</v>
      </c>
      <c r="N645" s="4">
        <f t="shared" ref="N645:N708" si="114">($M$2*D644)+($M$3*C643)+($M$4*C642)</f>
        <v>1488186.5848000001</v>
      </c>
      <c r="O645" s="2">
        <f t="shared" si="105"/>
        <v>1016522.7548</v>
      </c>
    </row>
    <row r="646" spans="1:15" x14ac:dyDescent="0.3">
      <c r="A646" s="50">
        <v>44475</v>
      </c>
      <c r="B646" s="2">
        <v>645</v>
      </c>
      <c r="C646" s="4">
        <v>2013680.97</v>
      </c>
      <c r="D646" s="4">
        <f t="shared" si="110"/>
        <v>1242672.3999999999</v>
      </c>
      <c r="E646" s="2">
        <f t="shared" si="111"/>
        <v>545247.38546966831</v>
      </c>
      <c r="F646" s="2">
        <f t="shared" si="112"/>
        <v>771008.57000000007</v>
      </c>
      <c r="G646" s="4">
        <f t="shared" si="113"/>
        <v>993421.46666666667</v>
      </c>
      <c r="H646" s="2">
        <f t="shared" si="106"/>
        <v>851329.98441548599</v>
      </c>
      <c r="I646" s="2">
        <f t="shared" si="107"/>
        <v>1020259.5033333333</v>
      </c>
      <c r="J646" s="4">
        <f t="shared" ref="J646:J709" si="115">AVERAGE(C643:C646)</f>
        <v>1399008</v>
      </c>
      <c r="K646" s="2">
        <f t="shared" si="108"/>
        <v>930196.90116928855</v>
      </c>
      <c r="L646" s="2">
        <f t="shared" si="109"/>
        <v>614672.97</v>
      </c>
      <c r="N646" s="4">
        <f t="shared" si="114"/>
        <v>953715.4770500001</v>
      </c>
      <c r="O646" s="2">
        <f t="shared" ref="O646:O709" si="116">ABS(N646-C646)</f>
        <v>1059965.4929499999</v>
      </c>
    </row>
    <row r="647" spans="1:15" x14ac:dyDescent="0.3">
      <c r="A647" s="50">
        <v>44476</v>
      </c>
      <c r="B647" s="2">
        <v>646</v>
      </c>
      <c r="C647" s="4">
        <v>388053.28</v>
      </c>
      <c r="D647" s="4">
        <f t="shared" si="110"/>
        <v>1200867.125</v>
      </c>
      <c r="E647" s="2">
        <f t="shared" si="111"/>
        <v>792187.02388928621</v>
      </c>
      <c r="F647" s="2">
        <f t="shared" si="112"/>
        <v>812813.84499999997</v>
      </c>
      <c r="G647" s="4">
        <f t="shared" si="113"/>
        <v>957799.36</v>
      </c>
      <c r="H647" s="2">
        <f t="shared" ref="H647:H710" si="117">SQRT(SUMXMY2(C645:C647,G645:G647)/3)</f>
        <v>793195.78228611767</v>
      </c>
      <c r="I647" s="2">
        <f t="shared" ref="I647:I710" si="118">ABS(G647-C647)</f>
        <v>569746.07999999996</v>
      </c>
      <c r="J647" s="4">
        <f t="shared" si="115"/>
        <v>842079.41999999993</v>
      </c>
      <c r="K647" s="2">
        <f t="shared" si="108"/>
        <v>600375.07951681118</v>
      </c>
      <c r="L647" s="2">
        <f t="shared" si="109"/>
        <v>454026.1399999999</v>
      </c>
      <c r="N647" s="4">
        <f t="shared" si="114"/>
        <v>993355.84130000009</v>
      </c>
      <c r="O647" s="2">
        <f t="shared" si="116"/>
        <v>605302.56130000006</v>
      </c>
    </row>
    <row r="648" spans="1:15" x14ac:dyDescent="0.3">
      <c r="A648" s="50">
        <v>44477</v>
      </c>
      <c r="B648" s="2">
        <v>647</v>
      </c>
      <c r="C648" s="4">
        <v>2152335.6</v>
      </c>
      <c r="D648" s="4">
        <f t="shared" si="110"/>
        <v>1270194.44</v>
      </c>
      <c r="E648" s="2">
        <f t="shared" si="111"/>
        <v>848186.11542214896</v>
      </c>
      <c r="F648" s="2">
        <f t="shared" si="112"/>
        <v>882141.16000000015</v>
      </c>
      <c r="G648" s="4">
        <f t="shared" si="113"/>
        <v>1518023.2833333332</v>
      </c>
      <c r="H648" s="2">
        <f t="shared" si="117"/>
        <v>767657.07727960148</v>
      </c>
      <c r="I648" s="2">
        <f t="shared" si="118"/>
        <v>634312.31666666688</v>
      </c>
      <c r="J648" s="4">
        <f t="shared" si="115"/>
        <v>1256433.42</v>
      </c>
      <c r="K648" s="2">
        <f t="shared" si="108"/>
        <v>661681.36306997761</v>
      </c>
      <c r="L648" s="2">
        <f t="shared" si="109"/>
        <v>895902.18000000017</v>
      </c>
      <c r="N648" s="4">
        <f t="shared" si="114"/>
        <v>1129851.9230500001</v>
      </c>
      <c r="O648" s="2">
        <f t="shared" si="116"/>
        <v>1022483.67695</v>
      </c>
    </row>
    <row r="649" spans="1:15" x14ac:dyDescent="0.3">
      <c r="A649" s="50">
        <v>44478</v>
      </c>
      <c r="B649" s="2">
        <v>648</v>
      </c>
      <c r="C649" s="4">
        <v>34866.21</v>
      </c>
      <c r="D649" s="4">
        <f t="shared" si="110"/>
        <v>1093600.905</v>
      </c>
      <c r="E649" s="2">
        <f t="shared" si="111"/>
        <v>974446.55588772264</v>
      </c>
      <c r="F649" s="2">
        <f t="shared" si="112"/>
        <v>1058734.6950000001</v>
      </c>
      <c r="G649" s="4">
        <f t="shared" si="113"/>
        <v>858418.36333333328</v>
      </c>
      <c r="H649" s="2">
        <f t="shared" si="117"/>
        <v>684397.7547231752</v>
      </c>
      <c r="I649" s="2">
        <f t="shared" si="118"/>
        <v>823552.15333333332</v>
      </c>
      <c r="J649" s="4">
        <f t="shared" si="115"/>
        <v>1147234.0149999999</v>
      </c>
      <c r="K649" s="2">
        <f t="shared" ref="K649:K712" si="119">SQRT(SUMXMY2(C646:C649,J646:J649)/4)</f>
        <v>809932.93635664531</v>
      </c>
      <c r="L649" s="2">
        <f t="shared" ref="L649:L712" si="120">ABS(J649-C649)</f>
        <v>1112367.8049999999</v>
      </c>
      <c r="N649" s="4">
        <f t="shared" si="114"/>
        <v>1336725.949</v>
      </c>
      <c r="O649" s="2">
        <f t="shared" si="116"/>
        <v>1301859.7390000001</v>
      </c>
    </row>
    <row r="650" spans="1:15" x14ac:dyDescent="0.3">
      <c r="A650" s="50">
        <v>44479</v>
      </c>
      <c r="B650" s="2">
        <v>649</v>
      </c>
      <c r="C650" s="4">
        <v>152998.56</v>
      </c>
      <c r="D650" s="4">
        <f t="shared" si="110"/>
        <v>93932.384999999995</v>
      </c>
      <c r="E650" s="2">
        <f t="shared" si="111"/>
        <v>749802.62983863754</v>
      </c>
      <c r="F650" s="2">
        <f t="shared" si="112"/>
        <v>59066.175000000003</v>
      </c>
      <c r="G650" s="4">
        <f t="shared" si="113"/>
        <v>780066.79</v>
      </c>
      <c r="H650" s="2">
        <f t="shared" si="117"/>
        <v>700905.3263245417</v>
      </c>
      <c r="I650" s="2">
        <f t="shared" si="118"/>
        <v>627068.23</v>
      </c>
      <c r="J650" s="4">
        <f t="shared" si="115"/>
        <v>682063.41249999998</v>
      </c>
      <c r="K650" s="2">
        <f t="shared" si="119"/>
        <v>794677.95421847096</v>
      </c>
      <c r="L650" s="2">
        <f t="shared" si="120"/>
        <v>529064.85250000004</v>
      </c>
      <c r="N650" s="4">
        <f t="shared" si="114"/>
        <v>1054841.24395</v>
      </c>
      <c r="O650" s="2">
        <f t="shared" si="116"/>
        <v>901842.68394999998</v>
      </c>
    </row>
    <row r="651" spans="1:15" x14ac:dyDescent="0.3">
      <c r="A651" s="50">
        <v>44480</v>
      </c>
      <c r="B651" s="2">
        <v>650</v>
      </c>
      <c r="C651" s="4">
        <v>1367345.49</v>
      </c>
      <c r="D651" s="4">
        <f t="shared" si="110"/>
        <v>760172.02500000002</v>
      </c>
      <c r="E651" s="2">
        <f t="shared" si="111"/>
        <v>431363.20521646074</v>
      </c>
      <c r="F651" s="2">
        <f t="shared" si="112"/>
        <v>607173.46499999997</v>
      </c>
      <c r="G651" s="4">
        <f t="shared" si="113"/>
        <v>518403.42</v>
      </c>
      <c r="H651" s="2">
        <f t="shared" si="117"/>
        <v>772906.92681400047</v>
      </c>
      <c r="I651" s="2">
        <f t="shared" si="118"/>
        <v>848942.07000000007</v>
      </c>
      <c r="J651" s="4">
        <f t="shared" si="115"/>
        <v>926886.46500000008</v>
      </c>
      <c r="K651" s="2">
        <f t="shared" si="119"/>
        <v>792766.77222624375</v>
      </c>
      <c r="L651" s="2">
        <f t="shared" si="120"/>
        <v>440459.02499999991</v>
      </c>
      <c r="N651" s="4">
        <f t="shared" si="114"/>
        <v>540283.81305</v>
      </c>
      <c r="O651" s="2">
        <f t="shared" si="116"/>
        <v>827061.67694999999</v>
      </c>
    </row>
    <row r="652" spans="1:15" x14ac:dyDescent="0.3">
      <c r="A652" s="50">
        <v>44481</v>
      </c>
      <c r="B652" s="2">
        <v>651</v>
      </c>
      <c r="C652" s="4">
        <v>3706725.54</v>
      </c>
      <c r="D652" s="4">
        <f t="shared" si="110"/>
        <v>2537035.5150000001</v>
      </c>
      <c r="E652" s="2">
        <f t="shared" si="111"/>
        <v>931889.04145949869</v>
      </c>
      <c r="F652" s="2">
        <f t="shared" si="112"/>
        <v>1169690.0249999999</v>
      </c>
      <c r="G652" s="4">
        <f t="shared" si="113"/>
        <v>1742356.53</v>
      </c>
      <c r="H652" s="2">
        <f t="shared" si="117"/>
        <v>1287460.3956031161</v>
      </c>
      <c r="I652" s="2">
        <f t="shared" si="118"/>
        <v>1964369.01</v>
      </c>
      <c r="J652" s="4">
        <f t="shared" si="115"/>
        <v>1315483.95</v>
      </c>
      <c r="K652" s="2">
        <f t="shared" si="119"/>
        <v>1362838.2374846477</v>
      </c>
      <c r="L652" s="2">
        <f t="shared" si="120"/>
        <v>2391241.59</v>
      </c>
      <c r="N652" s="4">
        <f t="shared" si="114"/>
        <v>533815.6645500001</v>
      </c>
      <c r="O652" s="2">
        <f t="shared" si="116"/>
        <v>3172909.8754500002</v>
      </c>
    </row>
    <row r="653" spans="1:15" x14ac:dyDescent="0.3">
      <c r="A653" s="50">
        <v>44482</v>
      </c>
      <c r="B653" s="2">
        <v>652</v>
      </c>
      <c r="C653" s="4">
        <v>989039.6</v>
      </c>
      <c r="D653" s="4">
        <f t="shared" si="110"/>
        <v>2347882.5699999998</v>
      </c>
      <c r="E653" s="2">
        <f t="shared" si="111"/>
        <v>1267799.0715612078</v>
      </c>
      <c r="F653" s="2">
        <f t="shared" si="112"/>
        <v>1358842.9699999997</v>
      </c>
      <c r="G653" s="4">
        <f t="shared" si="113"/>
        <v>2021036.8766666667</v>
      </c>
      <c r="H653" s="2">
        <f t="shared" si="117"/>
        <v>1371673.7494404032</v>
      </c>
      <c r="I653" s="2">
        <f t="shared" si="118"/>
        <v>1031997.2766666667</v>
      </c>
      <c r="J653" s="4">
        <f t="shared" si="115"/>
        <v>1554027.2974999999</v>
      </c>
      <c r="K653" s="2">
        <f t="shared" si="119"/>
        <v>1275848.8557551475</v>
      </c>
      <c r="L653" s="2">
        <f t="shared" si="120"/>
        <v>564987.69749999989</v>
      </c>
      <c r="N653" s="4">
        <f t="shared" si="114"/>
        <v>1883881.4821500003</v>
      </c>
      <c r="O653" s="2">
        <f t="shared" si="116"/>
        <v>894841.88215000031</v>
      </c>
    </row>
    <row r="654" spans="1:15" x14ac:dyDescent="0.3">
      <c r="A654" s="50">
        <v>44483</v>
      </c>
      <c r="B654" s="2">
        <v>653</v>
      </c>
      <c r="C654" s="4">
        <v>864806.88</v>
      </c>
      <c r="D654" s="4">
        <f t="shared" si="110"/>
        <v>926923.24</v>
      </c>
      <c r="E654" s="2">
        <f t="shared" si="111"/>
        <v>961850.47156459559</v>
      </c>
      <c r="F654" s="2">
        <f t="shared" si="112"/>
        <v>62116.359999999986</v>
      </c>
      <c r="G654" s="4">
        <f t="shared" si="113"/>
        <v>1853524.0066666666</v>
      </c>
      <c r="H654" s="2">
        <f t="shared" si="117"/>
        <v>1402536.4574061031</v>
      </c>
      <c r="I654" s="2">
        <f t="shared" si="118"/>
        <v>988717.12666666659</v>
      </c>
      <c r="J654" s="4">
        <f t="shared" si="115"/>
        <v>1731979.3774999999</v>
      </c>
      <c r="K654" s="2">
        <f t="shared" si="119"/>
        <v>1321291.0100727638</v>
      </c>
      <c r="L654" s="2">
        <f t="shared" si="120"/>
        <v>867172.49749999994</v>
      </c>
      <c r="N654" s="4">
        <f t="shared" si="114"/>
        <v>2281637.1391000003</v>
      </c>
      <c r="O654" s="2">
        <f t="shared" si="116"/>
        <v>1416830.2591000004</v>
      </c>
    </row>
    <row r="655" spans="1:15" x14ac:dyDescent="0.3">
      <c r="A655" s="50">
        <v>44484</v>
      </c>
      <c r="B655" s="2">
        <v>654</v>
      </c>
      <c r="C655" s="4">
        <v>244586.82</v>
      </c>
      <c r="D655" s="4">
        <f t="shared" si="110"/>
        <v>554696.85</v>
      </c>
      <c r="E655" s="2">
        <f t="shared" si="111"/>
        <v>223636.61695510696</v>
      </c>
      <c r="F655" s="2">
        <f t="shared" si="112"/>
        <v>310110.02999999997</v>
      </c>
      <c r="G655" s="4">
        <f t="shared" si="113"/>
        <v>699477.7666666666</v>
      </c>
      <c r="H655" s="2">
        <f t="shared" si="117"/>
        <v>865930.27220646769</v>
      </c>
      <c r="I655" s="2">
        <f t="shared" si="118"/>
        <v>454890.9466666666</v>
      </c>
      <c r="J655" s="4">
        <f t="shared" si="115"/>
        <v>1451289.71</v>
      </c>
      <c r="K655" s="2">
        <f t="shared" si="119"/>
        <v>1435737.3928775082</v>
      </c>
      <c r="L655" s="2">
        <f t="shared" si="120"/>
        <v>1206702.8899999999</v>
      </c>
      <c r="N655" s="4">
        <f t="shared" si="114"/>
        <v>1545312.5456000001</v>
      </c>
      <c r="O655" s="2">
        <f t="shared" si="116"/>
        <v>1300725.7256</v>
      </c>
    </row>
    <row r="656" spans="1:15" x14ac:dyDescent="0.3">
      <c r="A656" s="50">
        <v>44485</v>
      </c>
      <c r="B656" s="2">
        <v>655</v>
      </c>
      <c r="C656" s="4">
        <v>5119616.47</v>
      </c>
      <c r="D656" s="4">
        <f t="shared" si="110"/>
        <v>2682101.645</v>
      </c>
      <c r="E656" s="2">
        <f t="shared" si="111"/>
        <v>1737476.151318541</v>
      </c>
      <c r="F656" s="2">
        <f t="shared" si="112"/>
        <v>2437514.8249999997</v>
      </c>
      <c r="G656" s="4">
        <f t="shared" si="113"/>
        <v>2076336.7233333334</v>
      </c>
      <c r="H656" s="2">
        <f t="shared" si="117"/>
        <v>1866015.2684615429</v>
      </c>
      <c r="I656" s="2">
        <f t="shared" si="118"/>
        <v>3043279.7466666661</v>
      </c>
      <c r="J656" s="4">
        <f t="shared" si="115"/>
        <v>1804512.4424999999</v>
      </c>
      <c r="K656" s="2">
        <f t="shared" si="119"/>
        <v>1838290.3617646894</v>
      </c>
      <c r="L656" s="2">
        <f t="shared" si="120"/>
        <v>3315104.0274999999</v>
      </c>
      <c r="N656" s="4">
        <f t="shared" si="114"/>
        <v>684364.35829999996</v>
      </c>
      <c r="O656" s="2">
        <f t="shared" si="116"/>
        <v>4435252.1117000002</v>
      </c>
    </row>
    <row r="657" spans="1:15" x14ac:dyDescent="0.3">
      <c r="A657" s="50">
        <v>44486</v>
      </c>
      <c r="B657" s="2">
        <v>656</v>
      </c>
      <c r="C657" s="4">
        <v>1885643.5999999999</v>
      </c>
      <c r="D657" s="4">
        <f t="shared" si="110"/>
        <v>3502630.0349999997</v>
      </c>
      <c r="E657" s="2">
        <f t="shared" si="111"/>
        <v>2068347.6077619048</v>
      </c>
      <c r="F657" s="2">
        <f t="shared" si="112"/>
        <v>1616986.4349999998</v>
      </c>
      <c r="G657" s="4">
        <f t="shared" si="113"/>
        <v>2416615.63</v>
      </c>
      <c r="H657" s="2">
        <f t="shared" si="117"/>
        <v>1802813.4204138767</v>
      </c>
      <c r="I657" s="2">
        <f t="shared" si="118"/>
        <v>530972.03</v>
      </c>
      <c r="J657" s="4">
        <f t="shared" si="115"/>
        <v>2028663.4424999999</v>
      </c>
      <c r="K657" s="2">
        <f t="shared" si="119"/>
        <v>1817862.0267810607</v>
      </c>
      <c r="L657" s="2">
        <f t="shared" si="120"/>
        <v>143019.84250000003</v>
      </c>
      <c r="N657" s="4">
        <f t="shared" si="114"/>
        <v>2014170.1659500001</v>
      </c>
      <c r="O657" s="2">
        <f t="shared" si="116"/>
        <v>128526.56595000019</v>
      </c>
    </row>
    <row r="658" spans="1:15" x14ac:dyDescent="0.3">
      <c r="A658" s="50">
        <v>44487</v>
      </c>
      <c r="B658" s="2">
        <v>657</v>
      </c>
      <c r="C658" s="4">
        <v>3694777.1999999997</v>
      </c>
      <c r="D658" s="4">
        <f t="shared" si="110"/>
        <v>2790210.4</v>
      </c>
      <c r="E658" s="2">
        <f t="shared" si="111"/>
        <v>1310130.9527364522</v>
      </c>
      <c r="F658" s="2">
        <f t="shared" si="112"/>
        <v>904566.79999999981</v>
      </c>
      <c r="G658" s="4">
        <f t="shared" si="113"/>
        <v>3566679.09</v>
      </c>
      <c r="H658" s="2">
        <f t="shared" si="117"/>
        <v>1785113.6321346997</v>
      </c>
      <c r="I658" s="2">
        <f t="shared" si="118"/>
        <v>128098.10999999987</v>
      </c>
      <c r="J658" s="4">
        <f t="shared" si="115"/>
        <v>2736156.0225</v>
      </c>
      <c r="K658" s="2">
        <f t="shared" si="119"/>
        <v>1829306.9599701744</v>
      </c>
      <c r="L658" s="2">
        <f t="shared" si="120"/>
        <v>958621.17749999976</v>
      </c>
      <c r="N658" s="4">
        <f t="shared" si="114"/>
        <v>2963729.0355499997</v>
      </c>
      <c r="O658" s="2">
        <f t="shared" si="116"/>
        <v>731048.16445000004</v>
      </c>
    </row>
    <row r="659" spans="1:15" x14ac:dyDescent="0.3">
      <c r="A659" s="50">
        <v>44488</v>
      </c>
      <c r="B659" s="2">
        <v>658</v>
      </c>
      <c r="C659" s="4">
        <v>153685.56</v>
      </c>
      <c r="D659" s="4">
        <f t="shared" si="110"/>
        <v>1924231.38</v>
      </c>
      <c r="E659" s="2">
        <f t="shared" si="111"/>
        <v>1405893.5941922688</v>
      </c>
      <c r="F659" s="2">
        <f t="shared" si="112"/>
        <v>1770545.8199999998</v>
      </c>
      <c r="G659" s="4">
        <f t="shared" si="113"/>
        <v>1911368.7866666664</v>
      </c>
      <c r="H659" s="2">
        <f t="shared" si="117"/>
        <v>1062668.1432026397</v>
      </c>
      <c r="I659" s="2">
        <f t="shared" si="118"/>
        <v>1757683.2266666663</v>
      </c>
      <c r="J659" s="4">
        <f t="shared" si="115"/>
        <v>2713430.7075</v>
      </c>
      <c r="K659" s="2">
        <f t="shared" si="119"/>
        <v>2149512.6872501085</v>
      </c>
      <c r="L659" s="2">
        <f t="shared" si="120"/>
        <v>2559745.1475</v>
      </c>
      <c r="N659" s="4">
        <f t="shared" si="114"/>
        <v>3203177.3873999999</v>
      </c>
      <c r="O659" s="2">
        <f t="shared" si="116"/>
        <v>3049491.8273999998</v>
      </c>
    </row>
    <row r="660" spans="1:15" x14ac:dyDescent="0.3">
      <c r="A660" s="50">
        <v>44489</v>
      </c>
      <c r="B660" s="2">
        <v>659</v>
      </c>
      <c r="C660" s="4">
        <v>1046851.3800000001</v>
      </c>
      <c r="D660" s="4">
        <f t="shared" si="110"/>
        <v>600268.47000000009</v>
      </c>
      <c r="E660" s="2">
        <f t="shared" si="111"/>
        <v>1291175.5876377814</v>
      </c>
      <c r="F660" s="2">
        <f t="shared" si="112"/>
        <v>446582.91000000003</v>
      </c>
      <c r="G660" s="4">
        <f t="shared" si="113"/>
        <v>1631771.38</v>
      </c>
      <c r="H660" s="2">
        <f t="shared" si="117"/>
        <v>1072068.2281600856</v>
      </c>
      <c r="I660" s="2">
        <f t="shared" si="118"/>
        <v>584919.99999999977</v>
      </c>
      <c r="J660" s="4">
        <f t="shared" si="115"/>
        <v>1695239.4349999998</v>
      </c>
      <c r="K660" s="2">
        <f t="shared" si="119"/>
        <v>1406423.7916891098</v>
      </c>
      <c r="L660" s="2">
        <f t="shared" si="120"/>
        <v>648388.0549999997</v>
      </c>
      <c r="N660" s="4">
        <f t="shared" si="114"/>
        <v>2110502.1085999999</v>
      </c>
      <c r="O660" s="2">
        <f t="shared" si="116"/>
        <v>1063650.7285999998</v>
      </c>
    </row>
    <row r="661" spans="1:15" x14ac:dyDescent="0.3">
      <c r="A661" s="50">
        <v>44490</v>
      </c>
      <c r="B661" s="2">
        <v>660</v>
      </c>
      <c r="C661" s="4">
        <v>824954.72</v>
      </c>
      <c r="D661" s="4">
        <f t="shared" si="110"/>
        <v>935903.05</v>
      </c>
      <c r="E661" s="2">
        <f t="shared" si="111"/>
        <v>325381.18218011397</v>
      </c>
      <c r="F661" s="2">
        <f t="shared" si="112"/>
        <v>110948.33000000007</v>
      </c>
      <c r="G661" s="4">
        <f t="shared" si="113"/>
        <v>675163.88666666672</v>
      </c>
      <c r="H661" s="2">
        <f t="shared" si="117"/>
        <v>1073004.9744302272</v>
      </c>
      <c r="I661" s="2">
        <f t="shared" si="118"/>
        <v>149790.83333333326</v>
      </c>
      <c r="J661" s="4">
        <f t="shared" si="115"/>
        <v>1430067.2149999999</v>
      </c>
      <c r="K661" s="2">
        <f t="shared" si="119"/>
        <v>1436820.9686294505</v>
      </c>
      <c r="L661" s="2">
        <f t="shared" si="120"/>
        <v>605112.49499999988</v>
      </c>
      <c r="N661" s="4">
        <f t="shared" si="114"/>
        <v>1231936.2705000001</v>
      </c>
      <c r="O661" s="2">
        <f t="shared" si="116"/>
        <v>406981.55050000013</v>
      </c>
    </row>
    <row r="662" spans="1:15" x14ac:dyDescent="0.3">
      <c r="A662" s="50">
        <v>44491</v>
      </c>
      <c r="B662" s="2">
        <v>661</v>
      </c>
      <c r="C662" s="4">
        <v>1759969.2</v>
      </c>
      <c r="D662" s="4">
        <f t="shared" si="110"/>
        <v>1292461.96</v>
      </c>
      <c r="E662" s="2">
        <f t="shared" si="111"/>
        <v>339759.14364605886</v>
      </c>
      <c r="F662" s="2">
        <f t="shared" si="112"/>
        <v>467507.24</v>
      </c>
      <c r="G662" s="4">
        <f t="shared" si="113"/>
        <v>1210591.7666666666</v>
      </c>
      <c r="H662" s="2">
        <f t="shared" si="117"/>
        <v>471304.66593864572</v>
      </c>
      <c r="I662" s="2">
        <f t="shared" si="118"/>
        <v>549377.43333333335</v>
      </c>
      <c r="J662" s="4">
        <f t="shared" si="115"/>
        <v>946365.21500000008</v>
      </c>
      <c r="K662" s="2">
        <f t="shared" si="119"/>
        <v>1414285.5852010127</v>
      </c>
      <c r="L662" s="2">
        <f t="shared" si="120"/>
        <v>813603.98499999987</v>
      </c>
      <c r="N662" s="4">
        <f t="shared" si="114"/>
        <v>776019.51850000001</v>
      </c>
      <c r="O662" s="2">
        <f t="shared" si="116"/>
        <v>983949.68149999995</v>
      </c>
    </row>
    <row r="663" spans="1:15" x14ac:dyDescent="0.3">
      <c r="A663" s="50">
        <v>44492</v>
      </c>
      <c r="B663" s="2">
        <v>662</v>
      </c>
      <c r="C663" s="4">
        <v>2084616.48</v>
      </c>
      <c r="D663" s="4">
        <f t="shared" si="110"/>
        <v>1922292.8399999999</v>
      </c>
      <c r="E663" s="2">
        <f t="shared" si="111"/>
        <v>349937.1254634661</v>
      </c>
      <c r="F663" s="2">
        <f t="shared" si="112"/>
        <v>162323.64000000013</v>
      </c>
      <c r="G663" s="4">
        <f t="shared" si="113"/>
        <v>1556513.4666666668</v>
      </c>
      <c r="H663" s="2">
        <f t="shared" si="117"/>
        <v>448384.3777751266</v>
      </c>
      <c r="I663" s="2">
        <f t="shared" si="118"/>
        <v>528103.01333333319</v>
      </c>
      <c r="J663" s="4">
        <f t="shared" si="115"/>
        <v>1429097.9449999998</v>
      </c>
      <c r="K663" s="2">
        <f t="shared" si="119"/>
        <v>685241.59892847901</v>
      </c>
      <c r="L663" s="2">
        <f t="shared" si="120"/>
        <v>655518.53500000015</v>
      </c>
      <c r="N663" s="4">
        <f t="shared" si="114"/>
        <v>1187001.8360000001</v>
      </c>
      <c r="O663" s="2">
        <f t="shared" si="116"/>
        <v>897614.64399999985</v>
      </c>
    </row>
    <row r="664" spans="1:15" x14ac:dyDescent="0.3">
      <c r="A664" s="50">
        <v>44493</v>
      </c>
      <c r="B664" s="2">
        <v>663</v>
      </c>
      <c r="C664" s="4">
        <v>742365.6</v>
      </c>
      <c r="D664" s="4">
        <f t="shared" si="110"/>
        <v>1413491.04</v>
      </c>
      <c r="E664" s="2">
        <f t="shared" si="111"/>
        <v>488240.88333426329</v>
      </c>
      <c r="F664" s="2">
        <f t="shared" si="112"/>
        <v>671125.44000000006</v>
      </c>
      <c r="G664" s="4">
        <f t="shared" si="113"/>
        <v>1528983.7599999998</v>
      </c>
      <c r="H664" s="2">
        <f t="shared" si="117"/>
        <v>632317.55908706004</v>
      </c>
      <c r="I664" s="2">
        <f t="shared" si="118"/>
        <v>786618.1599999998</v>
      </c>
      <c r="J664" s="4">
        <f t="shared" si="115"/>
        <v>1352976.5</v>
      </c>
      <c r="K664" s="2">
        <f t="shared" si="119"/>
        <v>676509.94023376354</v>
      </c>
      <c r="L664" s="2">
        <f t="shared" si="120"/>
        <v>610610.9</v>
      </c>
      <c r="N664" s="4">
        <f t="shared" si="114"/>
        <v>1663022.8532</v>
      </c>
      <c r="O664" s="2">
        <f t="shared" si="116"/>
        <v>920657.25320000004</v>
      </c>
    </row>
    <row r="665" spans="1:15" x14ac:dyDescent="0.3">
      <c r="A665" s="50">
        <v>44494</v>
      </c>
      <c r="B665" s="2">
        <v>664</v>
      </c>
      <c r="C665" s="4">
        <v>991922.58000000007</v>
      </c>
      <c r="D665" s="4">
        <f t="shared" si="110"/>
        <v>867144.09000000008</v>
      </c>
      <c r="E665" s="2">
        <f t="shared" si="111"/>
        <v>482689.87340831681</v>
      </c>
      <c r="F665" s="2">
        <f t="shared" si="112"/>
        <v>124778.48999999999</v>
      </c>
      <c r="G665" s="4">
        <f t="shared" si="113"/>
        <v>1272968.22</v>
      </c>
      <c r="H665" s="2">
        <f t="shared" si="117"/>
        <v>570569.18192758528</v>
      </c>
      <c r="I665" s="2">
        <f t="shared" si="118"/>
        <v>281045.6399999999</v>
      </c>
      <c r="J665" s="4">
        <f t="shared" si="115"/>
        <v>1394718.4649999999</v>
      </c>
      <c r="K665" s="2">
        <f t="shared" si="119"/>
        <v>637719.80334394705</v>
      </c>
      <c r="L665" s="2">
        <f t="shared" si="120"/>
        <v>402795.88499999978</v>
      </c>
      <c r="N665" s="4">
        <f t="shared" si="114"/>
        <v>1563540.0336</v>
      </c>
      <c r="O665" s="2">
        <f t="shared" si="116"/>
        <v>571617.45359999989</v>
      </c>
    </row>
    <row r="666" spans="1:15" x14ac:dyDescent="0.3">
      <c r="A666" s="50">
        <v>44495</v>
      </c>
      <c r="B666" s="2">
        <v>665</v>
      </c>
      <c r="C666" s="4">
        <v>64880.82</v>
      </c>
      <c r="D666" s="4">
        <f t="shared" si="110"/>
        <v>528401.70000000007</v>
      </c>
      <c r="E666" s="2">
        <f t="shared" si="111"/>
        <v>339426.9271600697</v>
      </c>
      <c r="F666" s="2">
        <f t="shared" si="112"/>
        <v>463520.88000000006</v>
      </c>
      <c r="G666" s="4">
        <f t="shared" si="113"/>
        <v>599723.00000000012</v>
      </c>
      <c r="H666" s="2">
        <f t="shared" si="117"/>
        <v>572657.82072483376</v>
      </c>
      <c r="I666" s="2">
        <f t="shared" si="118"/>
        <v>534842.18000000017</v>
      </c>
      <c r="J666" s="4">
        <f t="shared" si="115"/>
        <v>970946.37</v>
      </c>
      <c r="K666" s="2">
        <f t="shared" si="119"/>
        <v>668159.69775142311</v>
      </c>
      <c r="L666" s="2">
        <f t="shared" si="120"/>
        <v>906065.55</v>
      </c>
      <c r="N666" s="4">
        <f t="shared" si="114"/>
        <v>1121262.3819000002</v>
      </c>
      <c r="O666" s="2">
        <f t="shared" si="116"/>
        <v>1056381.5619000001</v>
      </c>
    </row>
    <row r="667" spans="1:15" x14ac:dyDescent="0.3">
      <c r="A667" s="50">
        <v>44496</v>
      </c>
      <c r="B667" s="2">
        <v>666</v>
      </c>
      <c r="C667" s="4">
        <v>6327180.3599999994</v>
      </c>
      <c r="D667" s="4">
        <f t="shared" si="110"/>
        <v>3196030.59</v>
      </c>
      <c r="E667" s="2">
        <f t="shared" si="111"/>
        <v>2238185.7036858029</v>
      </c>
      <c r="F667" s="2">
        <f t="shared" si="112"/>
        <v>3131149.7699999996</v>
      </c>
      <c r="G667" s="4">
        <f t="shared" si="113"/>
        <v>2461327.92</v>
      </c>
      <c r="H667" s="2">
        <f t="shared" si="117"/>
        <v>2259045.3660137146</v>
      </c>
      <c r="I667" s="2">
        <f t="shared" si="118"/>
        <v>3865852.4399999995</v>
      </c>
      <c r="J667" s="4">
        <f t="shared" si="115"/>
        <v>2031587.3399999999</v>
      </c>
      <c r="K667" s="2">
        <f t="shared" si="119"/>
        <v>2225318.2003109837</v>
      </c>
      <c r="L667" s="2">
        <f t="shared" si="120"/>
        <v>4295593.0199999996</v>
      </c>
      <c r="N667" s="4">
        <f t="shared" si="114"/>
        <v>626461.05480000004</v>
      </c>
      <c r="O667" s="2">
        <f t="shared" si="116"/>
        <v>5700719.3051999994</v>
      </c>
    </row>
    <row r="668" spans="1:15" x14ac:dyDescent="0.3">
      <c r="A668" s="50">
        <v>44497</v>
      </c>
      <c r="B668" s="2">
        <v>667</v>
      </c>
      <c r="C668" s="4">
        <v>1539664.5</v>
      </c>
      <c r="D668" s="4">
        <f t="shared" si="110"/>
        <v>3933422.4299999997</v>
      </c>
      <c r="E668" s="2">
        <f t="shared" si="111"/>
        <v>2786949.5788055561</v>
      </c>
      <c r="F668" s="2">
        <f t="shared" si="112"/>
        <v>2393757.9299999997</v>
      </c>
      <c r="G668" s="4">
        <f t="shared" si="113"/>
        <v>2643908.56</v>
      </c>
      <c r="H668" s="2">
        <f t="shared" si="117"/>
        <v>2341667.9375612009</v>
      </c>
      <c r="I668" s="2">
        <f t="shared" si="118"/>
        <v>1104244.06</v>
      </c>
      <c r="J668" s="4">
        <f t="shared" si="115"/>
        <v>2230912.0649999999</v>
      </c>
      <c r="K668" s="2">
        <f t="shared" si="119"/>
        <v>2231207.1786065092</v>
      </c>
      <c r="L668" s="2">
        <f t="shared" si="120"/>
        <v>691247.56499999994</v>
      </c>
      <c r="N668" s="4">
        <f t="shared" si="114"/>
        <v>2366700.3530999999</v>
      </c>
      <c r="O668" s="2">
        <f t="shared" si="116"/>
        <v>827035.85309999995</v>
      </c>
    </row>
    <row r="669" spans="1:15" x14ac:dyDescent="0.3">
      <c r="A669" s="50">
        <v>44498</v>
      </c>
      <c r="B669" s="2">
        <v>668</v>
      </c>
      <c r="C669" s="4">
        <v>529610.4</v>
      </c>
      <c r="D669" s="4">
        <f t="shared" si="110"/>
        <v>1034637.45</v>
      </c>
      <c r="E669" s="2">
        <f t="shared" si="111"/>
        <v>1729903.0823531107</v>
      </c>
      <c r="F669" s="2">
        <f t="shared" si="112"/>
        <v>505027.04999999993</v>
      </c>
      <c r="G669" s="4">
        <f t="shared" si="113"/>
        <v>2798818.42</v>
      </c>
      <c r="H669" s="2">
        <f t="shared" si="117"/>
        <v>2665425.2362385229</v>
      </c>
      <c r="I669" s="2">
        <f t="shared" si="118"/>
        <v>2269208.02</v>
      </c>
      <c r="J669" s="4">
        <f t="shared" si="115"/>
        <v>2115334.02</v>
      </c>
      <c r="K669" s="2">
        <f t="shared" si="119"/>
        <v>2359312.22867565</v>
      </c>
      <c r="L669" s="2">
        <f t="shared" si="120"/>
        <v>1585723.62</v>
      </c>
      <c r="N669" s="4">
        <f t="shared" si="114"/>
        <v>3345656.6480999999</v>
      </c>
      <c r="O669" s="2">
        <f t="shared" si="116"/>
        <v>2816046.2481</v>
      </c>
    </row>
    <row r="670" spans="1:15" x14ac:dyDescent="0.3">
      <c r="A670" s="50">
        <v>44499</v>
      </c>
      <c r="B670" s="2">
        <v>669</v>
      </c>
      <c r="C670" s="4">
        <v>1842660.5999999999</v>
      </c>
      <c r="D670" s="4">
        <f t="shared" si="110"/>
        <v>1186135.5</v>
      </c>
      <c r="E670" s="2">
        <f t="shared" si="111"/>
        <v>585695.1118806235</v>
      </c>
      <c r="F670" s="2">
        <f t="shared" si="112"/>
        <v>656525.09999999986</v>
      </c>
      <c r="G670" s="4">
        <f t="shared" si="113"/>
        <v>1303978.5</v>
      </c>
      <c r="H670" s="2">
        <f t="shared" si="117"/>
        <v>1489836.499635448</v>
      </c>
      <c r="I670" s="2">
        <f t="shared" si="118"/>
        <v>538682.09999999986</v>
      </c>
      <c r="J670" s="4">
        <f t="shared" si="115"/>
        <v>2559778.9649999999</v>
      </c>
      <c r="K670" s="2">
        <f t="shared" si="119"/>
        <v>2343006.6548154172</v>
      </c>
      <c r="L670" s="2">
        <f t="shared" si="120"/>
        <v>717118.36499999999</v>
      </c>
      <c r="N670" s="4">
        <f t="shared" si="114"/>
        <v>2254549.8657</v>
      </c>
      <c r="O670" s="2">
        <f t="shared" si="116"/>
        <v>411889.26570000011</v>
      </c>
    </row>
    <row r="671" spans="1:15" x14ac:dyDescent="0.3">
      <c r="A671" s="50">
        <v>44500</v>
      </c>
      <c r="B671" s="2">
        <v>670</v>
      </c>
      <c r="C671" s="4">
        <v>3988126.17</v>
      </c>
      <c r="D671" s="4">
        <f t="shared" si="110"/>
        <v>2915393.3849999998</v>
      </c>
      <c r="E671" s="2">
        <f t="shared" si="111"/>
        <v>889320.19963111891</v>
      </c>
      <c r="F671" s="2">
        <f t="shared" si="112"/>
        <v>1072732.7850000001</v>
      </c>
      <c r="G671" s="4">
        <f t="shared" si="113"/>
        <v>2120132.39</v>
      </c>
      <c r="H671" s="2">
        <f t="shared" si="117"/>
        <v>1725194.1151661184</v>
      </c>
      <c r="I671" s="2">
        <f t="shared" si="118"/>
        <v>1867993.7799999998</v>
      </c>
      <c r="J671" s="4">
        <f t="shared" si="115"/>
        <v>1975015.4175</v>
      </c>
      <c r="K671" s="2">
        <f t="shared" si="119"/>
        <v>1374701.4445322049</v>
      </c>
      <c r="L671" s="2">
        <f t="shared" si="120"/>
        <v>2013110.7524999999</v>
      </c>
      <c r="N671" s="4">
        <f t="shared" si="114"/>
        <v>1191694.1189999999</v>
      </c>
      <c r="O671" s="2">
        <f t="shared" si="116"/>
        <v>2796432.051</v>
      </c>
    </row>
    <row r="672" spans="1:15" x14ac:dyDescent="0.3">
      <c r="A672" s="50">
        <v>44501</v>
      </c>
      <c r="B672" s="2">
        <v>671</v>
      </c>
      <c r="C672" s="4">
        <v>6371954.4500000002</v>
      </c>
      <c r="D672" s="4">
        <f t="shared" si="110"/>
        <v>5180040.3100000005</v>
      </c>
      <c r="E672" s="2">
        <f t="shared" si="111"/>
        <v>1133890.4147107415</v>
      </c>
      <c r="F672" s="2">
        <f t="shared" si="112"/>
        <v>1191914.1399999997</v>
      </c>
      <c r="G672" s="4">
        <f t="shared" si="113"/>
        <v>4067580.4066666663</v>
      </c>
      <c r="H672" s="2">
        <f t="shared" si="117"/>
        <v>1740662.6035859175</v>
      </c>
      <c r="I672" s="2">
        <f t="shared" si="118"/>
        <v>2304374.0433333339</v>
      </c>
      <c r="J672" s="4">
        <f t="shared" si="115"/>
        <v>3183087.9050000003</v>
      </c>
      <c r="K672" s="2">
        <f t="shared" si="119"/>
        <v>2076671.7899139437</v>
      </c>
      <c r="L672" s="2">
        <f t="shared" si="120"/>
        <v>3188866.5449999999</v>
      </c>
      <c r="N672" s="4">
        <f t="shared" si="114"/>
        <v>2272520.5219500004</v>
      </c>
      <c r="O672" s="2">
        <f t="shared" si="116"/>
        <v>4099433.9280499998</v>
      </c>
    </row>
    <row r="673" spans="1:15" x14ac:dyDescent="0.3">
      <c r="A673" s="50">
        <v>44502</v>
      </c>
      <c r="B673" s="2">
        <v>672</v>
      </c>
      <c r="C673" s="4">
        <v>575960</v>
      </c>
      <c r="D673" s="4">
        <f t="shared" si="110"/>
        <v>3473957.2250000001</v>
      </c>
      <c r="E673" s="2">
        <f t="shared" si="111"/>
        <v>2215744.4836036083</v>
      </c>
      <c r="F673" s="2">
        <f t="shared" si="112"/>
        <v>2897997.2250000001</v>
      </c>
      <c r="G673" s="4">
        <f t="shared" si="113"/>
        <v>3645346.8733333335</v>
      </c>
      <c r="H673" s="2">
        <f t="shared" si="117"/>
        <v>2464459.1206387174</v>
      </c>
      <c r="I673" s="2">
        <f t="shared" si="118"/>
        <v>3069386.8733333335</v>
      </c>
      <c r="J673" s="4">
        <f t="shared" si="115"/>
        <v>3194675.3049999997</v>
      </c>
      <c r="K673" s="2">
        <f t="shared" si="119"/>
        <v>2323435.6749064988</v>
      </c>
      <c r="L673" s="2">
        <f t="shared" si="120"/>
        <v>2618715.3049999997</v>
      </c>
      <c r="N673" s="4">
        <f t="shared" si="114"/>
        <v>4314706.2184000006</v>
      </c>
      <c r="O673" s="2">
        <f t="shared" si="116"/>
        <v>3738746.2184000006</v>
      </c>
    </row>
    <row r="674" spans="1:15" x14ac:dyDescent="0.3">
      <c r="A674" s="50">
        <v>44503</v>
      </c>
      <c r="B674" s="2">
        <v>673</v>
      </c>
      <c r="C674" s="4">
        <v>6602507.5999999996</v>
      </c>
      <c r="D674" s="4">
        <f t="shared" si="110"/>
        <v>3589233.8</v>
      </c>
      <c r="E674" s="2">
        <f t="shared" si="111"/>
        <v>2956197.4654845148</v>
      </c>
      <c r="F674" s="2">
        <f t="shared" si="112"/>
        <v>3013273.8</v>
      </c>
      <c r="G674" s="4">
        <f t="shared" si="113"/>
        <v>4516807.3500000006</v>
      </c>
      <c r="H674" s="2">
        <f t="shared" si="117"/>
        <v>2521997.9541776963</v>
      </c>
      <c r="I674" s="2">
        <f t="shared" si="118"/>
        <v>2085700.2499999991</v>
      </c>
      <c r="J674" s="4">
        <f t="shared" si="115"/>
        <v>4384637.0549999997</v>
      </c>
      <c r="K674" s="2">
        <f t="shared" si="119"/>
        <v>2549416.8130511334</v>
      </c>
      <c r="L674" s="2">
        <f t="shared" si="120"/>
        <v>2217870.5449999999</v>
      </c>
      <c r="N674" s="4">
        <f t="shared" si="114"/>
        <v>3905854.0876500001</v>
      </c>
      <c r="O674" s="2">
        <f t="shared" si="116"/>
        <v>2696653.5123499995</v>
      </c>
    </row>
    <row r="675" spans="1:15" x14ac:dyDescent="0.3">
      <c r="A675" s="50">
        <v>44504</v>
      </c>
      <c r="B675" s="2">
        <v>674</v>
      </c>
      <c r="C675" s="4">
        <v>524112.30000000005</v>
      </c>
      <c r="D675" s="4">
        <f t="shared" si="110"/>
        <v>3563309.9499999997</v>
      </c>
      <c r="E675" s="2">
        <f t="shared" si="111"/>
        <v>3026263.4840287752</v>
      </c>
      <c r="F675" s="2">
        <f t="shared" si="112"/>
        <v>3039197.6499999994</v>
      </c>
      <c r="G675" s="4">
        <f t="shared" si="113"/>
        <v>2567526.6333333333</v>
      </c>
      <c r="H675" s="2">
        <f t="shared" si="117"/>
        <v>2445868.8605287857</v>
      </c>
      <c r="I675" s="2">
        <f t="shared" si="118"/>
        <v>2043414.3333333333</v>
      </c>
      <c r="J675" s="4">
        <f t="shared" si="115"/>
        <v>3518633.5875000004</v>
      </c>
      <c r="K675" s="2">
        <f t="shared" si="119"/>
        <v>2779957.1573196384</v>
      </c>
      <c r="L675" s="2">
        <f t="shared" si="120"/>
        <v>2994521.2875000006</v>
      </c>
      <c r="N675" s="4">
        <f t="shared" si="114"/>
        <v>3869972.2250000006</v>
      </c>
      <c r="O675" s="2">
        <f t="shared" si="116"/>
        <v>3345859.9250000007</v>
      </c>
    </row>
    <row r="676" spans="1:15" x14ac:dyDescent="0.3">
      <c r="A676" s="50">
        <v>44505</v>
      </c>
      <c r="B676" s="2">
        <v>675</v>
      </c>
      <c r="C676" s="4">
        <v>649600.6</v>
      </c>
      <c r="D676" s="4">
        <f t="shared" si="110"/>
        <v>586856.44999999995</v>
      </c>
      <c r="E676" s="2">
        <f t="shared" si="111"/>
        <v>2149495.194705578</v>
      </c>
      <c r="F676" s="2">
        <f t="shared" si="112"/>
        <v>62744.150000000023</v>
      </c>
      <c r="G676" s="4">
        <f t="shared" si="113"/>
        <v>2592073.4999999995</v>
      </c>
      <c r="H676" s="2">
        <f t="shared" si="117"/>
        <v>2024754.1939501839</v>
      </c>
      <c r="I676" s="2">
        <f t="shared" si="118"/>
        <v>1942472.8999999994</v>
      </c>
      <c r="J676" s="4">
        <f t="shared" si="115"/>
        <v>2088045.1249999998</v>
      </c>
      <c r="K676" s="2">
        <f t="shared" si="119"/>
        <v>2388142.5834638192</v>
      </c>
      <c r="L676" s="2">
        <f t="shared" si="120"/>
        <v>1438444.5249999999</v>
      </c>
      <c r="N676" s="4">
        <f t="shared" si="114"/>
        <v>3240404.7025000001</v>
      </c>
      <c r="O676" s="2">
        <f t="shared" si="116"/>
        <v>2590804.1025</v>
      </c>
    </row>
    <row r="677" spans="1:15" x14ac:dyDescent="0.3">
      <c r="A677" s="50">
        <v>44506</v>
      </c>
      <c r="B677" s="2">
        <v>676</v>
      </c>
      <c r="C677" s="4">
        <v>84473.44</v>
      </c>
      <c r="D677" s="4">
        <f t="shared" si="110"/>
        <v>367037.02</v>
      </c>
      <c r="E677" s="2">
        <f t="shared" si="111"/>
        <v>204669.2516007704</v>
      </c>
      <c r="F677" s="2">
        <f t="shared" si="112"/>
        <v>282563.58</v>
      </c>
      <c r="G677" s="4">
        <f t="shared" si="113"/>
        <v>419395.4466666666</v>
      </c>
      <c r="H677" s="2">
        <f t="shared" si="117"/>
        <v>1639198.5699782425</v>
      </c>
      <c r="I677" s="2">
        <f t="shared" si="118"/>
        <v>334922.0066666666</v>
      </c>
      <c r="J677" s="4">
        <f t="shared" si="115"/>
        <v>1965173.4849999999</v>
      </c>
      <c r="K677" s="2">
        <f t="shared" si="119"/>
        <v>2207502.1407936807</v>
      </c>
      <c r="L677" s="2">
        <f t="shared" si="120"/>
        <v>1880700.0449999999</v>
      </c>
      <c r="N677" s="4">
        <f t="shared" si="114"/>
        <v>1903397.8465</v>
      </c>
      <c r="O677" s="2">
        <f t="shared" si="116"/>
        <v>1818924.4065</v>
      </c>
    </row>
    <row r="678" spans="1:15" x14ac:dyDescent="0.3">
      <c r="A678" s="50">
        <v>44507</v>
      </c>
      <c r="B678" s="2">
        <v>677</v>
      </c>
      <c r="C678" s="4">
        <v>775383.98</v>
      </c>
      <c r="D678" s="4">
        <f t="shared" si="110"/>
        <v>429928.70999999996</v>
      </c>
      <c r="E678" s="2">
        <f t="shared" si="111"/>
        <v>315580.03763957357</v>
      </c>
      <c r="F678" s="2">
        <f t="shared" si="112"/>
        <v>345455.27</v>
      </c>
      <c r="G678" s="4">
        <f t="shared" si="113"/>
        <v>503152.67333333334</v>
      </c>
      <c r="H678" s="2">
        <f t="shared" si="117"/>
        <v>1148837.6157539231</v>
      </c>
      <c r="I678" s="2">
        <f t="shared" si="118"/>
        <v>272231.30666666664</v>
      </c>
      <c r="J678" s="4">
        <f t="shared" si="115"/>
        <v>508392.57999999996</v>
      </c>
      <c r="K678" s="2">
        <f t="shared" si="119"/>
        <v>1913413.0147285308</v>
      </c>
      <c r="L678" s="2">
        <f t="shared" si="120"/>
        <v>266991.40000000002</v>
      </c>
      <c r="N678" s="4">
        <f t="shared" si="114"/>
        <v>432675.57540000003</v>
      </c>
      <c r="O678" s="2">
        <f t="shared" si="116"/>
        <v>342708.40459999995</v>
      </c>
    </row>
    <row r="679" spans="1:15" x14ac:dyDescent="0.3">
      <c r="A679" s="50">
        <v>44508</v>
      </c>
      <c r="B679" s="2">
        <v>678</v>
      </c>
      <c r="C679" s="4">
        <v>1026405.66</v>
      </c>
      <c r="D679" s="4">
        <f t="shared" si="110"/>
        <v>900894.82000000007</v>
      </c>
      <c r="E679" s="2">
        <f t="shared" si="111"/>
        <v>259896.43565108633</v>
      </c>
      <c r="F679" s="2">
        <f t="shared" si="112"/>
        <v>125510.83999999997</v>
      </c>
      <c r="G679" s="4">
        <f t="shared" si="113"/>
        <v>628754.36</v>
      </c>
      <c r="H679" s="2">
        <f t="shared" si="117"/>
        <v>338826.00808810286</v>
      </c>
      <c r="I679" s="2">
        <f t="shared" si="118"/>
        <v>397651.30000000005</v>
      </c>
      <c r="J679" s="4">
        <f t="shared" si="115"/>
        <v>633965.92000000004</v>
      </c>
      <c r="K679" s="2">
        <f t="shared" si="119"/>
        <v>1207419.6316909364</v>
      </c>
      <c r="L679" s="2">
        <f t="shared" si="120"/>
        <v>392439.74</v>
      </c>
      <c r="N679" s="4">
        <f t="shared" si="114"/>
        <v>440256.4461</v>
      </c>
      <c r="O679" s="2">
        <f t="shared" si="116"/>
        <v>586149.21390000009</v>
      </c>
    </row>
    <row r="680" spans="1:15" x14ac:dyDescent="0.3">
      <c r="A680" s="50">
        <v>44509</v>
      </c>
      <c r="B680" s="2">
        <v>679</v>
      </c>
      <c r="C680" s="4">
        <v>2451882.63</v>
      </c>
      <c r="D680" s="4">
        <f t="shared" si="110"/>
        <v>1739144.145</v>
      </c>
      <c r="E680" s="2">
        <f t="shared" si="111"/>
        <v>511736.80684390909</v>
      </c>
      <c r="F680" s="2">
        <f t="shared" si="112"/>
        <v>712738.48499999987</v>
      </c>
      <c r="G680" s="4">
        <f t="shared" si="113"/>
        <v>1417890.7566666666</v>
      </c>
      <c r="H680" s="2">
        <f t="shared" si="117"/>
        <v>658628.78640412376</v>
      </c>
      <c r="I680" s="2">
        <f t="shared" si="118"/>
        <v>1033991.8733333333</v>
      </c>
      <c r="J680" s="4">
        <f t="shared" si="115"/>
        <v>1084536.4275</v>
      </c>
      <c r="K680" s="2">
        <f t="shared" si="119"/>
        <v>1186587.7184135399</v>
      </c>
      <c r="L680" s="2">
        <f t="shared" si="120"/>
        <v>1367346.2024999999</v>
      </c>
      <c r="N680" s="4">
        <f t="shared" si="114"/>
        <v>707475.92400000012</v>
      </c>
      <c r="O680" s="2">
        <f t="shared" si="116"/>
        <v>1744406.7059999998</v>
      </c>
    </row>
    <row r="681" spans="1:15" x14ac:dyDescent="0.3">
      <c r="A681" s="50">
        <v>44510</v>
      </c>
      <c r="B681" s="2">
        <v>680</v>
      </c>
      <c r="C681" s="4">
        <v>624098.07999999996</v>
      </c>
      <c r="D681" s="4">
        <f t="shared" si="110"/>
        <v>1537990.355</v>
      </c>
      <c r="E681" s="2">
        <f t="shared" si="111"/>
        <v>819510.59733989125</v>
      </c>
      <c r="F681" s="2">
        <f t="shared" si="112"/>
        <v>913892.27500000002</v>
      </c>
      <c r="G681" s="4">
        <f t="shared" si="113"/>
        <v>1367462.1233333333</v>
      </c>
      <c r="H681" s="2">
        <f t="shared" si="117"/>
        <v>770250.14366155711</v>
      </c>
      <c r="I681" s="2">
        <f t="shared" si="118"/>
        <v>743364.04333333333</v>
      </c>
      <c r="J681" s="4">
        <f t="shared" si="115"/>
        <v>1219442.5874999999</v>
      </c>
      <c r="K681" s="2">
        <f t="shared" si="119"/>
        <v>782522.21650679281</v>
      </c>
      <c r="L681" s="2">
        <f t="shared" si="120"/>
        <v>595344.50749999995</v>
      </c>
      <c r="N681" s="4">
        <f t="shared" si="114"/>
        <v>1448715.6753500002</v>
      </c>
      <c r="O681" s="2">
        <f t="shared" si="116"/>
        <v>824617.59535000019</v>
      </c>
    </row>
    <row r="682" spans="1:15" x14ac:dyDescent="0.3">
      <c r="A682" s="50">
        <v>44511</v>
      </c>
      <c r="B682" s="2">
        <v>681</v>
      </c>
      <c r="C682" s="4">
        <v>4253956</v>
      </c>
      <c r="D682" s="4">
        <f t="shared" si="110"/>
        <v>2439027.04</v>
      </c>
      <c r="E682" s="2">
        <f t="shared" si="111"/>
        <v>1436865.724441807</v>
      </c>
      <c r="F682" s="2">
        <f t="shared" si="112"/>
        <v>1814928.96</v>
      </c>
      <c r="G682" s="4">
        <f t="shared" si="113"/>
        <v>2443312.2366666668</v>
      </c>
      <c r="H682" s="2">
        <f t="shared" si="117"/>
        <v>1278040.1836064146</v>
      </c>
      <c r="I682" s="2">
        <f t="shared" si="118"/>
        <v>1810643.7633333332</v>
      </c>
      <c r="J682" s="4">
        <f t="shared" si="115"/>
        <v>2089085.5925</v>
      </c>
      <c r="K682" s="2">
        <f t="shared" si="119"/>
        <v>1328979.2653482286</v>
      </c>
      <c r="L682" s="2">
        <f t="shared" si="120"/>
        <v>2164870.4074999997</v>
      </c>
      <c r="N682" s="4">
        <f t="shared" si="114"/>
        <v>1525969.8723500001</v>
      </c>
      <c r="O682" s="2">
        <f t="shared" si="116"/>
        <v>2727986.1276500002</v>
      </c>
    </row>
    <row r="683" spans="1:15" x14ac:dyDescent="0.3">
      <c r="A683" s="50">
        <v>44512</v>
      </c>
      <c r="B683" s="2">
        <v>682</v>
      </c>
      <c r="C683" s="4">
        <v>707818.62000000011</v>
      </c>
      <c r="D683" s="4">
        <f t="shared" si="110"/>
        <v>2480887.31</v>
      </c>
      <c r="E683" s="2">
        <f t="shared" si="111"/>
        <v>1794120.9141672975</v>
      </c>
      <c r="F683" s="2">
        <f t="shared" si="112"/>
        <v>1773068.69</v>
      </c>
      <c r="G683" s="4">
        <f t="shared" si="113"/>
        <v>1861957.5666666667</v>
      </c>
      <c r="H683" s="2">
        <f t="shared" si="117"/>
        <v>1311876.2196223163</v>
      </c>
      <c r="I683" s="2">
        <f t="shared" si="118"/>
        <v>1154138.9466666665</v>
      </c>
      <c r="J683" s="4">
        <f t="shared" si="115"/>
        <v>2009438.8325</v>
      </c>
      <c r="K683" s="2">
        <f t="shared" si="119"/>
        <v>1466709.734316861</v>
      </c>
      <c r="L683" s="2">
        <f t="shared" si="120"/>
        <v>1301620.2124999999</v>
      </c>
      <c r="N683" s="4">
        <f t="shared" si="114"/>
        <v>2242213.0842000004</v>
      </c>
      <c r="O683" s="2">
        <f t="shared" si="116"/>
        <v>1534394.4642000003</v>
      </c>
    </row>
    <row r="684" spans="1:15" x14ac:dyDescent="0.3">
      <c r="A684" s="50">
        <v>44513</v>
      </c>
      <c r="B684" s="2">
        <v>683</v>
      </c>
      <c r="C684" s="4">
        <v>521437.4</v>
      </c>
      <c r="D684" s="4">
        <f t="shared" si="110"/>
        <v>614628.01</v>
      </c>
      <c r="E684" s="2">
        <f t="shared" si="111"/>
        <v>1255479.4043014979</v>
      </c>
      <c r="F684" s="2">
        <f t="shared" si="112"/>
        <v>93190.609999999986</v>
      </c>
      <c r="G684" s="4">
        <f t="shared" si="113"/>
        <v>1827737.34</v>
      </c>
      <c r="H684" s="2">
        <f t="shared" si="117"/>
        <v>1451078.5734704079</v>
      </c>
      <c r="I684" s="2">
        <f t="shared" si="118"/>
        <v>1306299.94</v>
      </c>
      <c r="J684" s="4">
        <f t="shared" si="115"/>
        <v>1526827.5250000001</v>
      </c>
      <c r="K684" s="2">
        <f t="shared" si="119"/>
        <v>1391592.9222401655</v>
      </c>
      <c r="L684" s="2">
        <f t="shared" si="120"/>
        <v>1005390.1250000001</v>
      </c>
      <c r="N684" s="4">
        <f t="shared" si="114"/>
        <v>2267431.2353000003</v>
      </c>
      <c r="O684" s="2">
        <f t="shared" si="116"/>
        <v>1745993.8353000004</v>
      </c>
    </row>
    <row r="685" spans="1:15" x14ac:dyDescent="0.3">
      <c r="A685" s="50">
        <v>44514</v>
      </c>
      <c r="B685" s="2">
        <v>684</v>
      </c>
      <c r="C685" s="4">
        <v>27299.58</v>
      </c>
      <c r="D685" s="4">
        <f t="shared" si="110"/>
        <v>274368.49</v>
      </c>
      <c r="E685" s="2">
        <f t="shared" si="111"/>
        <v>186718.41912457405</v>
      </c>
      <c r="F685" s="2">
        <f t="shared" si="112"/>
        <v>247068.90999999997</v>
      </c>
      <c r="G685" s="4">
        <f t="shared" si="113"/>
        <v>418851.8666666667</v>
      </c>
      <c r="H685" s="2">
        <f t="shared" si="117"/>
        <v>1031466.5020656659</v>
      </c>
      <c r="I685" s="2">
        <f t="shared" si="118"/>
        <v>391552.28666666668</v>
      </c>
      <c r="J685" s="4">
        <f t="shared" si="115"/>
        <v>1377627.9000000001</v>
      </c>
      <c r="K685" s="2">
        <f t="shared" si="119"/>
        <v>1517817.0948848957</v>
      </c>
      <c r="L685" s="2">
        <f t="shared" si="120"/>
        <v>1350328.3200000001</v>
      </c>
      <c r="N685" s="4">
        <f t="shared" si="114"/>
        <v>1425531.1348999999</v>
      </c>
      <c r="O685" s="2">
        <f t="shared" si="116"/>
        <v>1398231.5548999999</v>
      </c>
    </row>
    <row r="686" spans="1:15" x14ac:dyDescent="0.3">
      <c r="A686" s="50">
        <v>44515</v>
      </c>
      <c r="B686" s="2">
        <v>685</v>
      </c>
      <c r="C686" s="4">
        <v>3916404.8699999996</v>
      </c>
      <c r="D686" s="4">
        <f t="shared" si="110"/>
        <v>1971852.2249999999</v>
      </c>
      <c r="E686" s="2">
        <f t="shared" si="111"/>
        <v>1386060.6111323349</v>
      </c>
      <c r="F686" s="2">
        <f t="shared" si="112"/>
        <v>1944552.6449999998</v>
      </c>
      <c r="G686" s="4">
        <f t="shared" si="113"/>
        <v>1488380.6166666665</v>
      </c>
      <c r="H686" s="2">
        <f t="shared" si="117"/>
        <v>1607797.0955329724</v>
      </c>
      <c r="I686" s="2">
        <f t="shared" si="118"/>
        <v>2428024.2533333329</v>
      </c>
      <c r="J686" s="4">
        <f t="shared" si="115"/>
        <v>1293240.1174999999</v>
      </c>
      <c r="K686" s="2">
        <f t="shared" si="119"/>
        <v>1688890.4916829618</v>
      </c>
      <c r="L686" s="2">
        <f t="shared" si="120"/>
        <v>2623164.7524999995</v>
      </c>
      <c r="N686" s="4">
        <f t="shared" si="114"/>
        <v>396905.09870000003</v>
      </c>
      <c r="O686" s="2">
        <f t="shared" si="116"/>
        <v>3519499.7712999997</v>
      </c>
    </row>
    <row r="687" spans="1:15" x14ac:dyDescent="0.3">
      <c r="A687" s="50">
        <v>44516</v>
      </c>
      <c r="B687" s="2">
        <v>686</v>
      </c>
      <c r="C687" s="4">
        <v>379313.88</v>
      </c>
      <c r="D687" s="4">
        <f t="shared" si="110"/>
        <v>2147859.375</v>
      </c>
      <c r="E687" s="2">
        <f t="shared" si="111"/>
        <v>1858633.6590438271</v>
      </c>
      <c r="F687" s="2">
        <f t="shared" si="112"/>
        <v>1768545.4950000001</v>
      </c>
      <c r="G687" s="4">
        <f t="shared" si="113"/>
        <v>1441006.11</v>
      </c>
      <c r="H687" s="2">
        <f t="shared" si="117"/>
        <v>1546588.2191899214</v>
      </c>
      <c r="I687" s="2">
        <f t="shared" si="118"/>
        <v>1061692.23</v>
      </c>
      <c r="J687" s="4">
        <f t="shared" si="115"/>
        <v>1211113.9324999999</v>
      </c>
      <c r="K687" s="2">
        <f t="shared" si="119"/>
        <v>1613000.3503827057</v>
      </c>
      <c r="L687" s="2">
        <f t="shared" si="120"/>
        <v>831800.05249999987</v>
      </c>
      <c r="N687" s="4">
        <f t="shared" si="114"/>
        <v>1438860.1725499998</v>
      </c>
      <c r="O687" s="2">
        <f t="shared" si="116"/>
        <v>1059546.2925499999</v>
      </c>
    </row>
    <row r="688" spans="1:15" x14ac:dyDescent="0.3">
      <c r="A688" s="50">
        <v>44517</v>
      </c>
      <c r="B688" s="2">
        <v>687</v>
      </c>
      <c r="C688" s="4">
        <v>1358237.0999999999</v>
      </c>
      <c r="D688" s="4">
        <f t="shared" si="110"/>
        <v>868775.49</v>
      </c>
      <c r="E688" s="2">
        <f t="shared" si="111"/>
        <v>1297560.3715335536</v>
      </c>
      <c r="F688" s="2">
        <f t="shared" si="112"/>
        <v>489461.60999999987</v>
      </c>
      <c r="G688" s="4">
        <f t="shared" si="113"/>
        <v>1884651.95</v>
      </c>
      <c r="H688" s="2">
        <f t="shared" si="117"/>
        <v>1559872.2982259139</v>
      </c>
      <c r="I688" s="2">
        <f t="shared" si="118"/>
        <v>526414.85000000009</v>
      </c>
      <c r="J688" s="4">
        <f t="shared" si="115"/>
        <v>1420313.8574999999</v>
      </c>
      <c r="K688" s="2">
        <f t="shared" si="119"/>
        <v>1532981.1432070129</v>
      </c>
      <c r="L688" s="2">
        <f t="shared" si="120"/>
        <v>62076.757500000065</v>
      </c>
      <c r="N688" s="4">
        <f t="shared" si="114"/>
        <v>1875876.2245499999</v>
      </c>
      <c r="O688" s="2">
        <f t="shared" si="116"/>
        <v>517639.12455000007</v>
      </c>
    </row>
    <row r="689" spans="1:15" x14ac:dyDescent="0.3">
      <c r="A689" s="50">
        <v>44518</v>
      </c>
      <c r="B689" s="2">
        <v>688</v>
      </c>
      <c r="C689" s="4">
        <v>5035806.9300000006</v>
      </c>
      <c r="D689" s="4">
        <f t="shared" si="110"/>
        <v>3197022.0150000001</v>
      </c>
      <c r="E689" s="2">
        <f t="shared" si="111"/>
        <v>1345492.9638045959</v>
      </c>
      <c r="F689" s="2">
        <f t="shared" si="112"/>
        <v>1838784.9150000005</v>
      </c>
      <c r="G689" s="4">
        <f t="shared" si="113"/>
        <v>2257785.9700000002</v>
      </c>
      <c r="H689" s="2">
        <f t="shared" si="117"/>
        <v>1743722.4014295987</v>
      </c>
      <c r="I689" s="2">
        <f t="shared" si="118"/>
        <v>2778020.9600000004</v>
      </c>
      <c r="J689" s="4">
        <f t="shared" si="115"/>
        <v>2672440.6950000003</v>
      </c>
      <c r="K689" s="2">
        <f t="shared" si="119"/>
        <v>1813989.948336069</v>
      </c>
      <c r="L689" s="2">
        <f t="shared" si="120"/>
        <v>2363366.2350000003</v>
      </c>
      <c r="N689" s="4">
        <f t="shared" si="114"/>
        <v>1485413.1765000001</v>
      </c>
      <c r="O689" s="2">
        <f t="shared" si="116"/>
        <v>3550393.7535000006</v>
      </c>
    </row>
    <row r="690" spans="1:15" x14ac:dyDescent="0.3">
      <c r="A690" s="50">
        <v>44519</v>
      </c>
      <c r="B690" s="2">
        <v>689</v>
      </c>
      <c r="C690" s="4">
        <v>5863494.8400000008</v>
      </c>
      <c r="D690" s="4">
        <f t="shared" si="110"/>
        <v>5449650.8850000007</v>
      </c>
      <c r="E690" s="2">
        <f t="shared" si="111"/>
        <v>1332740.9318246366</v>
      </c>
      <c r="F690" s="2">
        <f t="shared" si="112"/>
        <v>413843.95500000007</v>
      </c>
      <c r="G690" s="4">
        <f t="shared" si="113"/>
        <v>4085846.2900000005</v>
      </c>
      <c r="H690" s="2">
        <f t="shared" si="117"/>
        <v>1928258.9224320946</v>
      </c>
      <c r="I690" s="2">
        <f t="shared" si="118"/>
        <v>1777648.5500000003</v>
      </c>
      <c r="J690" s="4">
        <f t="shared" si="115"/>
        <v>3159213.1875</v>
      </c>
      <c r="K690" s="2">
        <f t="shared" si="119"/>
        <v>1843528.1438011008</v>
      </c>
      <c r="L690" s="2">
        <f t="shared" si="120"/>
        <v>2704281.6525000008</v>
      </c>
      <c r="N690" s="4">
        <f t="shared" si="114"/>
        <v>2374859.8846500004</v>
      </c>
      <c r="O690" s="2">
        <f t="shared" si="116"/>
        <v>3488634.9553500004</v>
      </c>
    </row>
    <row r="691" spans="1:15" x14ac:dyDescent="0.3">
      <c r="A691" s="50">
        <v>44520</v>
      </c>
      <c r="B691" s="2">
        <v>690</v>
      </c>
      <c r="C691" s="4">
        <v>52061.4</v>
      </c>
      <c r="D691" s="4">
        <f t="shared" si="110"/>
        <v>2957778.1200000006</v>
      </c>
      <c r="E691" s="2">
        <f t="shared" si="111"/>
        <v>2075386.286450983</v>
      </c>
      <c r="F691" s="2">
        <f t="shared" si="112"/>
        <v>2905716.7200000007</v>
      </c>
      <c r="G691" s="4">
        <f t="shared" si="113"/>
        <v>3650454.3900000006</v>
      </c>
      <c r="H691" s="2">
        <f t="shared" si="117"/>
        <v>2818147.5553986151</v>
      </c>
      <c r="I691" s="2">
        <f t="shared" si="118"/>
        <v>3598392.9900000007</v>
      </c>
      <c r="J691" s="4">
        <f t="shared" si="115"/>
        <v>3077400.0675000004</v>
      </c>
      <c r="K691" s="2">
        <f t="shared" si="119"/>
        <v>2348146.438878898</v>
      </c>
      <c r="L691" s="2">
        <f t="shared" si="120"/>
        <v>3025338.6675000004</v>
      </c>
      <c r="N691" s="4">
        <f t="shared" si="114"/>
        <v>4504017.0172500005</v>
      </c>
      <c r="O691" s="2">
        <f t="shared" si="116"/>
        <v>4451955.6172500001</v>
      </c>
    </row>
    <row r="692" spans="1:15" x14ac:dyDescent="0.3">
      <c r="A692" s="50">
        <v>44521</v>
      </c>
      <c r="B692" s="2">
        <v>691</v>
      </c>
      <c r="C692" s="4">
        <v>1486833.06</v>
      </c>
      <c r="D692" s="4">
        <f t="shared" si="110"/>
        <v>769447.23</v>
      </c>
      <c r="E692" s="2">
        <f t="shared" si="111"/>
        <v>2116344.9725850876</v>
      </c>
      <c r="F692" s="2">
        <f t="shared" si="112"/>
        <v>717385.83000000007</v>
      </c>
      <c r="G692" s="4">
        <f t="shared" si="113"/>
        <v>2467463.1</v>
      </c>
      <c r="H692" s="2">
        <f t="shared" si="117"/>
        <v>2385379.1978878779</v>
      </c>
      <c r="I692" s="2">
        <f t="shared" si="118"/>
        <v>980630.04</v>
      </c>
      <c r="J692" s="4">
        <f t="shared" si="115"/>
        <v>3109549.0575000006</v>
      </c>
      <c r="K692" s="2">
        <f t="shared" si="119"/>
        <v>2484175.9437688445</v>
      </c>
      <c r="L692" s="2">
        <f t="shared" si="120"/>
        <v>1622715.9975000005</v>
      </c>
      <c r="N692" s="4">
        <f t="shared" si="114"/>
        <v>3734573.2974000005</v>
      </c>
      <c r="O692" s="2">
        <f t="shared" si="116"/>
        <v>2247740.2374000004</v>
      </c>
    </row>
    <row r="693" spans="1:15" x14ac:dyDescent="0.3">
      <c r="A693" s="50">
        <v>44522</v>
      </c>
      <c r="B693" s="2">
        <v>692</v>
      </c>
      <c r="C693" s="4">
        <v>444692.93</v>
      </c>
      <c r="D693" s="4">
        <f t="shared" si="110"/>
        <v>965762.995</v>
      </c>
      <c r="E693" s="2">
        <f t="shared" si="111"/>
        <v>626959.50496180099</v>
      </c>
      <c r="F693" s="2">
        <f t="shared" si="112"/>
        <v>521070.065</v>
      </c>
      <c r="G693" s="4">
        <f t="shared" si="113"/>
        <v>661195.79666666663</v>
      </c>
      <c r="H693" s="2">
        <f t="shared" si="117"/>
        <v>2156922.2576862019</v>
      </c>
      <c r="I693" s="2">
        <f t="shared" si="118"/>
        <v>216502.86666666664</v>
      </c>
      <c r="J693" s="4">
        <f t="shared" si="115"/>
        <v>1961770.5575000001</v>
      </c>
      <c r="K693" s="2">
        <f t="shared" si="119"/>
        <v>2313036.1565225404</v>
      </c>
      <c r="L693" s="2">
        <f t="shared" si="120"/>
        <v>1517077.6275000002</v>
      </c>
      <c r="N693" s="4">
        <f t="shared" si="114"/>
        <v>1811225.2629000002</v>
      </c>
      <c r="O693" s="2">
        <f t="shared" si="116"/>
        <v>1366532.3329000003</v>
      </c>
    </row>
    <row r="694" spans="1:15" x14ac:dyDescent="0.3">
      <c r="A694" s="50">
        <v>44523</v>
      </c>
      <c r="B694" s="2">
        <v>693</v>
      </c>
      <c r="C694" s="4">
        <v>647976.36</v>
      </c>
      <c r="D694" s="4">
        <f t="shared" si="110"/>
        <v>546334.64500000002</v>
      </c>
      <c r="E694" s="2">
        <f t="shared" si="111"/>
        <v>375396.49097137642</v>
      </c>
      <c r="F694" s="2">
        <f t="shared" si="112"/>
        <v>101641.71499999997</v>
      </c>
      <c r="G694" s="4">
        <f t="shared" si="113"/>
        <v>859834.1166666667</v>
      </c>
      <c r="H694" s="2">
        <f t="shared" si="117"/>
        <v>592562.92934031307</v>
      </c>
      <c r="I694" s="2">
        <f t="shared" si="118"/>
        <v>211857.75666666671</v>
      </c>
      <c r="J694" s="4">
        <f t="shared" si="115"/>
        <v>657890.9375</v>
      </c>
      <c r="K694" s="2">
        <f t="shared" si="119"/>
        <v>1876666.1988964055</v>
      </c>
      <c r="L694" s="2">
        <f t="shared" si="120"/>
        <v>9914.577500000014</v>
      </c>
      <c r="N694" s="4">
        <f t="shared" si="114"/>
        <v>822066.35125000007</v>
      </c>
      <c r="O694" s="2">
        <f t="shared" si="116"/>
        <v>174089.99125000008</v>
      </c>
    </row>
    <row r="695" spans="1:15" x14ac:dyDescent="0.3">
      <c r="A695" s="50">
        <v>44524</v>
      </c>
      <c r="B695" s="2">
        <v>694</v>
      </c>
      <c r="C695" s="4">
        <v>86134.56</v>
      </c>
      <c r="D695" s="4">
        <f t="shared" si="110"/>
        <v>367055.45999999996</v>
      </c>
      <c r="E695" s="2">
        <f t="shared" si="111"/>
        <v>211243.44993981611</v>
      </c>
      <c r="F695" s="2">
        <f t="shared" si="112"/>
        <v>280920.89999999997</v>
      </c>
      <c r="G695" s="4">
        <f t="shared" si="113"/>
        <v>392934.6166666667</v>
      </c>
      <c r="H695" s="2">
        <f t="shared" si="117"/>
        <v>248919.98386723053</v>
      </c>
      <c r="I695" s="2">
        <f t="shared" si="118"/>
        <v>306800.0566666667</v>
      </c>
      <c r="J695" s="4">
        <f t="shared" si="115"/>
        <v>666409.22750000004</v>
      </c>
      <c r="K695" s="2">
        <f t="shared" si="119"/>
        <v>1147992.6747362863</v>
      </c>
      <c r="L695" s="2">
        <f t="shared" si="120"/>
        <v>580274.66749999998</v>
      </c>
      <c r="N695" s="4">
        <f t="shared" si="114"/>
        <v>742063.70765</v>
      </c>
      <c r="O695" s="2">
        <f t="shared" si="116"/>
        <v>655929.14764999994</v>
      </c>
    </row>
    <row r="696" spans="1:15" x14ac:dyDescent="0.3">
      <c r="A696" s="50">
        <v>44525</v>
      </c>
      <c r="B696" s="2">
        <v>695</v>
      </c>
      <c r="C696" s="4">
        <v>68326.28</v>
      </c>
      <c r="D696" s="4">
        <f t="shared" si="110"/>
        <v>77230.42</v>
      </c>
      <c r="E696" s="2">
        <f t="shared" si="111"/>
        <v>198740.83094063684</v>
      </c>
      <c r="F696" s="2">
        <f t="shared" si="112"/>
        <v>8904.14</v>
      </c>
      <c r="G696" s="4">
        <f t="shared" si="113"/>
        <v>267479.06666666665</v>
      </c>
      <c r="H696" s="2">
        <f t="shared" si="117"/>
        <v>244043.58645373254</v>
      </c>
      <c r="I696" s="2">
        <f t="shared" si="118"/>
        <v>199152.78666666665</v>
      </c>
      <c r="J696" s="4">
        <f t="shared" si="115"/>
        <v>311782.53250000003</v>
      </c>
      <c r="K696" s="2">
        <f t="shared" si="119"/>
        <v>821220.50378257292</v>
      </c>
      <c r="L696" s="2">
        <f t="shared" si="120"/>
        <v>243456.25250000003</v>
      </c>
      <c r="N696" s="4">
        <f t="shared" si="114"/>
        <v>415037.00239999994</v>
      </c>
      <c r="O696" s="2">
        <f t="shared" si="116"/>
        <v>346710.72239999997</v>
      </c>
    </row>
    <row r="697" spans="1:15" x14ac:dyDescent="0.3">
      <c r="A697" s="50">
        <v>44526</v>
      </c>
      <c r="B697" s="2">
        <v>696</v>
      </c>
      <c r="C697" s="4">
        <v>64816.700000000004</v>
      </c>
      <c r="D697" s="4">
        <f t="shared" si="110"/>
        <v>66571.490000000005</v>
      </c>
      <c r="E697" s="2">
        <f t="shared" si="111"/>
        <v>6417.2812422278957</v>
      </c>
      <c r="F697" s="2">
        <f t="shared" si="112"/>
        <v>1754.7900000000009</v>
      </c>
      <c r="G697" s="4">
        <f t="shared" si="113"/>
        <v>73092.513333333336</v>
      </c>
      <c r="H697" s="2">
        <f t="shared" si="117"/>
        <v>211231.78130046066</v>
      </c>
      <c r="I697" s="2">
        <f t="shared" si="118"/>
        <v>8275.8133333333317</v>
      </c>
      <c r="J697" s="4">
        <f t="shared" si="115"/>
        <v>216813.47499999998</v>
      </c>
      <c r="K697" s="2">
        <f t="shared" si="119"/>
        <v>323724.78862491495</v>
      </c>
      <c r="L697" s="2">
        <f t="shared" si="120"/>
        <v>151996.77499999997</v>
      </c>
      <c r="N697" s="4">
        <f t="shared" si="114"/>
        <v>203773.9822</v>
      </c>
      <c r="O697" s="2">
        <f t="shared" si="116"/>
        <v>138957.28219999999</v>
      </c>
    </row>
    <row r="698" spans="1:15" x14ac:dyDescent="0.3">
      <c r="A698" s="50">
        <v>44527</v>
      </c>
      <c r="B698" s="2">
        <v>697</v>
      </c>
      <c r="C698" s="4">
        <v>1884.66</v>
      </c>
      <c r="D698" s="4">
        <f t="shared" si="110"/>
        <v>33350.68</v>
      </c>
      <c r="E698" s="2">
        <f t="shared" si="111"/>
        <v>22284.408255375551</v>
      </c>
      <c r="F698" s="2">
        <f t="shared" si="112"/>
        <v>31466.02</v>
      </c>
      <c r="G698" s="4">
        <f t="shared" si="113"/>
        <v>45009.21333333334</v>
      </c>
      <c r="H698" s="2">
        <f t="shared" si="117"/>
        <v>117742.72606496267</v>
      </c>
      <c r="I698" s="2">
        <f t="shared" si="118"/>
        <v>43124.553333333337</v>
      </c>
      <c r="J698" s="4">
        <f t="shared" si="115"/>
        <v>55290.55</v>
      </c>
      <c r="K698" s="2">
        <f t="shared" si="119"/>
        <v>324786.40878301545</v>
      </c>
      <c r="L698" s="2">
        <f t="shared" si="120"/>
        <v>53405.89</v>
      </c>
      <c r="N698" s="4">
        <f t="shared" si="114"/>
        <v>71068.392300000007</v>
      </c>
      <c r="O698" s="2">
        <f t="shared" si="116"/>
        <v>69183.732300000003</v>
      </c>
    </row>
    <row r="699" spans="1:15" x14ac:dyDescent="0.3">
      <c r="A699" s="50">
        <v>44528</v>
      </c>
      <c r="B699" s="2">
        <v>698</v>
      </c>
      <c r="C699" s="4">
        <v>1801109.2</v>
      </c>
      <c r="D699" s="4">
        <f t="shared" si="110"/>
        <v>901496.92999999993</v>
      </c>
      <c r="E699" s="2">
        <f t="shared" si="111"/>
        <v>636510.93735661497</v>
      </c>
      <c r="F699" s="2">
        <f t="shared" si="112"/>
        <v>899612.27</v>
      </c>
      <c r="G699" s="4">
        <f t="shared" si="113"/>
        <v>622603.52000000002</v>
      </c>
      <c r="H699" s="2">
        <f t="shared" si="117"/>
        <v>680882.7246006442</v>
      </c>
      <c r="I699" s="2">
        <f t="shared" si="118"/>
        <v>1178505.68</v>
      </c>
      <c r="J699" s="4">
        <f t="shared" si="115"/>
        <v>484034.20999999996</v>
      </c>
      <c r="K699" s="2">
        <f t="shared" si="119"/>
        <v>674520.69739592436</v>
      </c>
      <c r="L699" s="2">
        <f t="shared" si="120"/>
        <v>1317074.99</v>
      </c>
      <c r="N699" s="4">
        <f t="shared" si="114"/>
        <v>44506.574200000003</v>
      </c>
      <c r="O699" s="2">
        <f t="shared" si="116"/>
        <v>1756602.6258</v>
      </c>
    </row>
    <row r="700" spans="1:15" x14ac:dyDescent="0.3">
      <c r="A700" s="50">
        <v>44529</v>
      </c>
      <c r="B700" s="2">
        <v>699</v>
      </c>
      <c r="C700" s="4">
        <v>1125179</v>
      </c>
      <c r="D700" s="4">
        <f t="shared" si="110"/>
        <v>1463144.1</v>
      </c>
      <c r="E700" s="2">
        <f t="shared" si="111"/>
        <v>679530.22197418229</v>
      </c>
      <c r="F700" s="2">
        <f t="shared" si="112"/>
        <v>337965.10000000009</v>
      </c>
      <c r="G700" s="4">
        <f t="shared" si="113"/>
        <v>976057.62</v>
      </c>
      <c r="H700" s="2">
        <f t="shared" si="117"/>
        <v>686287.73141337885</v>
      </c>
      <c r="I700" s="2">
        <f t="shared" si="118"/>
        <v>149121.38</v>
      </c>
      <c r="J700" s="4">
        <f t="shared" si="115"/>
        <v>748247.39</v>
      </c>
      <c r="K700" s="2">
        <f t="shared" si="119"/>
        <v>689695.43578991899</v>
      </c>
      <c r="L700" s="2">
        <f t="shared" si="120"/>
        <v>376931.61</v>
      </c>
      <c r="N700" s="4">
        <f t="shared" si="114"/>
        <v>618469.92969999998</v>
      </c>
      <c r="O700" s="2">
        <f t="shared" si="116"/>
        <v>506709.07030000002</v>
      </c>
    </row>
    <row r="701" spans="1:15" x14ac:dyDescent="0.3">
      <c r="A701" s="50">
        <v>44530</v>
      </c>
      <c r="B701" s="2">
        <v>700</v>
      </c>
      <c r="C701" s="4">
        <v>546644.86</v>
      </c>
      <c r="D701" s="4">
        <f t="shared" si="110"/>
        <v>835911.92999999993</v>
      </c>
      <c r="E701" s="2">
        <f t="shared" si="111"/>
        <v>314559.88826008548</v>
      </c>
      <c r="F701" s="2">
        <f t="shared" si="112"/>
        <v>289267.06999999995</v>
      </c>
      <c r="G701" s="4">
        <f t="shared" si="113"/>
        <v>1157644.3533333333</v>
      </c>
      <c r="H701" s="2">
        <f t="shared" si="117"/>
        <v>771239.95501161565</v>
      </c>
      <c r="I701" s="2">
        <f t="shared" si="118"/>
        <v>610999.49333333329</v>
      </c>
      <c r="J701" s="4">
        <f t="shared" si="115"/>
        <v>868704.42999999993</v>
      </c>
      <c r="K701" s="2">
        <f t="shared" si="119"/>
        <v>704155.26051006129</v>
      </c>
      <c r="L701" s="2">
        <f t="shared" si="120"/>
        <v>322059.56999999995</v>
      </c>
      <c r="N701" s="4">
        <f t="shared" si="114"/>
        <v>1178843.1842</v>
      </c>
      <c r="O701" s="2">
        <f t="shared" si="116"/>
        <v>632198.32420000003</v>
      </c>
    </row>
    <row r="702" spans="1:15" x14ac:dyDescent="0.3">
      <c r="A702" s="50">
        <v>44531</v>
      </c>
      <c r="B702" s="2">
        <v>701</v>
      </c>
      <c r="C702" s="4">
        <v>972034.55999999994</v>
      </c>
      <c r="D702" s="4">
        <f t="shared" si="110"/>
        <v>759339.71</v>
      </c>
      <c r="E702" s="2">
        <f t="shared" si="111"/>
        <v>253884.36049007368</v>
      </c>
      <c r="F702" s="2">
        <f t="shared" si="112"/>
        <v>212694.84999999998</v>
      </c>
      <c r="G702" s="4">
        <f t="shared" si="113"/>
        <v>881286.14</v>
      </c>
      <c r="H702" s="2">
        <f t="shared" si="117"/>
        <v>366875.47504077852</v>
      </c>
      <c r="I702" s="2">
        <f t="shared" si="118"/>
        <v>90748.419999999925</v>
      </c>
      <c r="J702" s="4">
        <f t="shared" si="115"/>
        <v>1111241.905</v>
      </c>
      <c r="K702" s="2">
        <f t="shared" si="119"/>
        <v>707082.9193650533</v>
      </c>
      <c r="L702" s="2">
        <f t="shared" si="120"/>
        <v>139207.34500000009</v>
      </c>
      <c r="N702" s="4">
        <f t="shared" si="114"/>
        <v>1080074.7071</v>
      </c>
      <c r="O702" s="2">
        <f t="shared" si="116"/>
        <v>108040.14710000006</v>
      </c>
    </row>
    <row r="703" spans="1:15" x14ac:dyDescent="0.3">
      <c r="A703" s="50">
        <v>44532</v>
      </c>
      <c r="B703" s="2">
        <v>702</v>
      </c>
      <c r="C703" s="4">
        <v>1444017.12</v>
      </c>
      <c r="D703" s="4">
        <f t="shared" si="110"/>
        <v>1208025.8400000001</v>
      </c>
      <c r="E703" s="2">
        <f t="shared" si="111"/>
        <v>224645.25752011873</v>
      </c>
      <c r="F703" s="2">
        <f t="shared" si="112"/>
        <v>235991.28000000003</v>
      </c>
      <c r="G703" s="4">
        <f t="shared" si="113"/>
        <v>987565.51333333331</v>
      </c>
      <c r="H703" s="2">
        <f t="shared" si="117"/>
        <v>443434.97299103049</v>
      </c>
      <c r="I703" s="2">
        <f t="shared" si="118"/>
        <v>456451.6066666668</v>
      </c>
      <c r="J703" s="4">
        <f t="shared" si="115"/>
        <v>1021968.885</v>
      </c>
      <c r="K703" s="2">
        <f t="shared" si="119"/>
        <v>332905.09263690352</v>
      </c>
      <c r="L703" s="2">
        <f t="shared" si="120"/>
        <v>422048.2350000001</v>
      </c>
      <c r="N703" s="4">
        <f t="shared" si="114"/>
        <v>816427.9203</v>
      </c>
      <c r="O703" s="2">
        <f t="shared" si="116"/>
        <v>627589.19970000011</v>
      </c>
    </row>
    <row r="704" spans="1:15" x14ac:dyDescent="0.3">
      <c r="A704" s="50">
        <v>44533</v>
      </c>
      <c r="B704" s="2">
        <v>703</v>
      </c>
      <c r="C704" s="4">
        <v>2263567.7600000002</v>
      </c>
      <c r="D704" s="4">
        <f t="shared" si="110"/>
        <v>1853792.4400000002</v>
      </c>
      <c r="E704" s="2">
        <f t="shared" si="111"/>
        <v>334370.82492132956</v>
      </c>
      <c r="F704" s="2">
        <f t="shared" si="112"/>
        <v>409775.32000000007</v>
      </c>
      <c r="G704" s="4">
        <f t="shared" si="113"/>
        <v>1559873.1466666667</v>
      </c>
      <c r="H704" s="2">
        <f t="shared" si="117"/>
        <v>487089.81163485232</v>
      </c>
      <c r="I704" s="2">
        <f t="shared" si="118"/>
        <v>703694.61333333352</v>
      </c>
      <c r="J704" s="4">
        <f t="shared" si="115"/>
        <v>1306566.0750000002</v>
      </c>
      <c r="K704" s="2">
        <f t="shared" si="119"/>
        <v>551606.28832755086</v>
      </c>
      <c r="L704" s="2">
        <f t="shared" si="120"/>
        <v>957001.68500000006</v>
      </c>
      <c r="N704" s="4">
        <f t="shared" si="114"/>
        <v>1036562.9836</v>
      </c>
      <c r="O704" s="2">
        <f t="shared" si="116"/>
        <v>1227004.7764000003</v>
      </c>
    </row>
    <row r="705" spans="1:15" x14ac:dyDescent="0.3">
      <c r="A705" s="50">
        <v>44534</v>
      </c>
      <c r="B705" s="2">
        <v>704</v>
      </c>
      <c r="C705" s="4">
        <v>1873927</v>
      </c>
      <c r="D705" s="4">
        <f t="shared" si="110"/>
        <v>2068747.3800000001</v>
      </c>
      <c r="E705" s="2">
        <f t="shared" si="111"/>
        <v>320835.46666823392</v>
      </c>
      <c r="F705" s="2">
        <f t="shared" si="112"/>
        <v>194820.38000000012</v>
      </c>
      <c r="G705" s="4">
        <f t="shared" si="113"/>
        <v>1860503.9600000002</v>
      </c>
      <c r="H705" s="2">
        <f t="shared" si="117"/>
        <v>484325.77055317251</v>
      </c>
      <c r="I705" s="2">
        <f t="shared" si="118"/>
        <v>13423.039999999804</v>
      </c>
      <c r="J705" s="4">
        <f t="shared" si="115"/>
        <v>1638386.61</v>
      </c>
      <c r="K705" s="2">
        <f t="shared" si="119"/>
        <v>540563.33994795557</v>
      </c>
      <c r="L705" s="2">
        <f t="shared" si="120"/>
        <v>235540.3899999999</v>
      </c>
      <c r="N705" s="4">
        <f t="shared" si="114"/>
        <v>1614730.4212000002</v>
      </c>
      <c r="O705" s="2">
        <f t="shared" si="116"/>
        <v>259196.57879999978</v>
      </c>
    </row>
    <row r="706" spans="1:15" x14ac:dyDescent="0.3">
      <c r="A706" s="50">
        <v>44535</v>
      </c>
      <c r="B706" s="2">
        <v>705</v>
      </c>
      <c r="C706" s="4">
        <v>897245.44000000006</v>
      </c>
      <c r="D706" s="4">
        <f t="shared" si="110"/>
        <v>1385586.22</v>
      </c>
      <c r="E706" s="2">
        <f t="shared" si="111"/>
        <v>371773.92180890846</v>
      </c>
      <c r="F706" s="2">
        <f t="shared" si="112"/>
        <v>488340.77999999991</v>
      </c>
      <c r="G706" s="4">
        <f t="shared" si="113"/>
        <v>1678246.7333333334</v>
      </c>
      <c r="H706" s="2">
        <f t="shared" si="117"/>
        <v>606995.14194253937</v>
      </c>
      <c r="I706" s="2">
        <f t="shared" si="118"/>
        <v>781001.29333333333</v>
      </c>
      <c r="J706" s="4">
        <f t="shared" si="115"/>
        <v>1619689.3300000003</v>
      </c>
      <c r="K706" s="2">
        <f t="shared" si="119"/>
        <v>646409.58131805621</v>
      </c>
      <c r="L706" s="2">
        <f t="shared" si="120"/>
        <v>722443.89000000025</v>
      </c>
      <c r="N706" s="4">
        <f t="shared" si="114"/>
        <v>1952736.9646000003</v>
      </c>
      <c r="O706" s="2">
        <f t="shared" si="116"/>
        <v>1055491.5246000001</v>
      </c>
    </row>
    <row r="707" spans="1:15" x14ac:dyDescent="0.3">
      <c r="A707" s="50">
        <v>44536</v>
      </c>
      <c r="B707" s="2">
        <v>706</v>
      </c>
      <c r="C707" s="4">
        <v>1017556.0200000001</v>
      </c>
      <c r="D707" s="4">
        <f t="shared" si="110"/>
        <v>957400.7300000001</v>
      </c>
      <c r="E707" s="2">
        <f t="shared" si="111"/>
        <v>347919.08278074686</v>
      </c>
      <c r="F707" s="2">
        <f t="shared" si="112"/>
        <v>60155.290000000037</v>
      </c>
      <c r="G707" s="4">
        <f t="shared" si="113"/>
        <v>1262909.4866666666</v>
      </c>
      <c r="H707" s="2">
        <f t="shared" si="117"/>
        <v>472701.99273133732</v>
      </c>
      <c r="I707" s="2">
        <f t="shared" si="118"/>
        <v>245353.46666666644</v>
      </c>
      <c r="J707" s="4">
        <f t="shared" si="115"/>
        <v>1513074.0550000002</v>
      </c>
      <c r="K707" s="2">
        <f t="shared" si="119"/>
        <v>659316.84295617405</v>
      </c>
      <c r="L707" s="2">
        <f t="shared" si="120"/>
        <v>495518.03500000003</v>
      </c>
      <c r="N707" s="4">
        <f t="shared" si="114"/>
        <v>1632459.6446</v>
      </c>
      <c r="O707" s="2">
        <f t="shared" si="116"/>
        <v>614903.62459999986</v>
      </c>
    </row>
    <row r="708" spans="1:15" x14ac:dyDescent="0.3">
      <c r="A708" s="50">
        <v>44537</v>
      </c>
      <c r="B708" s="2">
        <v>707</v>
      </c>
      <c r="C708" s="4">
        <v>2673938.8199999998</v>
      </c>
      <c r="D708" s="4">
        <f t="shared" ref="D708:D771" si="121">AVERAGE(C707:C708)</f>
        <v>1845747.42</v>
      </c>
      <c r="E708" s="2">
        <f t="shared" si="111"/>
        <v>587162.52177269629</v>
      </c>
      <c r="F708" s="2">
        <f t="shared" si="112"/>
        <v>828191.39999999991</v>
      </c>
      <c r="G708" s="4">
        <f t="shared" si="113"/>
        <v>1529580.0933333335</v>
      </c>
      <c r="H708" s="2">
        <f t="shared" si="117"/>
        <v>812346.03445654945</v>
      </c>
      <c r="I708" s="2">
        <f t="shared" si="118"/>
        <v>1144358.7266666663</v>
      </c>
      <c r="J708" s="4">
        <f t="shared" si="115"/>
        <v>1615666.8199999998</v>
      </c>
      <c r="K708" s="2">
        <f t="shared" si="119"/>
        <v>696936.54634298407</v>
      </c>
      <c r="L708" s="2">
        <f t="shared" si="120"/>
        <v>1058272</v>
      </c>
      <c r="N708" s="4">
        <f t="shared" si="114"/>
        <v>1152419.4275000002</v>
      </c>
      <c r="O708" s="2">
        <f t="shared" si="116"/>
        <v>1521519.3924999996</v>
      </c>
    </row>
    <row r="709" spans="1:15" x14ac:dyDescent="0.3">
      <c r="A709" s="50">
        <v>44538</v>
      </c>
      <c r="B709" s="2">
        <v>708</v>
      </c>
      <c r="C709" s="4">
        <v>14508.15</v>
      </c>
      <c r="D709" s="4">
        <f t="shared" si="121"/>
        <v>1344223.4849999999</v>
      </c>
      <c r="E709" s="2">
        <f t="shared" ref="E709:E772" si="122">SQRT(SUMXMY2(C708:C709,D708:D709)/2)</f>
        <v>1107710.2209441154</v>
      </c>
      <c r="F709" s="2">
        <f t="shared" ref="F709:F772" si="123">ABS(D709-C709)</f>
        <v>1329715.335</v>
      </c>
      <c r="G709" s="4">
        <f t="shared" ref="G709:G772" si="124">AVERAGE(C707:C709)</f>
        <v>1235334.3299999998</v>
      </c>
      <c r="H709" s="2">
        <f t="shared" si="117"/>
        <v>976417.22309623659</v>
      </c>
      <c r="I709" s="2">
        <f t="shared" si="118"/>
        <v>1220826.18</v>
      </c>
      <c r="J709" s="4">
        <f t="shared" si="115"/>
        <v>1150812.1075000002</v>
      </c>
      <c r="K709" s="2">
        <f t="shared" si="119"/>
        <v>891429.97580050502</v>
      </c>
      <c r="L709" s="2">
        <f t="shared" si="120"/>
        <v>1136303.9575000003</v>
      </c>
      <c r="N709" s="4">
        <f t="shared" ref="N709:N772" si="125">($M$2*D708)+($M$3*C707)+($M$4*C706)</f>
        <v>1545975.9304000002</v>
      </c>
      <c r="O709" s="2">
        <f t="shared" si="116"/>
        <v>1531467.7804000003</v>
      </c>
    </row>
    <row r="710" spans="1:15" x14ac:dyDescent="0.3">
      <c r="A710" s="50">
        <v>44539</v>
      </c>
      <c r="B710" s="2">
        <v>709</v>
      </c>
      <c r="C710" s="4">
        <v>1550826</v>
      </c>
      <c r="D710" s="4">
        <f t="shared" si="121"/>
        <v>782667.07499999995</v>
      </c>
      <c r="E710" s="2">
        <f t="shared" si="122"/>
        <v>1085866.2454905112</v>
      </c>
      <c r="F710" s="2">
        <f t="shared" si="123"/>
        <v>768158.92500000005</v>
      </c>
      <c r="G710" s="4">
        <f t="shared" si="124"/>
        <v>1413090.99</v>
      </c>
      <c r="H710" s="2">
        <f t="shared" si="117"/>
        <v>969354.49141017662</v>
      </c>
      <c r="I710" s="2">
        <f t="shared" si="118"/>
        <v>137735.01</v>
      </c>
      <c r="J710" s="4">
        <f t="shared" ref="J710:J773" si="126">AVERAGE(C707:C710)</f>
        <v>1314207.2475000001</v>
      </c>
      <c r="K710" s="2">
        <f t="shared" si="119"/>
        <v>823506.65857342654</v>
      </c>
      <c r="L710" s="2">
        <f t="shared" si="120"/>
        <v>236618.75249999994</v>
      </c>
      <c r="N710" s="4">
        <f t="shared" si="125"/>
        <v>1418625.3295499999</v>
      </c>
      <c r="O710" s="2">
        <f t="shared" ref="O710:O773" si="127">ABS(N710-C710)</f>
        <v>132200.67045000009</v>
      </c>
    </row>
    <row r="711" spans="1:15" x14ac:dyDescent="0.3">
      <c r="A711" s="50">
        <v>44540</v>
      </c>
      <c r="B711" s="2">
        <v>710</v>
      </c>
      <c r="C711" s="4">
        <v>53022.39</v>
      </c>
      <c r="D711" s="4">
        <f t="shared" si="121"/>
        <v>801924.19499999995</v>
      </c>
      <c r="E711" s="2">
        <f t="shared" si="122"/>
        <v>758591.47358423879</v>
      </c>
      <c r="F711" s="2">
        <f t="shared" si="123"/>
        <v>748901.80499999993</v>
      </c>
      <c r="G711" s="4">
        <f t="shared" si="124"/>
        <v>539452.17999999993</v>
      </c>
      <c r="H711" s="2">
        <f t="shared" ref="H711:H774" si="128">SQRT(SUMXMY2(C709:C711,G709:G711)/3)</f>
        <v>762889.55848854396</v>
      </c>
      <c r="I711" s="2">
        <f t="shared" ref="I711:I774" si="129">ABS(G711-C711)</f>
        <v>486429.78999999992</v>
      </c>
      <c r="J711" s="4">
        <f t="shared" si="126"/>
        <v>1073073.8399999999</v>
      </c>
      <c r="K711" s="2">
        <f t="shared" si="119"/>
        <v>936432.01895491593</v>
      </c>
      <c r="L711" s="2">
        <f t="shared" si="120"/>
        <v>1020051.4499999998</v>
      </c>
      <c r="N711" s="4">
        <f t="shared" si="125"/>
        <v>1114249.3771500001</v>
      </c>
      <c r="O711" s="2">
        <f t="shared" si="127"/>
        <v>1061226.9871500002</v>
      </c>
    </row>
    <row r="712" spans="1:15" x14ac:dyDescent="0.3">
      <c r="A712" s="50">
        <v>44541</v>
      </c>
      <c r="B712" s="2">
        <v>711</v>
      </c>
      <c r="C712" s="4">
        <v>151697.65000000002</v>
      </c>
      <c r="D712" s="4">
        <f t="shared" si="121"/>
        <v>102360.02000000002</v>
      </c>
      <c r="E712" s="2">
        <f t="shared" si="122"/>
        <v>530701.47694644437</v>
      </c>
      <c r="F712" s="2">
        <f t="shared" si="123"/>
        <v>49337.630000000005</v>
      </c>
      <c r="G712" s="4">
        <f t="shared" si="124"/>
        <v>585182.01333333331</v>
      </c>
      <c r="H712" s="2">
        <f t="shared" si="128"/>
        <v>384488.21691249497</v>
      </c>
      <c r="I712" s="2">
        <f t="shared" si="129"/>
        <v>433484.36333333328</v>
      </c>
      <c r="J712" s="4">
        <f t="shared" si="126"/>
        <v>442513.54749999999</v>
      </c>
      <c r="K712" s="2">
        <f t="shared" si="119"/>
        <v>786170.1413737759</v>
      </c>
      <c r="L712" s="2">
        <f t="shared" si="120"/>
        <v>290815.89749999996</v>
      </c>
      <c r="N712" s="4">
        <f t="shared" si="125"/>
        <v>711071.86364999996</v>
      </c>
      <c r="O712" s="2">
        <f t="shared" si="127"/>
        <v>559374.21364999993</v>
      </c>
    </row>
    <row r="713" spans="1:15" x14ac:dyDescent="0.3">
      <c r="A713" s="50">
        <v>44542</v>
      </c>
      <c r="B713" s="2">
        <v>712</v>
      </c>
      <c r="C713" s="4">
        <v>1462270.74</v>
      </c>
      <c r="D713" s="4">
        <f t="shared" si="121"/>
        <v>806984.19500000007</v>
      </c>
      <c r="E713" s="2">
        <f t="shared" si="122"/>
        <v>464669.05308620125</v>
      </c>
      <c r="F713" s="2">
        <f t="shared" si="123"/>
        <v>655286.54499999993</v>
      </c>
      <c r="G713" s="4">
        <f t="shared" si="124"/>
        <v>555663.59333333338</v>
      </c>
      <c r="H713" s="2">
        <f t="shared" si="128"/>
        <v>644582.33305012423</v>
      </c>
      <c r="I713" s="2">
        <f t="shared" si="129"/>
        <v>906607.14666666661</v>
      </c>
      <c r="J713" s="4">
        <f t="shared" si="126"/>
        <v>804454.19500000007</v>
      </c>
      <c r="K713" s="2">
        <f t="shared" ref="K713:K776" si="130">SQRT(SUMXMY2(C710:C713,J710:J713)/4)</f>
        <v>635175.15060733957</v>
      </c>
      <c r="L713" s="2">
        <f t="shared" ref="L713:L776" si="131">ABS(J713-C713)</f>
        <v>657816.54499999993</v>
      </c>
      <c r="N713" s="4">
        <f t="shared" si="125"/>
        <v>415595.39630000002</v>
      </c>
      <c r="O713" s="2">
        <f t="shared" si="127"/>
        <v>1046675.3437</v>
      </c>
    </row>
    <row r="714" spans="1:15" x14ac:dyDescent="0.3">
      <c r="A714" s="50">
        <v>44543</v>
      </c>
      <c r="B714" s="2">
        <v>713</v>
      </c>
      <c r="C714" s="4">
        <v>3530797.4099999997</v>
      </c>
      <c r="D714" s="4">
        <f t="shared" si="121"/>
        <v>2496534.0749999997</v>
      </c>
      <c r="E714" s="2">
        <f t="shared" si="122"/>
        <v>865765.87544883031</v>
      </c>
      <c r="F714" s="2">
        <f t="shared" si="123"/>
        <v>1034263.335</v>
      </c>
      <c r="G714" s="4">
        <f t="shared" si="124"/>
        <v>1714921.9333333333</v>
      </c>
      <c r="H714" s="2">
        <f t="shared" si="128"/>
        <v>1198227.71325</v>
      </c>
      <c r="I714" s="2">
        <f t="shared" si="129"/>
        <v>1815875.4766666663</v>
      </c>
      <c r="J714" s="4">
        <f t="shared" si="126"/>
        <v>1299447.0474999999</v>
      </c>
      <c r="K714" s="2">
        <f t="shared" si="130"/>
        <v>1278351.075995015</v>
      </c>
      <c r="L714" s="2">
        <f t="shared" si="131"/>
        <v>2231350.3624999998</v>
      </c>
      <c r="N714" s="4">
        <f t="shared" si="125"/>
        <v>569031.07795000006</v>
      </c>
      <c r="O714" s="2">
        <f t="shared" si="127"/>
        <v>2961766.3320499994</v>
      </c>
    </row>
    <row r="715" spans="1:15" x14ac:dyDescent="0.3">
      <c r="A715" s="50">
        <v>44544</v>
      </c>
      <c r="B715" s="2">
        <v>714</v>
      </c>
      <c r="C715" s="4">
        <v>280081.08</v>
      </c>
      <c r="D715" s="4">
        <f t="shared" si="121"/>
        <v>1905439.2449999999</v>
      </c>
      <c r="E715" s="2">
        <f t="shared" si="122"/>
        <v>1362257.2830888974</v>
      </c>
      <c r="F715" s="2">
        <f t="shared" si="123"/>
        <v>1625358.1649999998</v>
      </c>
      <c r="G715" s="4">
        <f t="shared" si="124"/>
        <v>1757716.41</v>
      </c>
      <c r="H715" s="2">
        <f t="shared" si="128"/>
        <v>1449453.510075513</v>
      </c>
      <c r="I715" s="2">
        <f t="shared" si="129"/>
        <v>1477635.3299999998</v>
      </c>
      <c r="J715" s="4">
        <f t="shared" si="126"/>
        <v>1356211.72</v>
      </c>
      <c r="K715" s="2">
        <f t="shared" si="130"/>
        <v>1289794.3719533512</v>
      </c>
      <c r="L715" s="2">
        <f t="shared" si="131"/>
        <v>1076130.6399999999</v>
      </c>
      <c r="N715" s="4">
        <f t="shared" si="125"/>
        <v>1866901.0946499999</v>
      </c>
      <c r="O715" s="2">
        <f t="shared" si="127"/>
        <v>1586820.0146499998</v>
      </c>
    </row>
    <row r="716" spans="1:15" x14ac:dyDescent="0.3">
      <c r="A716" s="50">
        <v>44545</v>
      </c>
      <c r="B716" s="2">
        <v>715</v>
      </c>
      <c r="C716" s="4">
        <v>2006508.8399999999</v>
      </c>
      <c r="D716" s="4">
        <f t="shared" si="121"/>
        <v>1143294.96</v>
      </c>
      <c r="E716" s="2">
        <f t="shared" si="122"/>
        <v>1301331.5041058564</v>
      </c>
      <c r="F716" s="2">
        <f t="shared" si="123"/>
        <v>863213.87999999989</v>
      </c>
      <c r="G716" s="4">
        <f t="shared" si="124"/>
        <v>1939129.11</v>
      </c>
      <c r="H716" s="2">
        <f t="shared" si="128"/>
        <v>1352201.9010042441</v>
      </c>
      <c r="I716" s="2">
        <f t="shared" si="129"/>
        <v>67379.729999999749</v>
      </c>
      <c r="J716" s="4">
        <f t="shared" si="126"/>
        <v>1819914.5174999998</v>
      </c>
      <c r="K716" s="2">
        <f t="shared" si="130"/>
        <v>1284963.1942822975</v>
      </c>
      <c r="L716" s="2">
        <f t="shared" si="131"/>
        <v>186594.32250000001</v>
      </c>
      <c r="N716" s="4">
        <f t="shared" si="125"/>
        <v>1986731.5720499998</v>
      </c>
      <c r="O716" s="2">
        <f t="shared" si="127"/>
        <v>19777.267950000009</v>
      </c>
    </row>
    <row r="717" spans="1:15" x14ac:dyDescent="0.3">
      <c r="A717" s="50">
        <v>44546</v>
      </c>
      <c r="B717" s="2">
        <v>716</v>
      </c>
      <c r="C717" s="4">
        <v>39313.120000000003</v>
      </c>
      <c r="D717" s="4">
        <f t="shared" si="121"/>
        <v>1022910.98</v>
      </c>
      <c r="E717" s="2">
        <f t="shared" si="122"/>
        <v>925365.59067787742</v>
      </c>
      <c r="F717" s="2">
        <f t="shared" si="123"/>
        <v>983597.86</v>
      </c>
      <c r="G717" s="4">
        <f t="shared" si="124"/>
        <v>775301.01333333331</v>
      </c>
      <c r="H717" s="2">
        <f t="shared" si="128"/>
        <v>953873.5722677157</v>
      </c>
      <c r="I717" s="2">
        <f t="shared" si="129"/>
        <v>735987.89333333331</v>
      </c>
      <c r="J717" s="4">
        <f t="shared" si="126"/>
        <v>1464175.1125</v>
      </c>
      <c r="K717" s="2">
        <f t="shared" si="130"/>
        <v>1431959.3860717553</v>
      </c>
      <c r="L717" s="2">
        <f t="shared" si="131"/>
        <v>1424861.9924999999</v>
      </c>
      <c r="N717" s="4">
        <f t="shared" si="125"/>
        <v>1573591.9722</v>
      </c>
      <c r="O717" s="2">
        <f t="shared" si="127"/>
        <v>1534278.8521999998</v>
      </c>
    </row>
    <row r="718" spans="1:15" x14ac:dyDescent="0.3">
      <c r="A718" s="50">
        <v>44547</v>
      </c>
      <c r="B718" s="2">
        <v>717</v>
      </c>
      <c r="C718" s="4">
        <v>1235561.2</v>
      </c>
      <c r="D718" s="4">
        <f t="shared" si="121"/>
        <v>637437.16</v>
      </c>
      <c r="E718" s="2">
        <f t="shared" si="122"/>
        <v>814007.71415954677</v>
      </c>
      <c r="F718" s="2">
        <f t="shared" si="123"/>
        <v>598124.03999999992</v>
      </c>
      <c r="G718" s="4">
        <f t="shared" si="124"/>
        <v>1093794.3866666667</v>
      </c>
      <c r="H718" s="2">
        <f t="shared" si="128"/>
        <v>434479.01234727824</v>
      </c>
      <c r="I718" s="2">
        <f t="shared" si="129"/>
        <v>141766.81333333324</v>
      </c>
      <c r="J718" s="4">
        <f t="shared" si="126"/>
        <v>890366.06</v>
      </c>
      <c r="K718" s="2">
        <f t="shared" si="130"/>
        <v>914093.26355229376</v>
      </c>
      <c r="L718" s="2">
        <f t="shared" si="131"/>
        <v>345195.1399999999</v>
      </c>
      <c r="N718" s="4">
        <f t="shared" si="125"/>
        <v>967684.1666</v>
      </c>
      <c r="O718" s="2">
        <f t="shared" si="127"/>
        <v>267877.03339999996</v>
      </c>
    </row>
    <row r="719" spans="1:15" x14ac:dyDescent="0.3">
      <c r="A719" s="50">
        <v>44548</v>
      </c>
      <c r="B719" s="2">
        <v>718</v>
      </c>
      <c r="C719" s="4">
        <v>59775.28</v>
      </c>
      <c r="D719" s="4">
        <f t="shared" si="121"/>
        <v>647668.24</v>
      </c>
      <c r="E719" s="2">
        <f t="shared" si="122"/>
        <v>593030.56398615881</v>
      </c>
      <c r="F719" s="2">
        <f t="shared" si="123"/>
        <v>587892.96</v>
      </c>
      <c r="G719" s="4">
        <f t="shared" si="124"/>
        <v>444883.20000000001</v>
      </c>
      <c r="H719" s="2">
        <f t="shared" si="128"/>
        <v>486512.80166187219</v>
      </c>
      <c r="I719" s="2">
        <f t="shared" si="129"/>
        <v>385107.92000000004</v>
      </c>
      <c r="J719" s="4">
        <f t="shared" si="126"/>
        <v>835289.61</v>
      </c>
      <c r="K719" s="2">
        <f t="shared" si="130"/>
        <v>834510.53012758214</v>
      </c>
      <c r="L719" s="2">
        <f t="shared" si="131"/>
        <v>775514.33</v>
      </c>
      <c r="N719" s="4">
        <f t="shared" si="125"/>
        <v>872839.28520000004</v>
      </c>
      <c r="O719" s="2">
        <f t="shared" si="127"/>
        <v>813064.00520000001</v>
      </c>
    </row>
    <row r="720" spans="1:15" x14ac:dyDescent="0.3">
      <c r="A720" s="50">
        <v>44549</v>
      </c>
      <c r="B720" s="2">
        <v>719</v>
      </c>
      <c r="C720" s="4">
        <v>974583.56</v>
      </c>
      <c r="D720" s="4">
        <f t="shared" si="121"/>
        <v>517179.42000000004</v>
      </c>
      <c r="E720" s="2">
        <f t="shared" si="122"/>
        <v>526705.17355855787</v>
      </c>
      <c r="F720" s="2">
        <f t="shared" si="123"/>
        <v>457404.14</v>
      </c>
      <c r="G720" s="4">
        <f t="shared" si="124"/>
        <v>756640.01333333331</v>
      </c>
      <c r="H720" s="2">
        <f t="shared" si="128"/>
        <v>268269.34782233328</v>
      </c>
      <c r="I720" s="2">
        <f t="shared" si="129"/>
        <v>217943.54666666675</v>
      </c>
      <c r="J720" s="4">
        <f t="shared" si="126"/>
        <v>577308.29</v>
      </c>
      <c r="K720" s="2">
        <f t="shared" si="130"/>
        <v>852736.9903052774</v>
      </c>
      <c r="L720" s="2">
        <f t="shared" si="131"/>
        <v>397275.27</v>
      </c>
      <c r="N720" s="4">
        <f t="shared" si="125"/>
        <v>578498.33919999993</v>
      </c>
      <c r="O720" s="2">
        <f t="shared" si="127"/>
        <v>396085.22080000013</v>
      </c>
    </row>
    <row r="721" spans="1:15" x14ac:dyDescent="0.3">
      <c r="A721" s="50">
        <v>44550</v>
      </c>
      <c r="B721" s="2">
        <v>720</v>
      </c>
      <c r="C721" s="4">
        <v>1769856.24</v>
      </c>
      <c r="D721" s="4">
        <f t="shared" si="121"/>
        <v>1372219.9</v>
      </c>
      <c r="E721" s="2">
        <f t="shared" si="122"/>
        <v>428563.4178145256</v>
      </c>
      <c r="F721" s="2">
        <f t="shared" si="123"/>
        <v>397636.34000000008</v>
      </c>
      <c r="G721" s="4">
        <f t="shared" si="124"/>
        <v>934738.36</v>
      </c>
      <c r="H721" s="2">
        <f t="shared" si="128"/>
        <v>545658.43195050943</v>
      </c>
      <c r="I721" s="2">
        <f t="shared" si="129"/>
        <v>835117.88</v>
      </c>
      <c r="J721" s="4">
        <f t="shared" si="126"/>
        <v>1009944.0700000001</v>
      </c>
      <c r="K721" s="2">
        <f t="shared" si="130"/>
        <v>603298.49721813702</v>
      </c>
      <c r="L721" s="2">
        <f t="shared" si="131"/>
        <v>759912.16999999993</v>
      </c>
      <c r="N721" s="4">
        <f t="shared" si="125"/>
        <v>624908.95620000002</v>
      </c>
      <c r="O721" s="2">
        <f t="shared" si="127"/>
        <v>1144947.2837999999</v>
      </c>
    </row>
    <row r="722" spans="1:15" x14ac:dyDescent="0.3">
      <c r="A722" s="50">
        <v>44551</v>
      </c>
      <c r="B722" s="2">
        <v>721</v>
      </c>
      <c r="C722" s="4">
        <v>143020.71</v>
      </c>
      <c r="D722" s="4">
        <f t="shared" si="121"/>
        <v>956438.47499999998</v>
      </c>
      <c r="E722" s="2">
        <f t="shared" si="122"/>
        <v>640219.93069030228</v>
      </c>
      <c r="F722" s="2">
        <f t="shared" si="123"/>
        <v>813417.76500000001</v>
      </c>
      <c r="G722" s="4">
        <f t="shared" si="124"/>
        <v>962486.83666666655</v>
      </c>
      <c r="H722" s="2">
        <f t="shared" si="128"/>
        <v>687130.74830132327</v>
      </c>
      <c r="I722" s="2">
        <f t="shared" si="129"/>
        <v>819466.12666666659</v>
      </c>
      <c r="J722" s="4">
        <f t="shared" si="126"/>
        <v>736808.94750000001</v>
      </c>
      <c r="K722" s="2">
        <f t="shared" si="130"/>
        <v>649865.58096586156</v>
      </c>
      <c r="L722" s="2">
        <f t="shared" si="131"/>
        <v>593788.23750000005</v>
      </c>
      <c r="N722" s="4">
        <f t="shared" si="125"/>
        <v>1039742.0862</v>
      </c>
      <c r="O722" s="2">
        <f t="shared" si="127"/>
        <v>896721.37620000006</v>
      </c>
    </row>
    <row r="723" spans="1:15" x14ac:dyDescent="0.3">
      <c r="A723" s="50">
        <v>44552</v>
      </c>
      <c r="B723" s="2">
        <v>722</v>
      </c>
      <c r="C723" s="4">
        <v>4365711.84</v>
      </c>
      <c r="D723" s="4">
        <f t="shared" si="121"/>
        <v>2254366.2749999999</v>
      </c>
      <c r="E723" s="2">
        <f t="shared" si="122"/>
        <v>1599910.7092682959</v>
      </c>
      <c r="F723" s="2">
        <f t="shared" si="123"/>
        <v>2111345.5649999999</v>
      </c>
      <c r="G723" s="4">
        <f t="shared" si="124"/>
        <v>2092862.93</v>
      </c>
      <c r="H723" s="2">
        <f t="shared" si="128"/>
        <v>1475893.9408527918</v>
      </c>
      <c r="I723" s="2">
        <f t="shared" si="129"/>
        <v>2272848.91</v>
      </c>
      <c r="J723" s="4">
        <f t="shared" si="126"/>
        <v>1813293.0874999999</v>
      </c>
      <c r="K723" s="2">
        <f t="shared" si="130"/>
        <v>1378651.5246224019</v>
      </c>
      <c r="L723" s="2">
        <f t="shared" si="131"/>
        <v>2552418.7524999999</v>
      </c>
      <c r="N723" s="4">
        <f t="shared" si="125"/>
        <v>1049906.34785</v>
      </c>
      <c r="O723" s="2">
        <f t="shared" si="127"/>
        <v>3315805.4921499998</v>
      </c>
    </row>
    <row r="724" spans="1:15" x14ac:dyDescent="0.3">
      <c r="A724" s="50">
        <v>44553</v>
      </c>
      <c r="B724" s="2">
        <v>723</v>
      </c>
      <c r="C724" s="4">
        <v>2152497.67</v>
      </c>
      <c r="D724" s="4">
        <f t="shared" si="121"/>
        <v>3259104.7549999999</v>
      </c>
      <c r="E724" s="2">
        <f t="shared" si="122"/>
        <v>1685579.9202970718</v>
      </c>
      <c r="F724" s="2">
        <f t="shared" si="123"/>
        <v>1106607.085</v>
      </c>
      <c r="G724" s="4">
        <f t="shared" si="124"/>
        <v>2220410.0733333332</v>
      </c>
      <c r="H724" s="2">
        <f t="shared" si="128"/>
        <v>1395466.349166563</v>
      </c>
      <c r="I724" s="2">
        <f t="shared" si="129"/>
        <v>67912.403333333321</v>
      </c>
      <c r="J724" s="4">
        <f t="shared" si="126"/>
        <v>2107771.6150000002</v>
      </c>
      <c r="K724" s="2">
        <f t="shared" si="130"/>
        <v>1364449.7870219506</v>
      </c>
      <c r="L724" s="2">
        <f t="shared" si="131"/>
        <v>44726.054999999702</v>
      </c>
      <c r="N724" s="4">
        <f t="shared" si="125"/>
        <v>1915526.0551500001</v>
      </c>
      <c r="O724" s="2">
        <f t="shared" si="127"/>
        <v>236971.61484999978</v>
      </c>
    </row>
    <row r="725" spans="1:15" x14ac:dyDescent="0.3">
      <c r="A725" s="50">
        <v>44554</v>
      </c>
      <c r="B725" s="2">
        <v>724</v>
      </c>
      <c r="C725" s="4">
        <v>996087.2</v>
      </c>
      <c r="D725" s="4">
        <f t="shared" si="121"/>
        <v>1574292.4350000001</v>
      </c>
      <c r="E725" s="2">
        <f t="shared" si="122"/>
        <v>882864.80685142335</v>
      </c>
      <c r="F725" s="2">
        <f t="shared" si="123"/>
        <v>578205.2350000001</v>
      </c>
      <c r="G725" s="4">
        <f t="shared" si="124"/>
        <v>2504765.5699999998</v>
      </c>
      <c r="H725" s="2">
        <f t="shared" si="128"/>
        <v>1575496.184944133</v>
      </c>
      <c r="I725" s="2">
        <f t="shared" si="129"/>
        <v>1508678.3699999999</v>
      </c>
      <c r="J725" s="4">
        <f t="shared" si="126"/>
        <v>1914329.355</v>
      </c>
      <c r="K725" s="2">
        <f t="shared" si="130"/>
        <v>1388577.9627303898</v>
      </c>
      <c r="L725" s="2">
        <f t="shared" si="131"/>
        <v>918242.15500000003</v>
      </c>
      <c r="N725" s="4">
        <f t="shared" si="125"/>
        <v>2695293.0444499999</v>
      </c>
      <c r="O725" s="2">
        <f t="shared" si="127"/>
        <v>1699205.84445</v>
      </c>
    </row>
    <row r="726" spans="1:15" x14ac:dyDescent="0.3">
      <c r="A726" s="50">
        <v>44555</v>
      </c>
      <c r="B726" s="2">
        <v>725</v>
      </c>
      <c r="C726" s="4">
        <v>98444.34</v>
      </c>
      <c r="D726" s="4">
        <f t="shared" si="121"/>
        <v>547265.77</v>
      </c>
      <c r="E726" s="2">
        <f t="shared" si="122"/>
        <v>517572.20260010596</v>
      </c>
      <c r="F726" s="2">
        <f t="shared" si="123"/>
        <v>448821.43000000005</v>
      </c>
      <c r="G726" s="4">
        <f t="shared" si="124"/>
        <v>1082343.07</v>
      </c>
      <c r="H726" s="2">
        <f t="shared" si="128"/>
        <v>1040637.5016511079</v>
      </c>
      <c r="I726" s="2">
        <f t="shared" si="129"/>
        <v>983898.7300000001</v>
      </c>
      <c r="J726" s="4">
        <f t="shared" si="126"/>
        <v>1903185.2625</v>
      </c>
      <c r="K726" s="2">
        <f t="shared" si="130"/>
        <v>1629194.6139638072</v>
      </c>
      <c r="L726" s="2">
        <f t="shared" si="131"/>
        <v>1804740.9224999999</v>
      </c>
      <c r="N726" s="4">
        <f t="shared" si="125"/>
        <v>2252007.2799499999</v>
      </c>
      <c r="O726" s="2">
        <f t="shared" si="127"/>
        <v>2153562.93995</v>
      </c>
    </row>
    <row r="727" spans="1:15" x14ac:dyDescent="0.3">
      <c r="A727" s="50">
        <v>44556</v>
      </c>
      <c r="B727" s="2">
        <v>726</v>
      </c>
      <c r="C727" s="4">
        <v>927533.82000000007</v>
      </c>
      <c r="D727" s="4">
        <f t="shared" si="121"/>
        <v>512989.08</v>
      </c>
      <c r="E727" s="2">
        <f t="shared" si="122"/>
        <v>432023.15764835605</v>
      </c>
      <c r="F727" s="2">
        <f t="shared" si="123"/>
        <v>414544.74000000005</v>
      </c>
      <c r="G727" s="4">
        <f t="shared" si="124"/>
        <v>674021.78666666674</v>
      </c>
      <c r="H727" s="2">
        <f t="shared" si="128"/>
        <v>1050148.4793504633</v>
      </c>
      <c r="I727" s="2">
        <f t="shared" si="129"/>
        <v>253512.03333333333</v>
      </c>
      <c r="J727" s="4">
        <f t="shared" si="126"/>
        <v>1043640.7575000001</v>
      </c>
      <c r="K727" s="2">
        <f t="shared" si="130"/>
        <v>1014364.2951988066</v>
      </c>
      <c r="L727" s="2">
        <f t="shared" si="131"/>
        <v>116106.9375</v>
      </c>
      <c r="N727" s="4">
        <f t="shared" si="125"/>
        <v>949787.14529999997</v>
      </c>
      <c r="O727" s="2">
        <f t="shared" si="127"/>
        <v>22253.325299999909</v>
      </c>
    </row>
    <row r="728" spans="1:15" x14ac:dyDescent="0.3">
      <c r="A728" s="50">
        <v>44557</v>
      </c>
      <c r="B728" s="2">
        <v>727</v>
      </c>
      <c r="C728" s="4">
        <v>82397.119999999995</v>
      </c>
      <c r="D728" s="4">
        <f t="shared" si="121"/>
        <v>504965.47000000003</v>
      </c>
      <c r="E728" s="2">
        <f t="shared" si="122"/>
        <v>418575.77084883337</v>
      </c>
      <c r="F728" s="2">
        <f t="shared" si="123"/>
        <v>422568.35000000003</v>
      </c>
      <c r="G728" s="4">
        <f t="shared" si="124"/>
        <v>369458.4266666667</v>
      </c>
      <c r="H728" s="2">
        <f t="shared" si="128"/>
        <v>609570.68382197979</v>
      </c>
      <c r="I728" s="2">
        <f t="shared" si="129"/>
        <v>287061.3066666667</v>
      </c>
      <c r="J728" s="4">
        <f t="shared" si="126"/>
        <v>526115.62</v>
      </c>
      <c r="K728" s="2">
        <f t="shared" si="130"/>
        <v>1038102.2806957744</v>
      </c>
      <c r="L728" s="2">
        <f t="shared" si="131"/>
        <v>443718.5</v>
      </c>
      <c r="N728" s="4">
        <f t="shared" si="125"/>
        <v>573670.745</v>
      </c>
      <c r="O728" s="2">
        <f t="shared" si="127"/>
        <v>491273.625</v>
      </c>
    </row>
    <row r="729" spans="1:15" x14ac:dyDescent="0.3">
      <c r="A729" s="50">
        <v>44558</v>
      </c>
      <c r="B729" s="2">
        <v>728</v>
      </c>
      <c r="C729" s="4">
        <v>309968.72000000003</v>
      </c>
      <c r="D729" s="4">
        <f t="shared" si="121"/>
        <v>196182.92</v>
      </c>
      <c r="E729" s="2">
        <f t="shared" si="122"/>
        <v>309444.03266452119</v>
      </c>
      <c r="F729" s="2">
        <f t="shared" si="123"/>
        <v>113785.80000000002</v>
      </c>
      <c r="G729" s="4">
        <f t="shared" si="124"/>
        <v>439966.5533333334</v>
      </c>
      <c r="H729" s="2">
        <f t="shared" si="128"/>
        <v>233503.73408958316</v>
      </c>
      <c r="I729" s="2">
        <f t="shared" si="129"/>
        <v>129997.83333333337</v>
      </c>
      <c r="J729" s="4">
        <f t="shared" si="126"/>
        <v>354586</v>
      </c>
      <c r="K729" s="2">
        <f t="shared" si="130"/>
        <v>931322.63840178237</v>
      </c>
      <c r="L729" s="2">
        <f t="shared" si="131"/>
        <v>44617.27999999997</v>
      </c>
      <c r="N729" s="4">
        <f t="shared" si="125"/>
        <v>462013.33990000002</v>
      </c>
      <c r="O729" s="2">
        <f t="shared" si="127"/>
        <v>152044.61989999999</v>
      </c>
    </row>
    <row r="730" spans="1:15" x14ac:dyDescent="0.3">
      <c r="A730" s="50">
        <v>44559</v>
      </c>
      <c r="B730" s="2">
        <v>729</v>
      </c>
      <c r="C730" s="4">
        <v>1080344.96</v>
      </c>
      <c r="D730" s="4">
        <f t="shared" si="121"/>
        <v>695156.84</v>
      </c>
      <c r="E730" s="2">
        <f t="shared" si="122"/>
        <v>284004.48594236537</v>
      </c>
      <c r="F730" s="2">
        <f t="shared" si="123"/>
        <v>385188.12</v>
      </c>
      <c r="G730" s="4">
        <f t="shared" si="124"/>
        <v>490903.60000000003</v>
      </c>
      <c r="H730" s="2">
        <f t="shared" si="128"/>
        <v>385894.95433135028</v>
      </c>
      <c r="I730" s="2">
        <f t="shared" si="129"/>
        <v>589441.35999999987</v>
      </c>
      <c r="J730" s="4">
        <f t="shared" si="126"/>
        <v>600061.15500000003</v>
      </c>
      <c r="K730" s="2">
        <f t="shared" si="130"/>
        <v>332802.55527780857</v>
      </c>
      <c r="L730" s="2">
        <f t="shared" si="131"/>
        <v>480283.80499999993</v>
      </c>
      <c r="N730" s="4">
        <f t="shared" si="125"/>
        <v>344563.68000000005</v>
      </c>
      <c r="O730" s="2">
        <f t="shared" si="127"/>
        <v>735781.27999999991</v>
      </c>
    </row>
    <row r="731" spans="1:15" x14ac:dyDescent="0.3">
      <c r="A731" s="50">
        <v>44560</v>
      </c>
      <c r="B731" s="2">
        <v>730</v>
      </c>
      <c r="C731" s="4">
        <v>418105.28</v>
      </c>
      <c r="D731" s="4">
        <f t="shared" si="121"/>
        <v>749225.12</v>
      </c>
      <c r="E731" s="2">
        <f t="shared" si="122"/>
        <v>359172.82485647488</v>
      </c>
      <c r="F731" s="2">
        <f t="shared" si="123"/>
        <v>331119.83999999997</v>
      </c>
      <c r="G731" s="4">
        <f t="shared" si="124"/>
        <v>602806.31999999995</v>
      </c>
      <c r="H731" s="2">
        <f t="shared" si="128"/>
        <v>364442.50928740104</v>
      </c>
      <c r="I731" s="2">
        <f t="shared" si="129"/>
        <v>184701.03999999992</v>
      </c>
      <c r="J731" s="4">
        <f t="shared" si="126"/>
        <v>472704.02</v>
      </c>
      <c r="K731" s="2">
        <f t="shared" si="130"/>
        <v>328835.20366275945</v>
      </c>
      <c r="L731" s="2">
        <f t="shared" si="131"/>
        <v>54598.739999999991</v>
      </c>
      <c r="N731" s="4">
        <f t="shared" si="125"/>
        <v>517979.00840000005</v>
      </c>
      <c r="O731" s="2">
        <f t="shared" si="127"/>
        <v>99873.728400000022</v>
      </c>
    </row>
    <row r="732" spans="1:15" x14ac:dyDescent="0.3">
      <c r="A732" s="50">
        <v>44561</v>
      </c>
      <c r="B732" s="2">
        <v>731</v>
      </c>
      <c r="C732" s="4">
        <v>646328.88</v>
      </c>
      <c r="D732" s="4">
        <f t="shared" si="121"/>
        <v>532217.08000000007</v>
      </c>
      <c r="E732" s="2">
        <f t="shared" si="122"/>
        <v>247650.81399105635</v>
      </c>
      <c r="F732" s="2">
        <f t="shared" si="123"/>
        <v>114111.79999999993</v>
      </c>
      <c r="G732" s="4">
        <f t="shared" si="124"/>
        <v>714926.37333333341</v>
      </c>
      <c r="H732" s="2">
        <f t="shared" si="128"/>
        <v>358822.70791545871</v>
      </c>
      <c r="I732" s="2">
        <f t="shared" si="129"/>
        <v>68597.493333333405</v>
      </c>
      <c r="J732" s="4">
        <f t="shared" si="126"/>
        <v>613686.96</v>
      </c>
      <c r="K732" s="2">
        <f t="shared" si="130"/>
        <v>243264.13235963823</v>
      </c>
      <c r="L732" s="2">
        <f t="shared" si="131"/>
        <v>32641.920000000042</v>
      </c>
      <c r="N732" s="4">
        <f t="shared" si="125"/>
        <v>689011.89440000011</v>
      </c>
      <c r="O732" s="2">
        <f t="shared" si="127"/>
        <v>42683.014400000102</v>
      </c>
    </row>
    <row r="733" spans="1:15" x14ac:dyDescent="0.3">
      <c r="A733" s="50">
        <v>44562</v>
      </c>
      <c r="B733" s="2">
        <v>732</v>
      </c>
      <c r="C733" s="4">
        <v>409219.2</v>
      </c>
      <c r="D733" s="4">
        <f t="shared" si="121"/>
        <v>527774.04</v>
      </c>
      <c r="E733" s="2">
        <f t="shared" si="122"/>
        <v>116354.52932023228</v>
      </c>
      <c r="F733" s="2">
        <f t="shared" si="123"/>
        <v>118554.84000000003</v>
      </c>
      <c r="G733" s="4">
        <f t="shared" si="124"/>
        <v>491217.78666666668</v>
      </c>
      <c r="H733" s="2">
        <f t="shared" si="128"/>
        <v>123212.36204757639</v>
      </c>
      <c r="I733" s="2">
        <f t="shared" si="129"/>
        <v>81998.58666666667</v>
      </c>
      <c r="J733" s="4">
        <f t="shared" si="126"/>
        <v>638499.58000000007</v>
      </c>
      <c r="K733" s="2">
        <f t="shared" si="130"/>
        <v>267996.5220618993</v>
      </c>
      <c r="L733" s="2">
        <f t="shared" si="131"/>
        <v>229280.38000000006</v>
      </c>
      <c r="N733" s="4">
        <f t="shared" si="125"/>
        <v>640252.91560000007</v>
      </c>
      <c r="O733" s="2">
        <f t="shared" si="127"/>
        <v>231033.71560000005</v>
      </c>
    </row>
    <row r="734" spans="1:15" x14ac:dyDescent="0.3">
      <c r="A734" s="50">
        <v>44563</v>
      </c>
      <c r="B734" s="2">
        <v>733</v>
      </c>
      <c r="C734" s="4">
        <v>702779.68</v>
      </c>
      <c r="D734" s="4">
        <f t="shared" si="121"/>
        <v>555999.44000000006</v>
      </c>
      <c r="E734" s="2">
        <f t="shared" si="122"/>
        <v>133416.05777020098</v>
      </c>
      <c r="F734" s="2">
        <f t="shared" si="123"/>
        <v>146780.24</v>
      </c>
      <c r="G734" s="4">
        <f t="shared" si="124"/>
        <v>586109.25333333341</v>
      </c>
      <c r="H734" s="2">
        <f t="shared" si="128"/>
        <v>91362.597681855201</v>
      </c>
      <c r="I734" s="2">
        <f t="shared" si="129"/>
        <v>116670.42666666664</v>
      </c>
      <c r="J734" s="4">
        <f t="shared" si="126"/>
        <v>544108.26</v>
      </c>
      <c r="K734" s="2">
        <f t="shared" si="130"/>
        <v>142997.05375342077</v>
      </c>
      <c r="L734" s="2">
        <f t="shared" si="131"/>
        <v>158671.42000000004</v>
      </c>
      <c r="N734" s="4">
        <f t="shared" si="125"/>
        <v>516687.94520000007</v>
      </c>
      <c r="O734" s="2">
        <f t="shared" si="127"/>
        <v>186091.73479999998</v>
      </c>
    </row>
    <row r="735" spans="1:15" x14ac:dyDescent="0.3">
      <c r="A735" s="50">
        <v>44564</v>
      </c>
      <c r="B735" s="2">
        <v>734</v>
      </c>
      <c r="C735" s="4">
        <v>3423410.97</v>
      </c>
      <c r="D735" s="4">
        <f t="shared" si="121"/>
        <v>2063095.3250000002</v>
      </c>
      <c r="E735" s="2">
        <f t="shared" si="122"/>
        <v>967471.72901491635</v>
      </c>
      <c r="F735" s="2">
        <f t="shared" si="123"/>
        <v>1360315.645</v>
      </c>
      <c r="G735" s="4">
        <f t="shared" si="124"/>
        <v>1511803.2833333334</v>
      </c>
      <c r="H735" s="2">
        <f t="shared" si="128"/>
        <v>1106733.8891827909</v>
      </c>
      <c r="I735" s="2">
        <f t="shared" si="129"/>
        <v>1911607.6866666668</v>
      </c>
      <c r="J735" s="4">
        <f t="shared" si="126"/>
        <v>1295434.6825000001</v>
      </c>
      <c r="K735" s="2">
        <f t="shared" si="130"/>
        <v>1073207.1896052191</v>
      </c>
      <c r="L735" s="2">
        <f t="shared" si="131"/>
        <v>2127976.2875000001</v>
      </c>
      <c r="N735" s="4">
        <f t="shared" si="125"/>
        <v>559726.0904000001</v>
      </c>
      <c r="O735" s="2">
        <f t="shared" si="127"/>
        <v>2863684.8796000001</v>
      </c>
    </row>
    <row r="736" spans="1:15" x14ac:dyDescent="0.3">
      <c r="A736" s="50">
        <v>44565</v>
      </c>
      <c r="B736" s="2">
        <v>735</v>
      </c>
      <c r="C736" s="4">
        <v>1847391.7</v>
      </c>
      <c r="D736" s="4">
        <f t="shared" si="121"/>
        <v>2635401.335</v>
      </c>
      <c r="E736" s="2">
        <f t="shared" si="122"/>
        <v>1111624.4507216904</v>
      </c>
      <c r="F736" s="2">
        <f t="shared" si="123"/>
        <v>788009.63500000001</v>
      </c>
      <c r="G736" s="4">
        <f t="shared" si="124"/>
        <v>1991194.1166666669</v>
      </c>
      <c r="H736" s="2">
        <f t="shared" si="128"/>
        <v>1108833.481820849</v>
      </c>
      <c r="I736" s="2">
        <f t="shared" si="129"/>
        <v>143802.41666666698</v>
      </c>
      <c r="J736" s="4">
        <f t="shared" si="126"/>
        <v>1595700.3875000002</v>
      </c>
      <c r="K736" s="2">
        <f t="shared" si="130"/>
        <v>1080437.1463819651</v>
      </c>
      <c r="L736" s="2">
        <f t="shared" si="131"/>
        <v>251691.31249999977</v>
      </c>
      <c r="N736" s="4">
        <f t="shared" si="125"/>
        <v>1549607.8565500001</v>
      </c>
      <c r="O736" s="2">
        <f t="shared" si="127"/>
        <v>297783.84344999981</v>
      </c>
    </row>
    <row r="737" spans="1:15" x14ac:dyDescent="0.3">
      <c r="A737" s="50">
        <v>44566</v>
      </c>
      <c r="B737" s="2">
        <v>736</v>
      </c>
      <c r="C737" s="4">
        <v>185026.06</v>
      </c>
      <c r="D737" s="4">
        <f t="shared" si="121"/>
        <v>1016208.88</v>
      </c>
      <c r="E737" s="2">
        <f t="shared" si="122"/>
        <v>809883.96240325249</v>
      </c>
      <c r="F737" s="2">
        <f t="shared" si="123"/>
        <v>831182.82000000007</v>
      </c>
      <c r="G737" s="4">
        <f t="shared" si="124"/>
        <v>1818609.5766666664</v>
      </c>
      <c r="H737" s="2">
        <f t="shared" si="128"/>
        <v>1454134.1282343124</v>
      </c>
      <c r="I737" s="2">
        <f t="shared" si="129"/>
        <v>1633583.5166666664</v>
      </c>
      <c r="J737" s="4">
        <f t="shared" si="126"/>
        <v>1539652.1025</v>
      </c>
      <c r="K737" s="2">
        <f t="shared" si="130"/>
        <v>1270021.6466161397</v>
      </c>
      <c r="L737" s="2">
        <f t="shared" si="131"/>
        <v>1354626.0425</v>
      </c>
      <c r="N737" s="4">
        <f t="shared" si="125"/>
        <v>2296905.63075</v>
      </c>
      <c r="O737" s="2">
        <f t="shared" si="127"/>
        <v>2111879.57075</v>
      </c>
    </row>
    <row r="738" spans="1:15" x14ac:dyDescent="0.3">
      <c r="A738" s="50">
        <v>44567</v>
      </c>
      <c r="B738" s="2">
        <v>737</v>
      </c>
      <c r="C738" s="4">
        <v>388926.42000000004</v>
      </c>
      <c r="D738" s="4">
        <f t="shared" si="121"/>
        <v>286976.24</v>
      </c>
      <c r="E738" s="2">
        <f t="shared" si="122"/>
        <v>592139.64546599344</v>
      </c>
      <c r="F738" s="2">
        <f t="shared" si="123"/>
        <v>101950.18000000005</v>
      </c>
      <c r="G738" s="4">
        <f t="shared" si="124"/>
        <v>807114.72666666668</v>
      </c>
      <c r="H738" s="2">
        <f t="shared" si="128"/>
        <v>977097.00999046839</v>
      </c>
      <c r="I738" s="2">
        <f t="shared" si="129"/>
        <v>418188.30666666664</v>
      </c>
      <c r="J738" s="4">
        <f t="shared" si="126"/>
        <v>1461188.7874999999</v>
      </c>
      <c r="K738" s="2">
        <f t="shared" si="130"/>
        <v>1376262.1386136955</v>
      </c>
      <c r="L738" s="2">
        <f t="shared" si="131"/>
        <v>1072262.3674999997</v>
      </c>
      <c r="N738" s="4">
        <f t="shared" si="125"/>
        <v>1637223.4500000002</v>
      </c>
      <c r="O738" s="2">
        <f t="shared" si="127"/>
        <v>1248297.0300000003</v>
      </c>
    </row>
    <row r="739" spans="1:15" x14ac:dyDescent="0.3">
      <c r="A739" s="50">
        <v>44568</v>
      </c>
      <c r="B739" s="2">
        <v>738</v>
      </c>
      <c r="C739" s="4">
        <v>1169198.8</v>
      </c>
      <c r="D739" s="4">
        <f t="shared" si="121"/>
        <v>779062.6100000001</v>
      </c>
      <c r="E739" s="2">
        <f t="shared" si="122"/>
        <v>285131.62394738721</v>
      </c>
      <c r="F739" s="2">
        <f t="shared" si="123"/>
        <v>390136.18999999994</v>
      </c>
      <c r="G739" s="4">
        <f t="shared" si="124"/>
        <v>581050.42666666664</v>
      </c>
      <c r="H739" s="2">
        <f t="shared" si="128"/>
        <v>1031082.776310485</v>
      </c>
      <c r="I739" s="2">
        <f t="shared" si="129"/>
        <v>588148.37333333341</v>
      </c>
      <c r="J739" s="4">
        <f t="shared" si="126"/>
        <v>897635.74500000011</v>
      </c>
      <c r="K739" s="2">
        <f t="shared" si="130"/>
        <v>883438.35515060439</v>
      </c>
      <c r="L739" s="2">
        <f t="shared" si="131"/>
        <v>271563.05499999993</v>
      </c>
      <c r="N739" s="4">
        <f t="shared" si="125"/>
        <v>619053.12140000006</v>
      </c>
      <c r="O739" s="2">
        <f t="shared" si="127"/>
        <v>550145.67859999998</v>
      </c>
    </row>
    <row r="740" spans="1:15" x14ac:dyDescent="0.3">
      <c r="A740" s="50">
        <v>44569</v>
      </c>
      <c r="B740" s="2">
        <v>739</v>
      </c>
      <c r="C740" s="4">
        <v>32784</v>
      </c>
      <c r="D740" s="4">
        <f t="shared" si="121"/>
        <v>600991.4</v>
      </c>
      <c r="E740" s="2">
        <f t="shared" si="122"/>
        <v>487373.52008622506</v>
      </c>
      <c r="F740" s="2">
        <f t="shared" si="123"/>
        <v>568207.4</v>
      </c>
      <c r="G740" s="4">
        <f t="shared" si="124"/>
        <v>530303.07333333336</v>
      </c>
      <c r="H740" s="2">
        <f t="shared" si="128"/>
        <v>506071.53552893386</v>
      </c>
      <c r="I740" s="2">
        <f t="shared" si="129"/>
        <v>497519.07333333336</v>
      </c>
      <c r="J740" s="4">
        <f t="shared" si="126"/>
        <v>443983.82</v>
      </c>
      <c r="K740" s="2">
        <f t="shared" si="130"/>
        <v>898274.74702688842</v>
      </c>
      <c r="L740" s="2">
        <f t="shared" si="131"/>
        <v>411199.82</v>
      </c>
      <c r="N740" s="4">
        <f t="shared" si="125"/>
        <v>605459.58810000017</v>
      </c>
      <c r="O740" s="2">
        <f t="shared" si="127"/>
        <v>572675.58810000017</v>
      </c>
    </row>
    <row r="741" spans="1:15" x14ac:dyDescent="0.3">
      <c r="A741" s="50">
        <v>44570</v>
      </c>
      <c r="B741" s="2">
        <v>740</v>
      </c>
      <c r="C741" s="4">
        <v>2072618.32</v>
      </c>
      <c r="D741" s="4">
        <f t="shared" si="121"/>
        <v>1052701.1600000001</v>
      </c>
      <c r="E741" s="2">
        <f t="shared" si="122"/>
        <v>825557.58814186475</v>
      </c>
      <c r="F741" s="2">
        <f t="shared" si="123"/>
        <v>1019917.1599999999</v>
      </c>
      <c r="G741" s="4">
        <f t="shared" si="124"/>
        <v>1091533.7066666668</v>
      </c>
      <c r="H741" s="2">
        <f t="shared" si="128"/>
        <v>720178.39361844247</v>
      </c>
      <c r="I741" s="2">
        <f t="shared" si="129"/>
        <v>981084.61333333328</v>
      </c>
      <c r="J741" s="4">
        <f t="shared" si="126"/>
        <v>915881.88500000001</v>
      </c>
      <c r="K741" s="2">
        <f t="shared" si="130"/>
        <v>826229.0163178395</v>
      </c>
      <c r="L741" s="2">
        <f t="shared" si="131"/>
        <v>1156736.4350000001</v>
      </c>
      <c r="N741" s="4">
        <f t="shared" si="125"/>
        <v>616839.91840000008</v>
      </c>
      <c r="O741" s="2">
        <f t="shared" si="127"/>
        <v>1455778.4016</v>
      </c>
    </row>
    <row r="742" spans="1:15" x14ac:dyDescent="0.3">
      <c r="A742" s="50">
        <v>44571</v>
      </c>
      <c r="B742" s="2">
        <v>741</v>
      </c>
      <c r="C742" s="4">
        <v>5143256.58</v>
      </c>
      <c r="D742" s="4">
        <f t="shared" si="121"/>
        <v>3607937.45</v>
      </c>
      <c r="E742" s="2">
        <f t="shared" si="122"/>
        <v>1303348.7338787003</v>
      </c>
      <c r="F742" s="2">
        <f t="shared" si="123"/>
        <v>1535319.13</v>
      </c>
      <c r="G742" s="4">
        <f t="shared" si="124"/>
        <v>2416219.6333333333</v>
      </c>
      <c r="H742" s="2">
        <f t="shared" si="128"/>
        <v>1697722.2736493084</v>
      </c>
      <c r="I742" s="2">
        <f t="shared" si="129"/>
        <v>2727036.9466666668</v>
      </c>
      <c r="J742" s="4">
        <f t="shared" si="126"/>
        <v>2104464.4249999998</v>
      </c>
      <c r="K742" s="2">
        <f t="shared" si="130"/>
        <v>1644318.1509485184</v>
      </c>
      <c r="L742" s="2">
        <f t="shared" si="131"/>
        <v>3038792.1550000003</v>
      </c>
      <c r="N742" s="4">
        <f t="shared" si="125"/>
        <v>966139.75320000015</v>
      </c>
      <c r="O742" s="2">
        <f t="shared" si="127"/>
        <v>4177116.8267999999</v>
      </c>
    </row>
    <row r="743" spans="1:15" x14ac:dyDescent="0.3">
      <c r="A743" s="50">
        <v>44572</v>
      </c>
      <c r="B743" s="2">
        <v>742</v>
      </c>
      <c r="C743" s="4">
        <v>107472.88</v>
      </c>
      <c r="D743" s="4">
        <f t="shared" si="121"/>
        <v>2625364.73</v>
      </c>
      <c r="E743" s="2">
        <f t="shared" si="122"/>
        <v>2085303.8386815935</v>
      </c>
      <c r="F743" s="2">
        <f t="shared" si="123"/>
        <v>2517891.85</v>
      </c>
      <c r="G743" s="4">
        <f t="shared" si="124"/>
        <v>2441115.9266666668</v>
      </c>
      <c r="H743" s="2">
        <f t="shared" si="128"/>
        <v>2148266.5412110104</v>
      </c>
      <c r="I743" s="2">
        <f t="shared" si="129"/>
        <v>2333643.0466666669</v>
      </c>
      <c r="J743" s="4">
        <f t="shared" si="126"/>
        <v>1839032.9450000001</v>
      </c>
      <c r="K743" s="2">
        <f t="shared" si="130"/>
        <v>1853353.8849891089</v>
      </c>
      <c r="L743" s="2">
        <f t="shared" si="131"/>
        <v>1731560.0649999999</v>
      </c>
      <c r="N743" s="4">
        <f t="shared" si="125"/>
        <v>2652518.5866999999</v>
      </c>
      <c r="O743" s="2">
        <f t="shared" si="127"/>
        <v>2545045.7067</v>
      </c>
    </row>
    <row r="744" spans="1:15" x14ac:dyDescent="0.3">
      <c r="A744" s="50">
        <v>44573</v>
      </c>
      <c r="B744" s="2">
        <v>743</v>
      </c>
      <c r="C744" s="4">
        <v>895011.68</v>
      </c>
      <c r="D744" s="4">
        <f t="shared" si="121"/>
        <v>501242.28</v>
      </c>
      <c r="E744" s="2">
        <f t="shared" si="122"/>
        <v>1802059.0596138607</v>
      </c>
      <c r="F744" s="2">
        <f t="shared" si="123"/>
        <v>393769.4</v>
      </c>
      <c r="G744" s="4">
        <f t="shared" si="124"/>
        <v>2048580.38</v>
      </c>
      <c r="H744" s="2">
        <f t="shared" si="128"/>
        <v>2176644.2921280167</v>
      </c>
      <c r="I744" s="2">
        <f t="shared" si="129"/>
        <v>1153568.6999999997</v>
      </c>
      <c r="J744" s="4">
        <f t="shared" si="126"/>
        <v>2054589.865</v>
      </c>
      <c r="K744" s="2">
        <f t="shared" si="130"/>
        <v>1931011.3132227343</v>
      </c>
      <c r="L744" s="2">
        <f t="shared" si="131"/>
        <v>1159578.1850000001</v>
      </c>
      <c r="N744" s="4">
        <f t="shared" si="125"/>
        <v>2780728.6233000001</v>
      </c>
      <c r="O744" s="2">
        <f t="shared" si="127"/>
        <v>1885716.9432999999</v>
      </c>
    </row>
    <row r="745" spans="1:15" x14ac:dyDescent="0.3">
      <c r="A745" s="50">
        <v>44574</v>
      </c>
      <c r="B745" s="2">
        <v>744</v>
      </c>
      <c r="C745" s="4">
        <v>572273.46000000008</v>
      </c>
      <c r="D745" s="4">
        <f t="shared" si="121"/>
        <v>733642.57000000007</v>
      </c>
      <c r="E745" s="2">
        <f t="shared" si="122"/>
        <v>300910.55983344297</v>
      </c>
      <c r="F745" s="2">
        <f t="shared" si="123"/>
        <v>161369.10999999999</v>
      </c>
      <c r="G745" s="4">
        <f t="shared" si="124"/>
        <v>524919.34</v>
      </c>
      <c r="H745" s="2">
        <f t="shared" si="128"/>
        <v>1503202.4733388766</v>
      </c>
      <c r="I745" s="2">
        <f t="shared" si="129"/>
        <v>47354.120000000112</v>
      </c>
      <c r="J745" s="4">
        <f t="shared" si="126"/>
        <v>1679503.65</v>
      </c>
      <c r="K745" s="2">
        <f t="shared" si="130"/>
        <v>1923742.3346674887</v>
      </c>
      <c r="L745" s="2">
        <f t="shared" si="131"/>
        <v>1107230.19</v>
      </c>
      <c r="N745" s="4">
        <f t="shared" si="125"/>
        <v>1479170.7920000001</v>
      </c>
      <c r="O745" s="2">
        <f t="shared" si="127"/>
        <v>906897.33200000005</v>
      </c>
    </row>
    <row r="746" spans="1:15" x14ac:dyDescent="0.3">
      <c r="A746" s="50">
        <v>44575</v>
      </c>
      <c r="B746" s="2">
        <v>745</v>
      </c>
      <c r="C746" s="4">
        <v>5205823.3</v>
      </c>
      <c r="D746" s="4">
        <f t="shared" si="121"/>
        <v>2889048.38</v>
      </c>
      <c r="E746" s="2">
        <f t="shared" si="122"/>
        <v>1642176.3028985648</v>
      </c>
      <c r="F746" s="2">
        <f t="shared" si="123"/>
        <v>2316774.92</v>
      </c>
      <c r="G746" s="4">
        <f t="shared" si="124"/>
        <v>2224369.48</v>
      </c>
      <c r="H746" s="2">
        <f t="shared" si="128"/>
        <v>1845899.0618027896</v>
      </c>
      <c r="I746" s="2">
        <f t="shared" si="129"/>
        <v>2981453.82</v>
      </c>
      <c r="J746" s="4">
        <f t="shared" si="126"/>
        <v>1695145.33</v>
      </c>
      <c r="K746" s="2">
        <f t="shared" si="130"/>
        <v>2115049.6642231271</v>
      </c>
      <c r="L746" s="2">
        <f t="shared" si="131"/>
        <v>3510677.9699999997</v>
      </c>
      <c r="N746" s="4">
        <f t="shared" si="125"/>
        <v>613635.84030000004</v>
      </c>
      <c r="O746" s="2">
        <f t="shared" si="127"/>
        <v>4592187.4596999995</v>
      </c>
    </row>
    <row r="747" spans="1:15" x14ac:dyDescent="0.3">
      <c r="A747" s="50">
        <v>44576</v>
      </c>
      <c r="B747" s="2">
        <v>746</v>
      </c>
      <c r="C747" s="4">
        <v>44588.07</v>
      </c>
      <c r="D747" s="4">
        <f t="shared" si="121"/>
        <v>2625205.6850000001</v>
      </c>
      <c r="E747" s="2">
        <f t="shared" si="122"/>
        <v>2452247.2657533227</v>
      </c>
      <c r="F747" s="2">
        <f t="shared" si="123"/>
        <v>2580617.6150000002</v>
      </c>
      <c r="G747" s="4">
        <f t="shared" si="124"/>
        <v>1940894.9433333334</v>
      </c>
      <c r="H747" s="2">
        <f t="shared" si="128"/>
        <v>2040203.3437319272</v>
      </c>
      <c r="I747" s="2">
        <f t="shared" si="129"/>
        <v>1896306.8733333333</v>
      </c>
      <c r="J747" s="4">
        <f t="shared" si="126"/>
        <v>1679424.1274999999</v>
      </c>
      <c r="K747" s="2">
        <f t="shared" si="130"/>
        <v>2095717.598146324</v>
      </c>
      <c r="L747" s="2">
        <f t="shared" si="131"/>
        <v>1634836.0574999999</v>
      </c>
      <c r="N747" s="4">
        <f t="shared" si="125"/>
        <v>2195515.0647999998</v>
      </c>
      <c r="O747" s="2">
        <f t="shared" si="127"/>
        <v>2150926.9948</v>
      </c>
    </row>
    <row r="748" spans="1:15" x14ac:dyDescent="0.3">
      <c r="A748" s="50">
        <v>44577</v>
      </c>
      <c r="B748" s="2">
        <v>747</v>
      </c>
      <c r="C748" s="4">
        <v>1710326.4</v>
      </c>
      <c r="D748" s="4">
        <f t="shared" si="121"/>
        <v>877457.23499999999</v>
      </c>
      <c r="E748" s="2">
        <f t="shared" si="122"/>
        <v>1917453.822241371</v>
      </c>
      <c r="F748" s="2">
        <f t="shared" si="123"/>
        <v>832869.16499999992</v>
      </c>
      <c r="G748" s="4">
        <f t="shared" si="124"/>
        <v>2320245.9233333333</v>
      </c>
      <c r="H748" s="2">
        <f t="shared" si="128"/>
        <v>2070189.0786098898</v>
      </c>
      <c r="I748" s="2">
        <f t="shared" si="129"/>
        <v>609919.52333333343</v>
      </c>
      <c r="J748" s="4">
        <f t="shared" si="126"/>
        <v>1883252.8075000001</v>
      </c>
      <c r="K748" s="2">
        <f t="shared" si="130"/>
        <v>2015775.9659746264</v>
      </c>
      <c r="L748" s="2">
        <f t="shared" si="131"/>
        <v>172926.4075000002</v>
      </c>
      <c r="N748" s="4">
        <f t="shared" si="125"/>
        <v>2457428.53315</v>
      </c>
      <c r="O748" s="2">
        <f t="shared" si="127"/>
        <v>747102.13315000013</v>
      </c>
    </row>
    <row r="749" spans="1:15" x14ac:dyDescent="0.3">
      <c r="A749" s="50">
        <v>44578</v>
      </c>
      <c r="B749" s="2">
        <v>748</v>
      </c>
      <c r="C749" s="4">
        <v>650834.79999999993</v>
      </c>
      <c r="D749" s="4">
        <f t="shared" si="121"/>
        <v>1180580.5999999999</v>
      </c>
      <c r="E749" s="2">
        <f t="shared" si="122"/>
        <v>697961.91107589717</v>
      </c>
      <c r="F749" s="2">
        <f t="shared" si="123"/>
        <v>529745.79999999993</v>
      </c>
      <c r="G749" s="4">
        <f t="shared" si="124"/>
        <v>801916.42333333334</v>
      </c>
      <c r="H749" s="2">
        <f t="shared" si="128"/>
        <v>1153372.9144995327</v>
      </c>
      <c r="I749" s="2">
        <f t="shared" si="129"/>
        <v>151081.62333333341</v>
      </c>
      <c r="J749" s="4">
        <f t="shared" si="126"/>
        <v>1902893.1424999998</v>
      </c>
      <c r="K749" s="2">
        <f t="shared" si="130"/>
        <v>2036854.338151121</v>
      </c>
      <c r="L749" s="2">
        <f t="shared" si="131"/>
        <v>1252058.3424999998</v>
      </c>
      <c r="N749" s="4">
        <f t="shared" si="125"/>
        <v>1738082.1611500001</v>
      </c>
      <c r="O749" s="2">
        <f t="shared" si="127"/>
        <v>1087247.3611500002</v>
      </c>
    </row>
    <row r="750" spans="1:15" x14ac:dyDescent="0.3">
      <c r="A750" s="50">
        <v>44579</v>
      </c>
      <c r="B750" s="2">
        <v>749</v>
      </c>
      <c r="C750" s="4">
        <v>357678.10000000003</v>
      </c>
      <c r="D750" s="4">
        <f t="shared" si="121"/>
        <v>504256.44999999995</v>
      </c>
      <c r="E750" s="2">
        <f t="shared" si="122"/>
        <v>388661.6943476437</v>
      </c>
      <c r="F750" s="2">
        <f t="shared" si="123"/>
        <v>146578.34999999992</v>
      </c>
      <c r="G750" s="4">
        <f t="shared" si="124"/>
        <v>906279.7666666666</v>
      </c>
      <c r="H750" s="2">
        <f t="shared" si="128"/>
        <v>481591.55257044674</v>
      </c>
      <c r="I750" s="2">
        <f t="shared" si="129"/>
        <v>548601.66666666651</v>
      </c>
      <c r="J750" s="4">
        <f t="shared" si="126"/>
        <v>690856.84250000003</v>
      </c>
      <c r="K750" s="2">
        <f t="shared" si="130"/>
        <v>1046571.8614589644</v>
      </c>
      <c r="L750" s="2">
        <f t="shared" si="131"/>
        <v>333178.74249999999</v>
      </c>
      <c r="N750" s="4">
        <f t="shared" si="125"/>
        <v>988934.28139999998</v>
      </c>
      <c r="O750" s="2">
        <f t="shared" si="127"/>
        <v>631256.18139999988</v>
      </c>
    </row>
    <row r="751" spans="1:15" x14ac:dyDescent="0.3">
      <c r="A751" s="50">
        <v>44580</v>
      </c>
      <c r="B751" s="2">
        <v>750</v>
      </c>
      <c r="C751" s="4">
        <v>1779841.2</v>
      </c>
      <c r="D751" s="4">
        <f t="shared" si="121"/>
        <v>1068759.6499999999</v>
      </c>
      <c r="E751" s="2">
        <f t="shared" si="122"/>
        <v>513382.01343596226</v>
      </c>
      <c r="F751" s="2">
        <f t="shared" si="123"/>
        <v>711081.55</v>
      </c>
      <c r="G751" s="4">
        <f t="shared" si="124"/>
        <v>929451.36666666658</v>
      </c>
      <c r="H751" s="2">
        <f t="shared" si="128"/>
        <v>590748.76617593644</v>
      </c>
      <c r="I751" s="2">
        <f t="shared" si="129"/>
        <v>850389.83333333337</v>
      </c>
      <c r="J751" s="4">
        <f t="shared" si="126"/>
        <v>1124670.125</v>
      </c>
      <c r="K751" s="2">
        <f t="shared" si="130"/>
        <v>731062.72771309433</v>
      </c>
      <c r="L751" s="2">
        <f t="shared" si="131"/>
        <v>655171.07499999995</v>
      </c>
      <c r="N751" s="4">
        <f t="shared" si="125"/>
        <v>785715.4574999999</v>
      </c>
      <c r="O751" s="2">
        <f t="shared" si="127"/>
        <v>994125.74250000005</v>
      </c>
    </row>
    <row r="752" spans="1:15" x14ac:dyDescent="0.3">
      <c r="A752" s="50">
        <v>44581</v>
      </c>
      <c r="B752" s="2">
        <v>751</v>
      </c>
      <c r="C752" s="4">
        <v>1052229.8</v>
      </c>
      <c r="D752" s="4">
        <f t="shared" si="121"/>
        <v>1416035.5</v>
      </c>
      <c r="E752" s="2">
        <f t="shared" si="122"/>
        <v>564797.11317555991</v>
      </c>
      <c r="F752" s="2">
        <f t="shared" si="123"/>
        <v>363805.69999999995</v>
      </c>
      <c r="G752" s="4">
        <f t="shared" si="124"/>
        <v>1063249.7</v>
      </c>
      <c r="H752" s="2">
        <f t="shared" si="128"/>
        <v>584308.16512697272</v>
      </c>
      <c r="I752" s="2">
        <f t="shared" si="129"/>
        <v>11019.899999999907</v>
      </c>
      <c r="J752" s="4">
        <f t="shared" si="126"/>
        <v>960145.97499999986</v>
      </c>
      <c r="K752" s="2">
        <f t="shared" si="130"/>
        <v>727390.32434811338</v>
      </c>
      <c r="L752" s="2">
        <f t="shared" si="131"/>
        <v>92083.825000000186</v>
      </c>
      <c r="N752" s="4">
        <f t="shared" si="125"/>
        <v>898597.21249999991</v>
      </c>
      <c r="O752" s="2">
        <f t="shared" si="127"/>
        <v>153632.58750000014</v>
      </c>
    </row>
    <row r="753" spans="1:15" x14ac:dyDescent="0.3">
      <c r="A753" s="50">
        <v>44582</v>
      </c>
      <c r="B753" s="2">
        <v>752</v>
      </c>
      <c r="C753" s="4">
        <v>90866.75</v>
      </c>
      <c r="D753" s="4">
        <f t="shared" si="121"/>
        <v>571548.27500000002</v>
      </c>
      <c r="E753" s="2">
        <f t="shared" si="122"/>
        <v>426268.29334869346</v>
      </c>
      <c r="F753" s="2">
        <f t="shared" si="123"/>
        <v>480681.52500000002</v>
      </c>
      <c r="G753" s="4">
        <f t="shared" si="124"/>
        <v>974312.58333333337</v>
      </c>
      <c r="H753" s="2">
        <f t="shared" si="128"/>
        <v>707992.66645607108</v>
      </c>
      <c r="I753" s="2">
        <f t="shared" si="129"/>
        <v>883445.83333333337</v>
      </c>
      <c r="J753" s="4">
        <f t="shared" si="126"/>
        <v>820153.96249999991</v>
      </c>
      <c r="K753" s="2">
        <f t="shared" si="130"/>
        <v>519758.71351839486</v>
      </c>
      <c r="L753" s="2">
        <f t="shared" si="131"/>
        <v>729287.21249999991</v>
      </c>
      <c r="N753" s="4">
        <f t="shared" si="125"/>
        <v>1223215.4990000001</v>
      </c>
      <c r="O753" s="2">
        <f t="shared" si="127"/>
        <v>1132348.7490000001</v>
      </c>
    </row>
    <row r="754" spans="1:15" x14ac:dyDescent="0.3">
      <c r="A754" s="50">
        <v>44583</v>
      </c>
      <c r="B754" s="2">
        <v>753</v>
      </c>
      <c r="C754" s="4">
        <v>378063.24</v>
      </c>
      <c r="D754" s="4">
        <f t="shared" si="121"/>
        <v>234464.995</v>
      </c>
      <c r="E754" s="2">
        <f t="shared" si="122"/>
        <v>354735.94718001562</v>
      </c>
      <c r="F754" s="2">
        <f t="shared" si="123"/>
        <v>143598.245</v>
      </c>
      <c r="G754" s="4">
        <f t="shared" si="124"/>
        <v>507053.26333333337</v>
      </c>
      <c r="H754" s="2">
        <f t="shared" si="128"/>
        <v>515505.06132322043</v>
      </c>
      <c r="I754" s="2">
        <f t="shared" si="129"/>
        <v>128990.02333333337</v>
      </c>
      <c r="J754" s="4">
        <f t="shared" si="126"/>
        <v>825250.24750000006</v>
      </c>
      <c r="K754" s="2">
        <f t="shared" si="130"/>
        <v>540732.0561831228</v>
      </c>
      <c r="L754" s="2">
        <f t="shared" si="131"/>
        <v>447187.00750000007</v>
      </c>
      <c r="N754" s="4">
        <f t="shared" si="125"/>
        <v>890247.68625000003</v>
      </c>
      <c r="O754" s="2">
        <f t="shared" si="127"/>
        <v>512184.44625000004</v>
      </c>
    </row>
    <row r="755" spans="1:15" x14ac:dyDescent="0.3">
      <c r="A755" s="50">
        <v>44584</v>
      </c>
      <c r="B755" s="2">
        <v>754</v>
      </c>
      <c r="C755" s="4">
        <v>550813.80000000005</v>
      </c>
      <c r="D755" s="4">
        <f t="shared" si="121"/>
        <v>464438.52</v>
      </c>
      <c r="E755" s="2">
        <f t="shared" si="122"/>
        <v>118492.92164968849</v>
      </c>
      <c r="F755" s="2">
        <f t="shared" si="123"/>
        <v>86375.280000000028</v>
      </c>
      <c r="G755" s="4">
        <f t="shared" si="124"/>
        <v>339914.59666666668</v>
      </c>
      <c r="H755" s="2">
        <f t="shared" si="128"/>
        <v>529651.91101332346</v>
      </c>
      <c r="I755" s="2">
        <f t="shared" si="129"/>
        <v>210899.20333333337</v>
      </c>
      <c r="J755" s="4">
        <f t="shared" si="126"/>
        <v>517993.39750000002</v>
      </c>
      <c r="K755" s="2">
        <f t="shared" si="130"/>
        <v>430520.80891628156</v>
      </c>
      <c r="L755" s="2">
        <f t="shared" si="131"/>
        <v>32820.402500000026</v>
      </c>
      <c r="N755" s="4">
        <f t="shared" si="125"/>
        <v>398577.44515000004</v>
      </c>
      <c r="O755" s="2">
        <f t="shared" si="127"/>
        <v>152236.35485</v>
      </c>
    </row>
    <row r="756" spans="1:15" x14ac:dyDescent="0.3">
      <c r="A756" s="50">
        <v>44585</v>
      </c>
      <c r="B756" s="2">
        <v>755</v>
      </c>
      <c r="C756" s="4">
        <v>1155488.3400000001</v>
      </c>
      <c r="D756" s="4">
        <f t="shared" si="121"/>
        <v>853151.07000000007</v>
      </c>
      <c r="E756" s="2">
        <f t="shared" si="122"/>
        <v>222338.15892254226</v>
      </c>
      <c r="F756" s="2">
        <f t="shared" si="123"/>
        <v>302337.27</v>
      </c>
      <c r="G756" s="4">
        <f t="shared" si="124"/>
        <v>694788.46000000008</v>
      </c>
      <c r="H756" s="2">
        <f t="shared" si="128"/>
        <v>301861.60157605505</v>
      </c>
      <c r="I756" s="2">
        <f t="shared" si="129"/>
        <v>460699.88</v>
      </c>
      <c r="J756" s="4">
        <f t="shared" si="126"/>
        <v>543808.03249999997</v>
      </c>
      <c r="K756" s="2">
        <f t="shared" si="130"/>
        <v>526086.02799266158</v>
      </c>
      <c r="L756" s="2">
        <f t="shared" si="131"/>
        <v>611680.30750000011</v>
      </c>
      <c r="N756" s="4">
        <f t="shared" si="125"/>
        <v>372751.44980000006</v>
      </c>
      <c r="O756" s="2">
        <f t="shared" si="127"/>
        <v>782736.89020000002</v>
      </c>
    </row>
    <row r="757" spans="1:15" x14ac:dyDescent="0.3">
      <c r="A757" s="50">
        <v>44586</v>
      </c>
      <c r="B757" s="2">
        <v>756</v>
      </c>
      <c r="C757" s="4">
        <v>3746366.8</v>
      </c>
      <c r="D757" s="4">
        <f t="shared" si="121"/>
        <v>2450927.5699999998</v>
      </c>
      <c r="E757" s="2">
        <f t="shared" si="122"/>
        <v>940630.27366071043</v>
      </c>
      <c r="F757" s="2">
        <f t="shared" si="123"/>
        <v>1295439.23</v>
      </c>
      <c r="G757" s="4">
        <f t="shared" si="124"/>
        <v>1817556.3133333332</v>
      </c>
      <c r="H757" s="2">
        <f t="shared" si="128"/>
        <v>1151380.7286433612</v>
      </c>
      <c r="I757" s="2">
        <f t="shared" si="129"/>
        <v>1928810.4866666666</v>
      </c>
      <c r="J757" s="4">
        <f t="shared" si="126"/>
        <v>1457683.0449999999</v>
      </c>
      <c r="K757" s="2">
        <f t="shared" si="130"/>
        <v>1205537.1756483975</v>
      </c>
      <c r="L757" s="2">
        <f t="shared" si="131"/>
        <v>2288683.7549999999</v>
      </c>
      <c r="N757" s="4">
        <f t="shared" si="125"/>
        <v>715374.64770000021</v>
      </c>
      <c r="O757" s="2">
        <f t="shared" si="127"/>
        <v>3030992.1522999997</v>
      </c>
    </row>
    <row r="758" spans="1:15" x14ac:dyDescent="0.3">
      <c r="A758" s="50">
        <v>44587</v>
      </c>
      <c r="B758" s="2">
        <v>757</v>
      </c>
      <c r="C758" s="4">
        <v>3432894.4</v>
      </c>
      <c r="D758" s="4">
        <f t="shared" si="121"/>
        <v>3589630.5999999996</v>
      </c>
      <c r="E758" s="2">
        <f t="shared" si="122"/>
        <v>922694.16249736643</v>
      </c>
      <c r="F758" s="2">
        <f t="shared" si="123"/>
        <v>156736.19999999972</v>
      </c>
      <c r="G758" s="4">
        <f t="shared" si="124"/>
        <v>2778249.8466666662</v>
      </c>
      <c r="H758" s="2">
        <f t="shared" si="128"/>
        <v>1205696.7230770648</v>
      </c>
      <c r="I758" s="2">
        <f t="shared" si="129"/>
        <v>654644.55333333369</v>
      </c>
      <c r="J758" s="4">
        <f t="shared" si="126"/>
        <v>2221390.835</v>
      </c>
      <c r="K758" s="2">
        <f t="shared" si="130"/>
        <v>1330511.5741522287</v>
      </c>
      <c r="L758" s="2">
        <f t="shared" si="131"/>
        <v>1211503.5649999999</v>
      </c>
      <c r="N758" s="4">
        <f t="shared" si="125"/>
        <v>1890404.2253</v>
      </c>
      <c r="O758" s="2">
        <f t="shared" si="127"/>
        <v>1542490.1746999999</v>
      </c>
    </row>
    <row r="759" spans="1:15" x14ac:dyDescent="0.3">
      <c r="A759" s="50">
        <v>44588</v>
      </c>
      <c r="B759" s="2">
        <v>758</v>
      </c>
      <c r="C759" s="4">
        <v>5818626.8899999997</v>
      </c>
      <c r="D759" s="4">
        <f t="shared" si="121"/>
        <v>4625760.6449999996</v>
      </c>
      <c r="E759" s="2">
        <f t="shared" si="122"/>
        <v>850733.83465418848</v>
      </c>
      <c r="F759" s="2">
        <f t="shared" si="123"/>
        <v>1192866.2450000001</v>
      </c>
      <c r="G759" s="4">
        <f t="shared" si="124"/>
        <v>4332629.3633333333</v>
      </c>
      <c r="H759" s="2">
        <f t="shared" si="128"/>
        <v>1455685.1804727276</v>
      </c>
      <c r="I759" s="2">
        <f t="shared" si="129"/>
        <v>1485997.5266666664</v>
      </c>
      <c r="J759" s="4">
        <f t="shared" si="126"/>
        <v>3538344.1074999999</v>
      </c>
      <c r="K759" s="2">
        <f t="shared" si="130"/>
        <v>1752117.0469718799</v>
      </c>
      <c r="L759" s="2">
        <f t="shared" si="131"/>
        <v>2280282.7824999997</v>
      </c>
      <c r="N759" s="4">
        <f t="shared" si="125"/>
        <v>3071360.2847999996</v>
      </c>
      <c r="O759" s="2">
        <f t="shared" si="127"/>
        <v>2747266.6052000001</v>
      </c>
    </row>
    <row r="760" spans="1:15" x14ac:dyDescent="0.3">
      <c r="A760" s="50">
        <v>44589</v>
      </c>
      <c r="B760" s="2">
        <v>759</v>
      </c>
      <c r="C760" s="4">
        <v>158893.12</v>
      </c>
      <c r="D760" s="4">
        <f t="shared" si="121"/>
        <v>2988760.0049999999</v>
      </c>
      <c r="E760" s="2">
        <f t="shared" si="122"/>
        <v>2171529.0080125574</v>
      </c>
      <c r="F760" s="2">
        <f t="shared" si="123"/>
        <v>2829866.8849999998</v>
      </c>
      <c r="G760" s="4">
        <f t="shared" si="124"/>
        <v>3136804.8033333328</v>
      </c>
      <c r="H760" s="2">
        <f t="shared" si="128"/>
        <v>1958290.5925152863</v>
      </c>
      <c r="I760" s="2">
        <f t="shared" si="129"/>
        <v>2977911.6833333327</v>
      </c>
      <c r="J760" s="4">
        <f t="shared" si="126"/>
        <v>3289195.3024999998</v>
      </c>
      <c r="K760" s="2">
        <f t="shared" si="130"/>
        <v>2329393.4586249492</v>
      </c>
      <c r="L760" s="2">
        <f t="shared" si="131"/>
        <v>3130302.1824999996</v>
      </c>
      <c r="N760" s="4">
        <f t="shared" si="125"/>
        <v>4301078.71215</v>
      </c>
      <c r="O760" s="2">
        <f t="shared" si="127"/>
        <v>4142185.5921499999</v>
      </c>
    </row>
    <row r="761" spans="1:15" x14ac:dyDescent="0.3">
      <c r="A761" s="50">
        <v>44590</v>
      </c>
      <c r="B761" s="2">
        <v>760</v>
      </c>
      <c r="C761" s="4">
        <v>1735902.2999999998</v>
      </c>
      <c r="D761" s="4">
        <f t="shared" si="121"/>
        <v>947397.71</v>
      </c>
      <c r="E761" s="2">
        <f t="shared" si="122"/>
        <v>2077244.0967867342</v>
      </c>
      <c r="F761" s="2">
        <f t="shared" si="123"/>
        <v>788504.58999999985</v>
      </c>
      <c r="G761" s="4">
        <f t="shared" si="124"/>
        <v>2571140.77</v>
      </c>
      <c r="H761" s="2">
        <f t="shared" si="128"/>
        <v>1981057.7936008961</v>
      </c>
      <c r="I761" s="2">
        <f t="shared" si="129"/>
        <v>835238.4700000002</v>
      </c>
      <c r="J761" s="4">
        <f t="shared" si="126"/>
        <v>2786579.1774999993</v>
      </c>
      <c r="K761" s="2">
        <f t="shared" si="130"/>
        <v>2095837.7865934102</v>
      </c>
      <c r="L761" s="2">
        <f t="shared" si="131"/>
        <v>1050676.8774999995</v>
      </c>
      <c r="N761" s="4">
        <f t="shared" si="125"/>
        <v>3397754.92925</v>
      </c>
      <c r="O761" s="2">
        <f t="shared" si="127"/>
        <v>1661852.6292500002</v>
      </c>
    </row>
    <row r="762" spans="1:15" x14ac:dyDescent="0.3">
      <c r="A762" s="50">
        <v>44591</v>
      </c>
      <c r="B762" s="2">
        <v>761</v>
      </c>
      <c r="C762" s="4">
        <v>739084.39</v>
      </c>
      <c r="D762" s="4">
        <f t="shared" si="121"/>
        <v>1237493.345</v>
      </c>
      <c r="E762" s="2">
        <f t="shared" si="122"/>
        <v>659602.52230993623</v>
      </c>
      <c r="F762" s="2">
        <f t="shared" si="123"/>
        <v>498408.95499999996</v>
      </c>
      <c r="G762" s="4">
        <f t="shared" si="124"/>
        <v>877959.93666666665</v>
      </c>
      <c r="H762" s="2">
        <f t="shared" si="128"/>
        <v>1787443.9583721284</v>
      </c>
      <c r="I762" s="2">
        <f t="shared" si="129"/>
        <v>138875.54666666663</v>
      </c>
      <c r="J762" s="4">
        <f t="shared" si="126"/>
        <v>2113126.6749999998</v>
      </c>
      <c r="K762" s="2">
        <f t="shared" si="130"/>
        <v>2120754.3129633954</v>
      </c>
      <c r="L762" s="2">
        <f t="shared" si="131"/>
        <v>1374042.2849999997</v>
      </c>
      <c r="N762" s="4">
        <f t="shared" si="125"/>
        <v>1932332.6247</v>
      </c>
      <c r="O762" s="2">
        <f t="shared" si="127"/>
        <v>1193248.2346999999</v>
      </c>
    </row>
    <row r="763" spans="1:15" x14ac:dyDescent="0.3">
      <c r="A763" s="50">
        <v>44592</v>
      </c>
      <c r="B763" s="2">
        <v>762</v>
      </c>
      <c r="C763" s="4">
        <v>511102.56</v>
      </c>
      <c r="D763" s="4">
        <f t="shared" si="121"/>
        <v>625093.47499999998</v>
      </c>
      <c r="E763" s="2">
        <f t="shared" si="122"/>
        <v>361528.29427772952</v>
      </c>
      <c r="F763" s="2">
        <f t="shared" si="123"/>
        <v>113990.91499999998</v>
      </c>
      <c r="G763" s="4">
        <f t="shared" si="124"/>
        <v>995363.08333333337</v>
      </c>
      <c r="H763" s="2">
        <f t="shared" si="128"/>
        <v>563151.24483835918</v>
      </c>
      <c r="I763" s="2">
        <f t="shared" si="129"/>
        <v>484260.52333333337</v>
      </c>
      <c r="J763" s="4">
        <f t="shared" si="126"/>
        <v>786245.59250000003</v>
      </c>
      <c r="K763" s="2">
        <f t="shared" si="130"/>
        <v>1793488.8864987933</v>
      </c>
      <c r="L763" s="2">
        <f t="shared" si="131"/>
        <v>275143.03250000003</v>
      </c>
      <c r="N763" s="4">
        <f t="shared" si="125"/>
        <v>1055026.28055</v>
      </c>
      <c r="O763" s="2">
        <f t="shared" si="127"/>
        <v>543923.72054999997</v>
      </c>
    </row>
    <row r="764" spans="1:15" x14ac:dyDescent="0.3">
      <c r="A764" s="50">
        <v>44593</v>
      </c>
      <c r="B764" s="2">
        <v>763</v>
      </c>
      <c r="C764" s="4">
        <v>2463527.4300000002</v>
      </c>
      <c r="D764" s="4">
        <f t="shared" si="121"/>
        <v>1487314.9950000001</v>
      </c>
      <c r="E764" s="2">
        <f t="shared" si="122"/>
        <v>694976.49131145678</v>
      </c>
      <c r="F764" s="2">
        <f t="shared" si="123"/>
        <v>976212.43500000006</v>
      </c>
      <c r="G764" s="4">
        <f t="shared" si="124"/>
        <v>1237904.7933333332</v>
      </c>
      <c r="H764" s="2">
        <f t="shared" si="128"/>
        <v>765058.93442505284</v>
      </c>
      <c r="I764" s="2">
        <f t="shared" si="129"/>
        <v>1225622.6366666669</v>
      </c>
      <c r="J764" s="4">
        <f t="shared" si="126"/>
        <v>1362404.17</v>
      </c>
      <c r="K764" s="2">
        <f t="shared" si="130"/>
        <v>1034418.9460667633</v>
      </c>
      <c r="L764" s="2">
        <f t="shared" si="131"/>
        <v>1101123.2600000002</v>
      </c>
      <c r="N764" s="4">
        <f t="shared" si="125"/>
        <v>882010.41714999988</v>
      </c>
      <c r="O764" s="2">
        <f t="shared" si="127"/>
        <v>1581517.0128500003</v>
      </c>
    </row>
    <row r="765" spans="1:15" x14ac:dyDescent="0.3">
      <c r="A765" s="50">
        <v>44594</v>
      </c>
      <c r="B765" s="2">
        <v>764</v>
      </c>
      <c r="C765" s="4">
        <v>324368.2</v>
      </c>
      <c r="D765" s="4">
        <f t="shared" si="121"/>
        <v>1393947.8150000002</v>
      </c>
      <c r="E765" s="2">
        <f t="shared" si="122"/>
        <v>1023960.758787215</v>
      </c>
      <c r="F765" s="2">
        <f t="shared" si="123"/>
        <v>1069579.6150000002</v>
      </c>
      <c r="G765" s="4">
        <f t="shared" si="124"/>
        <v>1099666.0633333335</v>
      </c>
      <c r="H765" s="2">
        <f t="shared" si="128"/>
        <v>882750.60254072875</v>
      </c>
      <c r="I765" s="2">
        <f t="shared" si="129"/>
        <v>775297.86333333352</v>
      </c>
      <c r="J765" s="4">
        <f t="shared" si="126"/>
        <v>1009520.645</v>
      </c>
      <c r="K765" s="2">
        <f t="shared" si="130"/>
        <v>954673.00630946702</v>
      </c>
      <c r="L765" s="2">
        <f t="shared" si="131"/>
        <v>685152.44500000007</v>
      </c>
      <c r="N765" s="4">
        <f t="shared" si="125"/>
        <v>1215320.8940500002</v>
      </c>
      <c r="O765" s="2">
        <f t="shared" si="127"/>
        <v>890952.69405000028</v>
      </c>
    </row>
    <row r="766" spans="1:15" x14ac:dyDescent="0.3">
      <c r="A766" s="50">
        <v>44595</v>
      </c>
      <c r="B766" s="2">
        <v>765</v>
      </c>
      <c r="C766" s="4">
        <v>204457.2</v>
      </c>
      <c r="D766" s="4">
        <f t="shared" si="121"/>
        <v>264412.7</v>
      </c>
      <c r="E766" s="2">
        <f t="shared" si="122"/>
        <v>757494.29529330402</v>
      </c>
      <c r="F766" s="2">
        <f t="shared" si="123"/>
        <v>59955.5</v>
      </c>
      <c r="G766" s="4">
        <f t="shared" si="124"/>
        <v>997450.94333333347</v>
      </c>
      <c r="H766" s="2">
        <f t="shared" si="128"/>
        <v>954301.96153432783</v>
      </c>
      <c r="I766" s="2">
        <f t="shared" si="129"/>
        <v>792993.7433333334</v>
      </c>
      <c r="J766" s="4">
        <f t="shared" si="126"/>
        <v>875863.84750000015</v>
      </c>
      <c r="K766" s="2">
        <f t="shared" si="130"/>
        <v>743033.79486450541</v>
      </c>
      <c r="L766" s="2">
        <f t="shared" si="131"/>
        <v>671406.6475000002</v>
      </c>
      <c r="N766" s="4">
        <f t="shared" si="125"/>
        <v>1317375.6165500002</v>
      </c>
      <c r="O766" s="2">
        <f t="shared" si="127"/>
        <v>1112918.4165500002</v>
      </c>
    </row>
    <row r="767" spans="1:15" x14ac:dyDescent="0.3">
      <c r="A767" s="50">
        <v>44596</v>
      </c>
      <c r="B767" s="2">
        <v>766</v>
      </c>
      <c r="C767" s="4">
        <v>4447764.3</v>
      </c>
      <c r="D767" s="4">
        <f t="shared" si="121"/>
        <v>2326110.75</v>
      </c>
      <c r="E767" s="2">
        <f t="shared" si="122"/>
        <v>1500834.5092327555</v>
      </c>
      <c r="F767" s="2">
        <f t="shared" si="123"/>
        <v>2121653.5499999998</v>
      </c>
      <c r="G767" s="4">
        <f t="shared" si="124"/>
        <v>1658863.2333333334</v>
      </c>
      <c r="H767" s="2">
        <f t="shared" si="128"/>
        <v>1732810.3390647918</v>
      </c>
      <c r="I767" s="2">
        <f t="shared" si="129"/>
        <v>2788901.0666666664</v>
      </c>
      <c r="J767" s="4">
        <f t="shared" si="126"/>
        <v>1860029.2825000002</v>
      </c>
      <c r="K767" s="2">
        <f t="shared" si="130"/>
        <v>1485687.1906381757</v>
      </c>
      <c r="L767" s="2">
        <f t="shared" si="131"/>
        <v>2587735.0174999996</v>
      </c>
      <c r="N767" s="4">
        <f t="shared" si="125"/>
        <v>754813.04560000007</v>
      </c>
      <c r="O767" s="2">
        <f t="shared" si="127"/>
        <v>3692951.2544</v>
      </c>
    </row>
    <row r="768" spans="1:15" x14ac:dyDescent="0.3">
      <c r="A768" s="50">
        <v>44597</v>
      </c>
      <c r="B768" s="2">
        <v>767</v>
      </c>
      <c r="C768" s="4">
        <v>2521145.2799999998</v>
      </c>
      <c r="D768" s="4">
        <f t="shared" si="121"/>
        <v>3484454.79</v>
      </c>
      <c r="E768" s="2">
        <f t="shared" si="122"/>
        <v>1647631.4815947227</v>
      </c>
      <c r="F768" s="2">
        <f t="shared" si="123"/>
        <v>963309.51000000024</v>
      </c>
      <c r="G768" s="4">
        <f t="shared" si="124"/>
        <v>2391122.2599999998</v>
      </c>
      <c r="H768" s="2">
        <f t="shared" si="128"/>
        <v>1675680.3814520838</v>
      </c>
      <c r="I768" s="2">
        <f t="shared" si="129"/>
        <v>130023.02000000002</v>
      </c>
      <c r="J768" s="4">
        <f t="shared" si="126"/>
        <v>1874433.7450000001</v>
      </c>
      <c r="K768" s="2">
        <f t="shared" si="130"/>
        <v>1417288.7046659237</v>
      </c>
      <c r="L768" s="2">
        <f t="shared" si="131"/>
        <v>646711.53499999968</v>
      </c>
      <c r="N768" s="4">
        <f t="shared" si="125"/>
        <v>1652345.4985</v>
      </c>
      <c r="O768" s="2">
        <f t="shared" si="127"/>
        <v>868799.78149999981</v>
      </c>
    </row>
    <row r="769" spans="1:15" x14ac:dyDescent="0.3">
      <c r="A769" s="50">
        <v>44598</v>
      </c>
      <c r="B769" s="2">
        <v>768</v>
      </c>
      <c r="C769" s="4">
        <v>1384510.9200000002</v>
      </c>
      <c r="D769" s="4">
        <f t="shared" si="121"/>
        <v>1952828.1</v>
      </c>
      <c r="E769" s="2">
        <f t="shared" si="122"/>
        <v>790869.65713055164</v>
      </c>
      <c r="F769" s="2">
        <f t="shared" si="123"/>
        <v>568317.17999999993</v>
      </c>
      <c r="G769" s="4">
        <f t="shared" si="124"/>
        <v>2784473.5</v>
      </c>
      <c r="H769" s="2">
        <f t="shared" si="128"/>
        <v>1803216.6047357931</v>
      </c>
      <c r="I769" s="2">
        <f t="shared" si="129"/>
        <v>1399962.5799999998</v>
      </c>
      <c r="J769" s="4">
        <f t="shared" si="126"/>
        <v>2139469.4249999998</v>
      </c>
      <c r="K769" s="2">
        <f t="shared" si="130"/>
        <v>1426127.4102334618</v>
      </c>
      <c r="L769" s="2">
        <f t="shared" si="131"/>
        <v>754958.50499999966</v>
      </c>
      <c r="N769" s="4">
        <f t="shared" si="125"/>
        <v>2868819.3662999999</v>
      </c>
      <c r="O769" s="2">
        <f t="shared" si="127"/>
        <v>1484308.4462999997</v>
      </c>
    </row>
    <row r="770" spans="1:15" x14ac:dyDescent="0.3">
      <c r="A770" s="50">
        <v>44599</v>
      </c>
      <c r="B770" s="2">
        <v>769</v>
      </c>
      <c r="C770" s="4">
        <v>11313.5</v>
      </c>
      <c r="D770" s="4">
        <f t="shared" si="121"/>
        <v>697912.21000000008</v>
      </c>
      <c r="E770" s="2">
        <f t="shared" si="122"/>
        <v>630238.92519298452</v>
      </c>
      <c r="F770" s="2">
        <f t="shared" si="123"/>
        <v>686598.71000000008</v>
      </c>
      <c r="G770" s="4">
        <f t="shared" si="124"/>
        <v>1305656.5666666667</v>
      </c>
      <c r="H770" s="2">
        <f t="shared" si="128"/>
        <v>1103347.2081743272</v>
      </c>
      <c r="I770" s="2">
        <f t="shared" si="129"/>
        <v>1294343.0666666667</v>
      </c>
      <c r="J770" s="4">
        <f t="shared" si="126"/>
        <v>2091183.5</v>
      </c>
      <c r="K770" s="2">
        <f t="shared" si="130"/>
        <v>1732803.3566643975</v>
      </c>
      <c r="L770" s="2">
        <f t="shared" si="131"/>
        <v>2079870</v>
      </c>
      <c r="N770" s="4">
        <f t="shared" si="125"/>
        <v>2564228.9538000003</v>
      </c>
      <c r="O770" s="2">
        <f t="shared" si="127"/>
        <v>2552915.4538000003</v>
      </c>
    </row>
    <row r="771" spans="1:15" x14ac:dyDescent="0.3">
      <c r="A771" s="50">
        <v>44600</v>
      </c>
      <c r="B771" s="2">
        <v>770</v>
      </c>
      <c r="C771" s="4">
        <v>320769.59999999998</v>
      </c>
      <c r="D771" s="4">
        <f t="shared" si="121"/>
        <v>166041.54999999999</v>
      </c>
      <c r="E771" s="2">
        <f t="shared" si="122"/>
        <v>497673.86812573689</v>
      </c>
      <c r="F771" s="2">
        <f t="shared" si="123"/>
        <v>154728.04999999999</v>
      </c>
      <c r="G771" s="4">
        <f t="shared" si="124"/>
        <v>572198.00666666671</v>
      </c>
      <c r="H771" s="2">
        <f t="shared" si="128"/>
        <v>1110320.5908366085</v>
      </c>
      <c r="I771" s="2">
        <f t="shared" si="129"/>
        <v>251428.40666666673</v>
      </c>
      <c r="J771" s="4">
        <f t="shared" si="126"/>
        <v>1059434.825</v>
      </c>
      <c r="K771" s="2">
        <f t="shared" si="130"/>
        <v>1210339.1761504491</v>
      </c>
      <c r="L771" s="2">
        <f t="shared" si="131"/>
        <v>738665.22499999998</v>
      </c>
      <c r="N771" s="4">
        <f t="shared" si="125"/>
        <v>1174549.3435</v>
      </c>
      <c r="O771" s="2">
        <f t="shared" si="127"/>
        <v>853779.74349999998</v>
      </c>
    </row>
    <row r="772" spans="1:15" x14ac:dyDescent="0.3">
      <c r="A772" s="50">
        <v>44601</v>
      </c>
      <c r="B772" s="2">
        <v>771</v>
      </c>
      <c r="C772" s="4">
        <v>550989.76</v>
      </c>
      <c r="D772" s="4">
        <f t="shared" ref="D772:D835" si="132">AVERAGE(C771:C772)</f>
        <v>435879.67999999999</v>
      </c>
      <c r="E772" s="2">
        <f t="shared" si="122"/>
        <v>136365.50145547977</v>
      </c>
      <c r="F772" s="2">
        <f t="shared" si="123"/>
        <v>115110.08000000002</v>
      </c>
      <c r="G772" s="4">
        <f t="shared" si="124"/>
        <v>294357.62</v>
      </c>
      <c r="H772" s="2">
        <f t="shared" si="128"/>
        <v>775542.87936214707</v>
      </c>
      <c r="I772" s="2">
        <f t="shared" si="129"/>
        <v>256632.14</v>
      </c>
      <c r="J772" s="4">
        <f t="shared" si="126"/>
        <v>566895.94500000007</v>
      </c>
      <c r="K772" s="2">
        <f t="shared" si="130"/>
        <v>1166372.676561547</v>
      </c>
      <c r="L772" s="2">
        <f t="shared" si="131"/>
        <v>15906.185000000056</v>
      </c>
      <c r="N772" s="4">
        <f t="shared" si="125"/>
        <v>417084.72590000002</v>
      </c>
      <c r="O772" s="2">
        <f t="shared" si="127"/>
        <v>133905.03409999999</v>
      </c>
    </row>
    <row r="773" spans="1:15" x14ac:dyDescent="0.3">
      <c r="A773" s="50">
        <v>44602</v>
      </c>
      <c r="B773" s="2">
        <v>772</v>
      </c>
      <c r="C773" s="4">
        <v>95444.799999999988</v>
      </c>
      <c r="D773" s="4">
        <f t="shared" si="132"/>
        <v>323217.28000000003</v>
      </c>
      <c r="E773" s="2">
        <f t="shared" ref="E773:E836" si="133">SQRT(SUMXMY2(C772:C773,D772:D773)/2)</f>
        <v>180458.62844840201</v>
      </c>
      <c r="F773" s="2">
        <f t="shared" ref="F773:F836" si="134">ABS(D773-C773)</f>
        <v>227772.48000000004</v>
      </c>
      <c r="G773" s="4">
        <f t="shared" ref="G773:G836" si="135">AVERAGE(C771:C773)</f>
        <v>322401.38666666666</v>
      </c>
      <c r="H773" s="2">
        <f t="shared" si="128"/>
        <v>245347.09507912971</v>
      </c>
      <c r="I773" s="2">
        <f t="shared" si="129"/>
        <v>226956.58666666667</v>
      </c>
      <c r="J773" s="4">
        <f t="shared" si="126"/>
        <v>244629.41499999998</v>
      </c>
      <c r="K773" s="2">
        <f t="shared" si="130"/>
        <v>1106118.7309233865</v>
      </c>
      <c r="L773" s="2">
        <f t="shared" si="131"/>
        <v>149184.61499999999</v>
      </c>
      <c r="N773" s="4">
        <f t="shared" ref="N773:N836" si="136">($M$2*D772)+($M$3*C771)+($M$4*C770)</f>
        <v>329813.01160000003</v>
      </c>
      <c r="O773" s="2">
        <f t="shared" si="127"/>
        <v>234368.21160000004</v>
      </c>
    </row>
    <row r="774" spans="1:15" x14ac:dyDescent="0.3">
      <c r="A774" s="50">
        <v>44603</v>
      </c>
      <c r="B774" s="2">
        <v>773</v>
      </c>
      <c r="C774" s="4">
        <v>334803.27</v>
      </c>
      <c r="D774" s="4">
        <f t="shared" si="132"/>
        <v>215124.035</v>
      </c>
      <c r="E774" s="2">
        <f t="shared" si="133"/>
        <v>181938.75609052574</v>
      </c>
      <c r="F774" s="2">
        <f t="shared" si="134"/>
        <v>119679.23500000002</v>
      </c>
      <c r="G774" s="4">
        <f t="shared" si="135"/>
        <v>327079.27666666667</v>
      </c>
      <c r="H774" s="2">
        <f t="shared" si="128"/>
        <v>197845.90601894964</v>
      </c>
      <c r="I774" s="2">
        <f t="shared" si="129"/>
        <v>7723.9933333333465</v>
      </c>
      <c r="J774" s="4">
        <f t="shared" ref="J774:J837" si="137">AVERAGE(C771:C774)</f>
        <v>325501.85749999998</v>
      </c>
      <c r="K774" s="2">
        <f t="shared" si="130"/>
        <v>376902.46980245039</v>
      </c>
      <c r="L774" s="2">
        <f t="shared" si="131"/>
        <v>9301.4125000000349</v>
      </c>
      <c r="N774" s="4">
        <f t="shared" si="136"/>
        <v>347733.76319999999</v>
      </c>
      <c r="O774" s="2">
        <f t="shared" ref="O774:O837" si="138">ABS(N774-C774)</f>
        <v>12930.493199999968</v>
      </c>
    </row>
    <row r="775" spans="1:15" x14ac:dyDescent="0.3">
      <c r="A775" s="50">
        <v>44604</v>
      </c>
      <c r="B775" s="2">
        <v>774</v>
      </c>
      <c r="C775" s="4">
        <v>239963.2</v>
      </c>
      <c r="D775" s="4">
        <f t="shared" si="132"/>
        <v>287383.23499999999</v>
      </c>
      <c r="E775" s="2">
        <f t="shared" si="133"/>
        <v>91026.861446461102</v>
      </c>
      <c r="F775" s="2">
        <f t="shared" si="134"/>
        <v>47420.034999999974</v>
      </c>
      <c r="G775" s="4">
        <f t="shared" si="135"/>
        <v>223403.75666666668</v>
      </c>
      <c r="H775" s="2">
        <f t="shared" ref="H775:H838" si="139">SQRT(SUMXMY2(C773:C775,G773:G775)/3)</f>
        <v>131457.42969735796</v>
      </c>
      <c r="I775" s="2">
        <f t="shared" ref="I775:I838" si="140">ABS(G775-C775)</f>
        <v>16559.443333333329</v>
      </c>
      <c r="J775" s="4">
        <f t="shared" si="137"/>
        <v>305300.25750000001</v>
      </c>
      <c r="K775" s="2">
        <f t="shared" si="130"/>
        <v>81951.972873149774</v>
      </c>
      <c r="L775" s="2">
        <f t="shared" si="131"/>
        <v>65337.057499999995</v>
      </c>
      <c r="N775" s="4">
        <f t="shared" si="136"/>
        <v>275849.77864999999</v>
      </c>
      <c r="O775" s="2">
        <f t="shared" si="138"/>
        <v>35886.578649999981</v>
      </c>
    </row>
    <row r="776" spans="1:15" x14ac:dyDescent="0.3">
      <c r="A776" s="50">
        <v>44605</v>
      </c>
      <c r="B776" s="2">
        <v>775</v>
      </c>
      <c r="C776" s="4">
        <v>218080.2</v>
      </c>
      <c r="D776" s="4">
        <f t="shared" si="132"/>
        <v>229021.7</v>
      </c>
      <c r="E776" s="2">
        <f t="shared" si="133"/>
        <v>34412.033808329485</v>
      </c>
      <c r="F776" s="2">
        <f t="shared" si="134"/>
        <v>10941.5</v>
      </c>
      <c r="G776" s="4">
        <f t="shared" si="135"/>
        <v>264282.22333333333</v>
      </c>
      <c r="H776" s="2">
        <f t="shared" si="139"/>
        <v>28685.084373922346</v>
      </c>
      <c r="I776" s="2">
        <f t="shared" si="140"/>
        <v>46202.023333333316</v>
      </c>
      <c r="J776" s="4">
        <f t="shared" si="137"/>
        <v>222072.86749999999</v>
      </c>
      <c r="K776" s="2">
        <f t="shared" si="130"/>
        <v>81589.579763161601</v>
      </c>
      <c r="L776" s="2">
        <f t="shared" si="131"/>
        <v>3992.6674999999814</v>
      </c>
      <c r="N776" s="4">
        <f t="shared" si="136"/>
        <v>250372.98315000001</v>
      </c>
      <c r="O776" s="2">
        <f t="shared" si="138"/>
        <v>32292.783150000003</v>
      </c>
    </row>
    <row r="777" spans="1:15" x14ac:dyDescent="0.3">
      <c r="A777" s="50">
        <v>44606</v>
      </c>
      <c r="B777" s="2">
        <v>776</v>
      </c>
      <c r="C777" s="4">
        <v>299884</v>
      </c>
      <c r="D777" s="4">
        <f t="shared" si="132"/>
        <v>258982.1</v>
      </c>
      <c r="E777" s="2">
        <f t="shared" si="133"/>
        <v>29938.953270446844</v>
      </c>
      <c r="F777" s="2">
        <f t="shared" si="134"/>
        <v>40901.899999999994</v>
      </c>
      <c r="G777" s="4">
        <f t="shared" si="135"/>
        <v>252642.46666666667</v>
      </c>
      <c r="H777" s="2">
        <f t="shared" si="139"/>
        <v>39330.245339044086</v>
      </c>
      <c r="I777" s="2">
        <f t="shared" si="140"/>
        <v>47241.533333333326</v>
      </c>
      <c r="J777" s="4">
        <f t="shared" si="137"/>
        <v>273182.66749999998</v>
      </c>
      <c r="K777" s="2">
        <f t="shared" ref="K777:K840" si="141">SQRT(SUMXMY2(C774:C777,J774:J777)/4)</f>
        <v>35652.313768865606</v>
      </c>
      <c r="L777" s="2">
        <f t="shared" ref="L777:L840" si="142">ABS(J777-C777)</f>
        <v>26701.332500000019</v>
      </c>
      <c r="N777" s="4">
        <f t="shared" si="136"/>
        <v>253497.21040000001</v>
      </c>
      <c r="O777" s="2">
        <f t="shared" si="138"/>
        <v>46386.789599999989</v>
      </c>
    </row>
    <row r="778" spans="1:15" x14ac:dyDescent="0.3">
      <c r="A778" s="50">
        <v>44607</v>
      </c>
      <c r="B778" s="2">
        <v>777</v>
      </c>
      <c r="C778" s="4">
        <v>5340145.57</v>
      </c>
      <c r="D778" s="4">
        <f t="shared" si="132"/>
        <v>2820014.7850000001</v>
      </c>
      <c r="E778" s="2">
        <f t="shared" si="133"/>
        <v>1782236.2552322191</v>
      </c>
      <c r="F778" s="2">
        <f t="shared" si="134"/>
        <v>2520130.7850000001</v>
      </c>
      <c r="G778" s="4">
        <f t="shared" si="135"/>
        <v>1952703.2566666668</v>
      </c>
      <c r="H778" s="2">
        <f t="shared" si="139"/>
        <v>1956112.7963040085</v>
      </c>
      <c r="I778" s="2">
        <f t="shared" si="140"/>
        <v>3387442.3133333335</v>
      </c>
      <c r="J778" s="4">
        <f t="shared" si="137"/>
        <v>1524518.2425000002</v>
      </c>
      <c r="K778" s="2">
        <f t="shared" si="141"/>
        <v>1908141.0938396689</v>
      </c>
      <c r="L778" s="2">
        <f t="shared" si="142"/>
        <v>3815627.3275000001</v>
      </c>
      <c r="N778" s="4">
        <f t="shared" si="136"/>
        <v>250298.73300000004</v>
      </c>
      <c r="O778" s="2">
        <f t="shared" si="138"/>
        <v>5089846.8370000003</v>
      </c>
    </row>
    <row r="779" spans="1:15" x14ac:dyDescent="0.3">
      <c r="A779" s="50">
        <v>44608</v>
      </c>
      <c r="B779" s="2">
        <v>778</v>
      </c>
      <c r="C779" s="4">
        <v>2292259.2000000002</v>
      </c>
      <c r="D779" s="4">
        <f t="shared" si="132"/>
        <v>3816202.3850000002</v>
      </c>
      <c r="E779" s="2">
        <f t="shared" si="133"/>
        <v>2082481.933248481</v>
      </c>
      <c r="F779" s="2">
        <f t="shared" si="134"/>
        <v>1523943.1850000001</v>
      </c>
      <c r="G779" s="4">
        <f t="shared" si="135"/>
        <v>2644096.2566666668</v>
      </c>
      <c r="H779" s="2">
        <f t="shared" si="139"/>
        <v>1966450.8217493966</v>
      </c>
      <c r="I779" s="2">
        <f t="shared" si="140"/>
        <v>351837.05666666664</v>
      </c>
      <c r="J779" s="4">
        <f t="shared" si="137"/>
        <v>2037592.2425000002</v>
      </c>
      <c r="K779" s="2">
        <f t="shared" si="141"/>
        <v>1912105.9113029109</v>
      </c>
      <c r="L779" s="2">
        <f t="shared" si="142"/>
        <v>254666.95750000002</v>
      </c>
      <c r="N779" s="4">
        <f t="shared" si="136"/>
        <v>1970374.7899500004</v>
      </c>
      <c r="O779" s="2">
        <f t="shared" si="138"/>
        <v>321884.41004999983</v>
      </c>
    </row>
    <row r="780" spans="1:15" x14ac:dyDescent="0.3">
      <c r="A780" s="50">
        <v>44609</v>
      </c>
      <c r="B780" s="2">
        <v>779</v>
      </c>
      <c r="C780" s="4">
        <v>2572839.5</v>
      </c>
      <c r="D780" s="4">
        <f t="shared" si="132"/>
        <v>2432549.35</v>
      </c>
      <c r="E780" s="2">
        <f t="shared" si="133"/>
        <v>1082146.9764535145</v>
      </c>
      <c r="F780" s="2">
        <f t="shared" si="134"/>
        <v>140290.14999999991</v>
      </c>
      <c r="G780" s="4">
        <f t="shared" si="135"/>
        <v>3401748.09</v>
      </c>
      <c r="H780" s="2">
        <f t="shared" si="139"/>
        <v>2023663.6900417961</v>
      </c>
      <c r="I780" s="2">
        <f t="shared" si="140"/>
        <v>828908.58999999985</v>
      </c>
      <c r="J780" s="4">
        <f t="shared" si="137"/>
        <v>2626282.0674999999</v>
      </c>
      <c r="K780" s="2">
        <f t="shared" si="141"/>
        <v>1912291.5723540545</v>
      </c>
      <c r="L780" s="2">
        <f t="shared" si="142"/>
        <v>53442.567499999888</v>
      </c>
      <c r="N780" s="4">
        <f t="shared" si="136"/>
        <v>3210246.0906500001</v>
      </c>
      <c r="O780" s="2">
        <f t="shared" si="138"/>
        <v>637406.59065000014</v>
      </c>
    </row>
    <row r="781" spans="1:15" x14ac:dyDescent="0.3">
      <c r="A781" s="50">
        <v>44610</v>
      </c>
      <c r="B781" s="2">
        <v>780</v>
      </c>
      <c r="C781" s="4">
        <v>824373.05999999994</v>
      </c>
      <c r="D781" s="4">
        <f t="shared" si="132"/>
        <v>1698606.28</v>
      </c>
      <c r="E781" s="2">
        <f t="shared" si="133"/>
        <v>626085.07774047414</v>
      </c>
      <c r="F781" s="2">
        <f t="shared" si="134"/>
        <v>874233.22000000009</v>
      </c>
      <c r="G781" s="4">
        <f t="shared" si="135"/>
        <v>1896490.5866666667</v>
      </c>
      <c r="H781" s="2">
        <f t="shared" si="139"/>
        <v>808355.27585451805</v>
      </c>
      <c r="I781" s="2">
        <f t="shared" si="140"/>
        <v>1072117.5266666668</v>
      </c>
      <c r="J781" s="4">
        <f t="shared" si="137"/>
        <v>2757404.3325</v>
      </c>
      <c r="K781" s="2">
        <f t="shared" si="141"/>
        <v>2142622.9935578415</v>
      </c>
      <c r="L781" s="2">
        <f t="shared" si="142"/>
        <v>1933031.2725</v>
      </c>
      <c r="N781" s="4">
        <f t="shared" si="136"/>
        <v>3056788.6019000001</v>
      </c>
      <c r="O781" s="2">
        <f t="shared" si="138"/>
        <v>2232415.5419000001</v>
      </c>
    </row>
    <row r="782" spans="1:15" x14ac:dyDescent="0.3">
      <c r="A782" s="50">
        <v>44611</v>
      </c>
      <c r="B782" s="2">
        <v>781</v>
      </c>
      <c r="C782" s="4">
        <v>5103532.7700000005</v>
      </c>
      <c r="D782" s="4">
        <f t="shared" si="132"/>
        <v>2963952.915</v>
      </c>
      <c r="E782" s="2">
        <f t="shared" si="133"/>
        <v>1634332.5363697242</v>
      </c>
      <c r="F782" s="2">
        <f t="shared" si="134"/>
        <v>2139579.8550000004</v>
      </c>
      <c r="G782" s="4">
        <f t="shared" si="135"/>
        <v>2833581.7766666668</v>
      </c>
      <c r="H782" s="2">
        <f t="shared" si="139"/>
        <v>1526346.7227006042</v>
      </c>
      <c r="I782" s="2">
        <f t="shared" si="140"/>
        <v>2269950.9933333336</v>
      </c>
      <c r="J782" s="4">
        <f t="shared" si="137"/>
        <v>2698251.1325000003</v>
      </c>
      <c r="K782" s="2">
        <f t="shared" si="141"/>
        <v>1548362.1203889088</v>
      </c>
      <c r="L782" s="2">
        <f t="shared" si="142"/>
        <v>2405281.6375000002</v>
      </c>
      <c r="N782" s="4">
        <f t="shared" si="136"/>
        <v>1925375.5766</v>
      </c>
      <c r="O782" s="2">
        <f t="shared" si="138"/>
        <v>3178157.1934000002</v>
      </c>
    </row>
    <row r="783" spans="1:15" x14ac:dyDescent="0.3">
      <c r="A783" s="50">
        <v>44612</v>
      </c>
      <c r="B783" s="2">
        <v>782</v>
      </c>
      <c r="C783" s="4">
        <v>1545502</v>
      </c>
      <c r="D783" s="4">
        <f t="shared" si="132"/>
        <v>3324517.3850000002</v>
      </c>
      <c r="E783" s="2">
        <f t="shared" si="133"/>
        <v>1967574.356407976</v>
      </c>
      <c r="F783" s="2">
        <f t="shared" si="134"/>
        <v>1779015.3850000002</v>
      </c>
      <c r="G783" s="4">
        <f t="shared" si="135"/>
        <v>2491135.9433333334</v>
      </c>
      <c r="H783" s="2">
        <f t="shared" si="139"/>
        <v>1548799.2185243585</v>
      </c>
      <c r="I783" s="2">
        <f t="shared" si="140"/>
        <v>945633.94333333336</v>
      </c>
      <c r="J783" s="4">
        <f t="shared" si="137"/>
        <v>2511561.8325</v>
      </c>
      <c r="K783" s="2">
        <f t="shared" si="141"/>
        <v>1616950.6303648059</v>
      </c>
      <c r="L783" s="2">
        <f t="shared" si="142"/>
        <v>966059.83250000002</v>
      </c>
      <c r="N783" s="4">
        <f t="shared" si="136"/>
        <v>2642554.1796500003</v>
      </c>
      <c r="O783" s="2">
        <f t="shared" si="138"/>
        <v>1097052.1796500003</v>
      </c>
    </row>
    <row r="784" spans="1:15" x14ac:dyDescent="0.3">
      <c r="A784" s="50">
        <v>44613</v>
      </c>
      <c r="B784" s="2">
        <v>783</v>
      </c>
      <c r="C784" s="4">
        <v>3548315.1999999997</v>
      </c>
      <c r="D784" s="4">
        <f t="shared" si="132"/>
        <v>2546908.5999999996</v>
      </c>
      <c r="E784" s="2">
        <f t="shared" si="133"/>
        <v>1443556.5313818264</v>
      </c>
      <c r="F784" s="2">
        <f t="shared" si="134"/>
        <v>1001406.6000000001</v>
      </c>
      <c r="G784" s="4">
        <f t="shared" si="135"/>
        <v>3399116.6566666667</v>
      </c>
      <c r="H784" s="2">
        <f t="shared" si="139"/>
        <v>1422340.9427480139</v>
      </c>
      <c r="I784" s="2">
        <f t="shared" si="140"/>
        <v>149198.54333333299</v>
      </c>
      <c r="J784" s="4">
        <f t="shared" si="137"/>
        <v>2755430.7574999998</v>
      </c>
      <c r="K784" s="2">
        <f t="shared" si="141"/>
        <v>1664626.6094297329</v>
      </c>
      <c r="L784" s="2">
        <f t="shared" si="142"/>
        <v>792884.44249999989</v>
      </c>
      <c r="N784" s="4">
        <f t="shared" si="136"/>
        <v>2970177.3258500001</v>
      </c>
      <c r="O784" s="2">
        <f t="shared" si="138"/>
        <v>578137.87414999958</v>
      </c>
    </row>
    <row r="785" spans="1:15" x14ac:dyDescent="0.3">
      <c r="A785" s="50">
        <v>44614</v>
      </c>
      <c r="B785" s="2">
        <v>784</v>
      </c>
      <c r="C785" s="4">
        <v>550864.6</v>
      </c>
      <c r="D785" s="4">
        <f t="shared" si="132"/>
        <v>2049589.9</v>
      </c>
      <c r="E785" s="2">
        <f t="shared" si="133"/>
        <v>1274557.315969676</v>
      </c>
      <c r="F785" s="2">
        <f t="shared" si="134"/>
        <v>1498725.2999999998</v>
      </c>
      <c r="G785" s="4">
        <f t="shared" si="135"/>
        <v>1881560.5999999996</v>
      </c>
      <c r="H785" s="2">
        <f t="shared" si="139"/>
        <v>946438.16570919147</v>
      </c>
      <c r="I785" s="2">
        <f t="shared" si="140"/>
        <v>1330695.9999999995</v>
      </c>
      <c r="J785" s="4">
        <f t="shared" si="137"/>
        <v>2687053.6425000001</v>
      </c>
      <c r="K785" s="2">
        <f t="shared" si="141"/>
        <v>1725588.357642127</v>
      </c>
      <c r="L785" s="2">
        <f t="shared" si="142"/>
        <v>2136189.0425</v>
      </c>
      <c r="N785" s="4">
        <f t="shared" si="136"/>
        <v>2999211.1913999999</v>
      </c>
      <c r="O785" s="2">
        <f t="shared" si="138"/>
        <v>2448346.5913999998</v>
      </c>
    </row>
    <row r="786" spans="1:15" x14ac:dyDescent="0.3">
      <c r="A786" s="50">
        <v>44615</v>
      </c>
      <c r="B786" s="2">
        <v>785</v>
      </c>
      <c r="C786" s="4">
        <v>1366003.28</v>
      </c>
      <c r="D786" s="4">
        <f t="shared" si="132"/>
        <v>958433.94</v>
      </c>
      <c r="E786" s="2">
        <f t="shared" si="133"/>
        <v>1098246.3957983484</v>
      </c>
      <c r="F786" s="2">
        <f t="shared" si="134"/>
        <v>407569.34000000008</v>
      </c>
      <c r="G786" s="4">
        <f t="shared" si="135"/>
        <v>1821727.6933333334</v>
      </c>
      <c r="H786" s="2">
        <f t="shared" si="139"/>
        <v>816638.80033888458</v>
      </c>
      <c r="I786" s="2">
        <f t="shared" si="140"/>
        <v>455724.41333333333</v>
      </c>
      <c r="J786" s="4">
        <f t="shared" si="137"/>
        <v>1752671.2699999998</v>
      </c>
      <c r="K786" s="2">
        <f t="shared" si="141"/>
        <v>1252472.8638693304</v>
      </c>
      <c r="L786" s="2">
        <f t="shared" si="142"/>
        <v>386667.98999999976</v>
      </c>
      <c r="N786" s="4">
        <f t="shared" si="136"/>
        <v>2103550.3450000002</v>
      </c>
      <c r="O786" s="2">
        <f t="shared" si="138"/>
        <v>737547.06500000018</v>
      </c>
    </row>
    <row r="787" spans="1:15" x14ac:dyDescent="0.3">
      <c r="A787" s="50">
        <v>44616</v>
      </c>
      <c r="B787" s="2">
        <v>786</v>
      </c>
      <c r="C787" s="4">
        <v>514653.81</v>
      </c>
      <c r="D787" s="4">
        <f t="shared" si="132"/>
        <v>940328.54500000004</v>
      </c>
      <c r="E787" s="2">
        <f t="shared" si="133"/>
        <v>416720.37802665465</v>
      </c>
      <c r="F787" s="2">
        <f t="shared" si="134"/>
        <v>425674.73500000004</v>
      </c>
      <c r="G787" s="4">
        <f t="shared" si="135"/>
        <v>810507.23</v>
      </c>
      <c r="H787" s="2">
        <f t="shared" si="139"/>
        <v>829852.56350143428</v>
      </c>
      <c r="I787" s="2">
        <f t="shared" si="140"/>
        <v>295853.42</v>
      </c>
      <c r="J787" s="4">
        <f t="shared" si="137"/>
        <v>1494959.2224999999</v>
      </c>
      <c r="K787" s="2">
        <f t="shared" si="141"/>
        <v>1255237.0493977459</v>
      </c>
      <c r="L787" s="2">
        <f t="shared" si="142"/>
        <v>980305.41249999986</v>
      </c>
      <c r="N787" s="4">
        <f t="shared" si="136"/>
        <v>1483375.1897999998</v>
      </c>
      <c r="O787" s="2">
        <f t="shared" si="138"/>
        <v>968721.37979999976</v>
      </c>
    </row>
    <row r="788" spans="1:15" x14ac:dyDescent="0.3">
      <c r="A788" s="50">
        <v>44617</v>
      </c>
      <c r="B788" s="2">
        <v>787</v>
      </c>
      <c r="C788" s="4">
        <v>295820.96000000002</v>
      </c>
      <c r="D788" s="4">
        <f t="shared" si="132"/>
        <v>405237.38500000001</v>
      </c>
      <c r="E788" s="2">
        <f t="shared" si="133"/>
        <v>310782.02496050257</v>
      </c>
      <c r="F788" s="2">
        <f t="shared" si="134"/>
        <v>109416.42499999999</v>
      </c>
      <c r="G788" s="4">
        <f t="shared" si="135"/>
        <v>725492.68333333347</v>
      </c>
      <c r="H788" s="2">
        <f t="shared" si="139"/>
        <v>399929.90088511922</v>
      </c>
      <c r="I788" s="2">
        <f t="shared" si="140"/>
        <v>429671.72333333344</v>
      </c>
      <c r="J788" s="4">
        <f t="shared" si="137"/>
        <v>681835.66249999998</v>
      </c>
      <c r="K788" s="2">
        <f t="shared" si="141"/>
        <v>1206526.1924333288</v>
      </c>
      <c r="L788" s="2">
        <f t="shared" si="142"/>
        <v>386014.70249999996</v>
      </c>
      <c r="N788" s="4">
        <f t="shared" si="136"/>
        <v>901470.69795000018</v>
      </c>
      <c r="O788" s="2">
        <f t="shared" si="138"/>
        <v>605649.73795000021</v>
      </c>
    </row>
    <row r="789" spans="1:15" x14ac:dyDescent="0.3">
      <c r="A789" s="50">
        <v>44618</v>
      </c>
      <c r="B789" s="2">
        <v>788</v>
      </c>
      <c r="C789" s="4">
        <v>180547.25</v>
      </c>
      <c r="D789" s="4">
        <f t="shared" si="132"/>
        <v>238184.10500000001</v>
      </c>
      <c r="E789" s="2">
        <f t="shared" si="133"/>
        <v>87447.015712577777</v>
      </c>
      <c r="F789" s="2">
        <f t="shared" si="134"/>
        <v>57636.85500000001</v>
      </c>
      <c r="G789" s="4">
        <f t="shared" si="135"/>
        <v>330340.67333333334</v>
      </c>
      <c r="H789" s="2">
        <f t="shared" si="139"/>
        <v>313360.87057993922</v>
      </c>
      <c r="I789" s="2">
        <f t="shared" si="140"/>
        <v>149793.42333333334</v>
      </c>
      <c r="J789" s="4">
        <f t="shared" si="137"/>
        <v>589256.32500000007</v>
      </c>
      <c r="K789" s="2">
        <f t="shared" si="141"/>
        <v>597193.70701660821</v>
      </c>
      <c r="L789" s="2">
        <f t="shared" si="142"/>
        <v>408709.07500000007</v>
      </c>
      <c r="N789" s="4">
        <f t="shared" si="136"/>
        <v>628641.68865000003</v>
      </c>
      <c r="O789" s="2">
        <f t="shared" si="138"/>
        <v>448094.43865000003</v>
      </c>
    </row>
    <row r="790" spans="1:15" x14ac:dyDescent="0.3">
      <c r="A790" s="50">
        <v>44619</v>
      </c>
      <c r="B790" s="2">
        <v>789</v>
      </c>
      <c r="C790" s="4">
        <v>891982.68</v>
      </c>
      <c r="D790" s="4">
        <f t="shared" si="132"/>
        <v>536264.96500000008</v>
      </c>
      <c r="E790" s="2">
        <f t="shared" si="133"/>
        <v>254810.81199500957</v>
      </c>
      <c r="F790" s="2">
        <f t="shared" si="134"/>
        <v>355717.71499999997</v>
      </c>
      <c r="G790" s="4">
        <f t="shared" si="135"/>
        <v>456116.96333333338</v>
      </c>
      <c r="H790" s="2">
        <f t="shared" si="139"/>
        <v>363792.42362987844</v>
      </c>
      <c r="I790" s="2">
        <f t="shared" si="140"/>
        <v>435865.71666666667</v>
      </c>
      <c r="J790" s="4">
        <f t="shared" si="137"/>
        <v>470751.17500000005</v>
      </c>
      <c r="K790" s="2">
        <f t="shared" si="141"/>
        <v>603010.18671223102</v>
      </c>
      <c r="L790" s="2">
        <f t="shared" si="142"/>
        <v>421231.505</v>
      </c>
      <c r="N790" s="4">
        <f t="shared" si="136"/>
        <v>305347.49415000004</v>
      </c>
      <c r="O790" s="2">
        <f t="shared" si="138"/>
        <v>586635.18585000001</v>
      </c>
    </row>
    <row r="791" spans="1:15" x14ac:dyDescent="0.3">
      <c r="A791" s="50">
        <v>44620</v>
      </c>
      <c r="B791" s="2">
        <v>790</v>
      </c>
      <c r="C791" s="4">
        <v>1085911.8600000001</v>
      </c>
      <c r="D791" s="4">
        <f t="shared" si="132"/>
        <v>988947.27</v>
      </c>
      <c r="E791" s="2">
        <f t="shared" si="133"/>
        <v>260707.90597782924</v>
      </c>
      <c r="F791" s="2">
        <f t="shared" si="134"/>
        <v>96964.590000000084</v>
      </c>
      <c r="G791" s="4">
        <f t="shared" si="135"/>
        <v>719480.59666666668</v>
      </c>
      <c r="H791" s="2">
        <f t="shared" si="139"/>
        <v>339945.51690299279</v>
      </c>
      <c r="I791" s="2">
        <f t="shared" si="140"/>
        <v>366431.26333333342</v>
      </c>
      <c r="J791" s="4">
        <f t="shared" si="137"/>
        <v>613565.6875</v>
      </c>
      <c r="K791" s="2">
        <f t="shared" si="141"/>
        <v>423260.36490955664</v>
      </c>
      <c r="L791" s="2">
        <f t="shared" si="142"/>
        <v>472346.1725000001</v>
      </c>
      <c r="N791" s="4">
        <f t="shared" si="136"/>
        <v>444238.33525000006</v>
      </c>
      <c r="O791" s="2">
        <f t="shared" si="138"/>
        <v>641673.5247500001</v>
      </c>
    </row>
    <row r="792" spans="1:15" x14ac:dyDescent="0.3">
      <c r="A792" s="50">
        <v>44621</v>
      </c>
      <c r="B792" s="2">
        <v>791</v>
      </c>
      <c r="C792" s="4">
        <v>1237825.26</v>
      </c>
      <c r="D792" s="4">
        <f t="shared" si="132"/>
        <v>1161868.56</v>
      </c>
      <c r="E792" s="2">
        <f t="shared" si="133"/>
        <v>87096.360396856166</v>
      </c>
      <c r="F792" s="2">
        <f t="shared" si="134"/>
        <v>75956.699999999953</v>
      </c>
      <c r="G792" s="4">
        <f t="shared" si="135"/>
        <v>1071906.5999999999</v>
      </c>
      <c r="H792" s="2">
        <f t="shared" si="139"/>
        <v>342432.3755379084</v>
      </c>
      <c r="I792" s="2">
        <f t="shared" si="140"/>
        <v>165918.66000000015</v>
      </c>
      <c r="J792" s="4">
        <f t="shared" si="137"/>
        <v>849066.76249999995</v>
      </c>
      <c r="K792" s="2">
        <f t="shared" si="141"/>
        <v>423887.7106162014</v>
      </c>
      <c r="L792" s="2">
        <f t="shared" si="142"/>
        <v>388758.49750000006</v>
      </c>
      <c r="N792" s="4">
        <f t="shared" si="136"/>
        <v>800433.16070000001</v>
      </c>
      <c r="O792" s="2">
        <f t="shared" si="138"/>
        <v>437392.0993</v>
      </c>
    </row>
    <row r="793" spans="1:15" x14ac:dyDescent="0.3">
      <c r="A793" s="50">
        <v>44622</v>
      </c>
      <c r="B793" s="2">
        <v>792</v>
      </c>
      <c r="C793" s="4">
        <v>133087.9</v>
      </c>
      <c r="D793" s="4">
        <f t="shared" si="132"/>
        <v>685456.58</v>
      </c>
      <c r="E793" s="2">
        <f t="shared" si="133"/>
        <v>394259.16534675029</v>
      </c>
      <c r="F793" s="2">
        <f t="shared" si="134"/>
        <v>552368.67999999993</v>
      </c>
      <c r="G793" s="4">
        <f t="shared" si="135"/>
        <v>818941.67333333334</v>
      </c>
      <c r="H793" s="2">
        <f t="shared" si="139"/>
        <v>459055.65054062515</v>
      </c>
      <c r="I793" s="2">
        <f t="shared" si="140"/>
        <v>685853.77333333332</v>
      </c>
      <c r="J793" s="4">
        <f t="shared" si="137"/>
        <v>837201.92499999993</v>
      </c>
      <c r="K793" s="2">
        <f t="shared" si="141"/>
        <v>511726.64017523132</v>
      </c>
      <c r="L793" s="2">
        <f t="shared" si="142"/>
        <v>704114.02499999991</v>
      </c>
      <c r="N793" s="4">
        <f t="shared" si="136"/>
        <v>1094138.4294</v>
      </c>
      <c r="O793" s="2">
        <f t="shared" si="138"/>
        <v>961050.5294</v>
      </c>
    </row>
    <row r="794" spans="1:15" x14ac:dyDescent="0.3">
      <c r="A794" s="50">
        <v>44623</v>
      </c>
      <c r="B794" s="2">
        <v>793</v>
      </c>
      <c r="C794" s="4">
        <v>219930.75</v>
      </c>
      <c r="D794" s="4">
        <f t="shared" si="132"/>
        <v>176509.32500000001</v>
      </c>
      <c r="E794" s="2">
        <f t="shared" si="133"/>
        <v>391788.57742025418</v>
      </c>
      <c r="F794" s="2">
        <f t="shared" si="134"/>
        <v>43421.424999999988</v>
      </c>
      <c r="G794" s="4">
        <f t="shared" si="135"/>
        <v>530281.30333333334</v>
      </c>
      <c r="H794" s="2">
        <f t="shared" si="139"/>
        <v>445062.49227349076</v>
      </c>
      <c r="I794" s="2">
        <f t="shared" si="140"/>
        <v>310350.55333333334</v>
      </c>
      <c r="J794" s="4">
        <f t="shared" si="137"/>
        <v>669188.9425</v>
      </c>
      <c r="K794" s="2">
        <f t="shared" si="141"/>
        <v>517651.80376965867</v>
      </c>
      <c r="L794" s="2">
        <f t="shared" si="142"/>
        <v>449258.1925</v>
      </c>
      <c r="N794" s="4">
        <f t="shared" si="136"/>
        <v>834317.29640000011</v>
      </c>
      <c r="O794" s="2">
        <f t="shared" si="138"/>
        <v>614386.54640000011</v>
      </c>
    </row>
    <row r="795" spans="1:15" x14ac:dyDescent="0.3">
      <c r="A795" s="50">
        <v>44624</v>
      </c>
      <c r="B795" s="2">
        <v>794</v>
      </c>
      <c r="C795" s="4">
        <v>269261.3</v>
      </c>
      <c r="D795" s="4">
        <f t="shared" si="132"/>
        <v>244596.02499999999</v>
      </c>
      <c r="E795" s="2">
        <f t="shared" si="133"/>
        <v>35311.442478722449</v>
      </c>
      <c r="F795" s="2">
        <f t="shared" si="134"/>
        <v>24665.274999999994</v>
      </c>
      <c r="G795" s="4">
        <f t="shared" si="135"/>
        <v>207426.65</v>
      </c>
      <c r="H795" s="2">
        <f t="shared" si="139"/>
        <v>436094.93931577948</v>
      </c>
      <c r="I795" s="2">
        <f t="shared" si="140"/>
        <v>61834.649999999994</v>
      </c>
      <c r="J795" s="4">
        <f t="shared" si="137"/>
        <v>465026.30249999999</v>
      </c>
      <c r="K795" s="2">
        <f t="shared" si="141"/>
        <v>470921.06273566437</v>
      </c>
      <c r="L795" s="2">
        <f t="shared" si="142"/>
        <v>195765.0025</v>
      </c>
      <c r="N795" s="4">
        <f t="shared" si="136"/>
        <v>405222.47395000001</v>
      </c>
      <c r="O795" s="2">
        <f t="shared" si="138"/>
        <v>135961.17395000003</v>
      </c>
    </row>
    <row r="796" spans="1:15" x14ac:dyDescent="0.3">
      <c r="A796" s="50">
        <v>44625</v>
      </c>
      <c r="B796" s="2">
        <v>795</v>
      </c>
      <c r="C796" s="4">
        <v>627408.96000000008</v>
      </c>
      <c r="D796" s="4">
        <f t="shared" si="132"/>
        <v>448335.13</v>
      </c>
      <c r="E796" s="2">
        <f t="shared" si="133"/>
        <v>127819.81924117745</v>
      </c>
      <c r="F796" s="2">
        <f t="shared" si="134"/>
        <v>179073.83000000007</v>
      </c>
      <c r="G796" s="4">
        <f t="shared" si="135"/>
        <v>372200.33666666667</v>
      </c>
      <c r="H796" s="2">
        <f t="shared" si="139"/>
        <v>234714.31664800789</v>
      </c>
      <c r="I796" s="2">
        <f t="shared" si="140"/>
        <v>255208.62333333341</v>
      </c>
      <c r="J796" s="4">
        <f t="shared" si="137"/>
        <v>312422.22750000004</v>
      </c>
      <c r="K796" s="2">
        <f t="shared" si="141"/>
        <v>456932.72524106852</v>
      </c>
      <c r="L796" s="2">
        <f t="shared" si="142"/>
        <v>314986.73250000004</v>
      </c>
      <c r="N796" s="4">
        <f t="shared" si="136"/>
        <v>217351.05725000001</v>
      </c>
      <c r="O796" s="2">
        <f t="shared" si="138"/>
        <v>410057.90275000007</v>
      </c>
    </row>
    <row r="797" spans="1:15" x14ac:dyDescent="0.3">
      <c r="A797" s="50">
        <v>44626</v>
      </c>
      <c r="B797" s="2">
        <v>796</v>
      </c>
      <c r="C797" s="4">
        <v>404131.65</v>
      </c>
      <c r="D797" s="4">
        <f t="shared" si="132"/>
        <v>515770.30500000005</v>
      </c>
      <c r="E797" s="2">
        <f t="shared" si="133"/>
        <v>149215.65916665376</v>
      </c>
      <c r="F797" s="2">
        <f t="shared" si="134"/>
        <v>111638.65500000003</v>
      </c>
      <c r="G797" s="4">
        <f t="shared" si="135"/>
        <v>433600.63666666672</v>
      </c>
      <c r="H797" s="2">
        <f t="shared" si="139"/>
        <v>152559.70037931373</v>
      </c>
      <c r="I797" s="2">
        <f t="shared" si="140"/>
        <v>29468.986666666693</v>
      </c>
      <c r="J797" s="4">
        <f t="shared" si="137"/>
        <v>380183.16500000004</v>
      </c>
      <c r="K797" s="2">
        <f t="shared" si="141"/>
        <v>291524.88372221927</v>
      </c>
      <c r="L797" s="2">
        <f t="shared" si="142"/>
        <v>23948.484999999986</v>
      </c>
      <c r="N797" s="4">
        <f t="shared" si="136"/>
        <v>378388.04510000005</v>
      </c>
      <c r="O797" s="2">
        <f t="shared" si="138"/>
        <v>25743.604899999977</v>
      </c>
    </row>
    <row r="798" spans="1:15" x14ac:dyDescent="0.3">
      <c r="A798" s="50">
        <v>44627</v>
      </c>
      <c r="B798" s="2">
        <v>797</v>
      </c>
      <c r="C798" s="4">
        <v>4697938.0999999996</v>
      </c>
      <c r="D798" s="4">
        <f t="shared" si="132"/>
        <v>2551034.875</v>
      </c>
      <c r="E798" s="2">
        <f t="shared" si="133"/>
        <v>1520140.8893266453</v>
      </c>
      <c r="F798" s="2">
        <f t="shared" si="134"/>
        <v>2146903.2249999996</v>
      </c>
      <c r="G798" s="4">
        <f t="shared" si="135"/>
        <v>1909826.2366666666</v>
      </c>
      <c r="H798" s="2">
        <f t="shared" si="139"/>
        <v>1616536.1760112192</v>
      </c>
      <c r="I798" s="2">
        <f t="shared" si="140"/>
        <v>2788111.8633333333</v>
      </c>
      <c r="J798" s="4">
        <f t="shared" si="137"/>
        <v>1499685.0024999999</v>
      </c>
      <c r="K798" s="2">
        <f t="shared" si="141"/>
        <v>1609886.4077518783</v>
      </c>
      <c r="L798" s="2">
        <f t="shared" si="142"/>
        <v>3198253.0974999997</v>
      </c>
      <c r="N798" s="4">
        <f t="shared" si="136"/>
        <v>473818.57595000003</v>
      </c>
      <c r="O798" s="2">
        <f t="shared" si="138"/>
        <v>4224119.5240499992</v>
      </c>
    </row>
    <row r="799" spans="1:15" x14ac:dyDescent="0.3">
      <c r="A799" s="50">
        <v>44628</v>
      </c>
      <c r="B799" s="2">
        <v>798</v>
      </c>
      <c r="C799" s="4">
        <v>342040.05</v>
      </c>
      <c r="D799" s="4">
        <f t="shared" si="132"/>
        <v>2519989.0749999997</v>
      </c>
      <c r="E799" s="2">
        <f t="shared" si="133"/>
        <v>2162481.8395785256</v>
      </c>
      <c r="F799" s="2">
        <f t="shared" si="134"/>
        <v>2177949.0249999999</v>
      </c>
      <c r="G799" s="4">
        <f t="shared" si="135"/>
        <v>1814703.2666666666</v>
      </c>
      <c r="H799" s="2">
        <f t="shared" si="139"/>
        <v>1820546.9080616264</v>
      </c>
      <c r="I799" s="2">
        <f t="shared" si="140"/>
        <v>1472663.2166666666</v>
      </c>
      <c r="J799" s="4">
        <f t="shared" si="137"/>
        <v>1517879.69</v>
      </c>
      <c r="K799" s="2">
        <f t="shared" si="141"/>
        <v>1711082.3991152863</v>
      </c>
      <c r="L799" s="2">
        <f t="shared" si="142"/>
        <v>1175839.6399999999</v>
      </c>
      <c r="N799" s="4">
        <f t="shared" si="136"/>
        <v>1891677.8189500002</v>
      </c>
      <c r="O799" s="2">
        <f t="shared" si="138"/>
        <v>1549637.7689500002</v>
      </c>
    </row>
    <row r="800" spans="1:15" x14ac:dyDescent="0.3">
      <c r="A800" s="50">
        <v>44629</v>
      </c>
      <c r="B800" s="2">
        <v>799</v>
      </c>
      <c r="C800" s="4">
        <v>169602.56</v>
      </c>
      <c r="D800" s="4">
        <f t="shared" si="132"/>
        <v>255821.30499999999</v>
      </c>
      <c r="E800" s="2">
        <f t="shared" si="133"/>
        <v>1541248.7838580483</v>
      </c>
      <c r="F800" s="2">
        <f t="shared" si="134"/>
        <v>86218.744999999995</v>
      </c>
      <c r="G800" s="4">
        <f t="shared" si="135"/>
        <v>1736526.9033333331</v>
      </c>
      <c r="H800" s="2">
        <f t="shared" si="139"/>
        <v>2032859.7762686994</v>
      </c>
      <c r="I800" s="2">
        <f t="shared" si="140"/>
        <v>1566924.343333333</v>
      </c>
      <c r="J800" s="4">
        <f t="shared" si="137"/>
        <v>1403428.0899999999</v>
      </c>
      <c r="K800" s="2">
        <f t="shared" si="141"/>
        <v>1812065.1687423694</v>
      </c>
      <c r="L800" s="2">
        <f t="shared" si="142"/>
        <v>1233825.5299999998</v>
      </c>
      <c r="N800" s="4">
        <f t="shared" si="136"/>
        <v>2294074.8342499998</v>
      </c>
      <c r="O800" s="2">
        <f t="shared" si="138"/>
        <v>2124472.2742499998</v>
      </c>
    </row>
    <row r="801" spans="1:15" x14ac:dyDescent="0.3">
      <c r="A801" s="50">
        <v>44630</v>
      </c>
      <c r="B801" s="2">
        <v>800</v>
      </c>
      <c r="C801" s="4">
        <v>1823040.56</v>
      </c>
      <c r="D801" s="4">
        <f t="shared" si="132"/>
        <v>996321.56</v>
      </c>
      <c r="E801" s="2">
        <f t="shared" si="133"/>
        <v>587749.08632441738</v>
      </c>
      <c r="F801" s="2">
        <f t="shared" si="134"/>
        <v>826719</v>
      </c>
      <c r="G801" s="4">
        <f t="shared" si="135"/>
        <v>778227.72333333327</v>
      </c>
      <c r="H801" s="2">
        <f t="shared" si="139"/>
        <v>1380292.5669481643</v>
      </c>
      <c r="I801" s="2">
        <f t="shared" si="140"/>
        <v>1044812.8366666668</v>
      </c>
      <c r="J801" s="4">
        <f t="shared" si="137"/>
        <v>1758155.3174999999</v>
      </c>
      <c r="K801" s="2">
        <f t="shared" si="141"/>
        <v>1812316.0091329089</v>
      </c>
      <c r="L801" s="2">
        <f t="shared" si="142"/>
        <v>64885.242500000168</v>
      </c>
      <c r="N801" s="4">
        <f t="shared" si="136"/>
        <v>1242571.0618499999</v>
      </c>
      <c r="O801" s="2">
        <f t="shared" si="138"/>
        <v>580469.49815000012</v>
      </c>
    </row>
    <row r="802" spans="1:15" x14ac:dyDescent="0.3">
      <c r="A802" s="50">
        <v>44631</v>
      </c>
      <c r="B802" s="2">
        <v>801</v>
      </c>
      <c r="C802" s="4">
        <v>3647559.6</v>
      </c>
      <c r="D802" s="4">
        <f t="shared" si="132"/>
        <v>2735300.08</v>
      </c>
      <c r="E802" s="2">
        <f t="shared" si="133"/>
        <v>870540.56102849985</v>
      </c>
      <c r="F802" s="2">
        <f t="shared" si="134"/>
        <v>912259.52</v>
      </c>
      <c r="G802" s="4">
        <f t="shared" si="135"/>
        <v>1880067.5733333335</v>
      </c>
      <c r="H802" s="2">
        <f t="shared" si="139"/>
        <v>1491186.7562140215</v>
      </c>
      <c r="I802" s="2">
        <f t="shared" si="140"/>
        <v>1767492.0266666666</v>
      </c>
      <c r="J802" s="4">
        <f t="shared" si="137"/>
        <v>1495560.6924999999</v>
      </c>
      <c r="K802" s="2">
        <f t="shared" si="141"/>
        <v>1372974.297833957</v>
      </c>
      <c r="L802" s="2">
        <f t="shared" si="142"/>
        <v>2151998.9075000002</v>
      </c>
      <c r="N802" s="4">
        <f t="shared" si="136"/>
        <v>761440.53780000005</v>
      </c>
      <c r="O802" s="2">
        <f t="shared" si="138"/>
        <v>2886119.0622</v>
      </c>
    </row>
    <row r="803" spans="1:15" x14ac:dyDescent="0.3">
      <c r="A803" s="50">
        <v>44632</v>
      </c>
      <c r="B803" s="2">
        <v>802</v>
      </c>
      <c r="C803" s="4">
        <v>86470.340000000011</v>
      </c>
      <c r="D803" s="4">
        <f t="shared" si="132"/>
        <v>1867014.97</v>
      </c>
      <c r="E803" s="2">
        <f t="shared" si="133"/>
        <v>1414665.4394683689</v>
      </c>
      <c r="F803" s="2">
        <f t="shared" si="134"/>
        <v>1780544.63</v>
      </c>
      <c r="G803" s="4">
        <f t="shared" si="135"/>
        <v>1852356.8333333333</v>
      </c>
      <c r="H803" s="2">
        <f t="shared" si="139"/>
        <v>1563544.8011202817</v>
      </c>
      <c r="I803" s="2">
        <f t="shared" si="140"/>
        <v>1765886.4933333332</v>
      </c>
      <c r="J803" s="4">
        <f t="shared" si="137"/>
        <v>1431668.2650000001</v>
      </c>
      <c r="K803" s="2">
        <f t="shared" si="141"/>
        <v>1411310.7638361903</v>
      </c>
      <c r="L803" s="2">
        <f t="shared" si="142"/>
        <v>1345197.925</v>
      </c>
      <c r="N803" s="4">
        <f t="shared" si="136"/>
        <v>2070498.0784000002</v>
      </c>
      <c r="O803" s="2">
        <f t="shared" si="138"/>
        <v>1984027.7384000001</v>
      </c>
    </row>
    <row r="804" spans="1:15" x14ac:dyDescent="0.3">
      <c r="A804" s="50">
        <v>44633</v>
      </c>
      <c r="B804" s="2">
        <v>803</v>
      </c>
      <c r="C804" s="4">
        <v>46259.18</v>
      </c>
      <c r="D804" s="4">
        <f t="shared" si="132"/>
        <v>66364.760000000009</v>
      </c>
      <c r="E804" s="2">
        <f t="shared" si="133"/>
        <v>1259115.446209952</v>
      </c>
      <c r="F804" s="2">
        <f t="shared" si="134"/>
        <v>20105.580000000009</v>
      </c>
      <c r="G804" s="4">
        <f t="shared" si="135"/>
        <v>1260096.3733333333</v>
      </c>
      <c r="H804" s="2">
        <f t="shared" si="139"/>
        <v>1603723.1581112207</v>
      </c>
      <c r="I804" s="2">
        <f t="shared" si="140"/>
        <v>1213837.1933333334</v>
      </c>
      <c r="J804" s="4">
        <f t="shared" si="137"/>
        <v>1400832.42</v>
      </c>
      <c r="K804" s="2">
        <f t="shared" si="141"/>
        <v>1438726.4778723475</v>
      </c>
      <c r="L804" s="2">
        <f t="shared" si="142"/>
        <v>1354573.24</v>
      </c>
      <c r="N804" s="4">
        <f t="shared" si="136"/>
        <v>2053200.5091000001</v>
      </c>
      <c r="O804" s="2">
        <f t="shared" si="138"/>
        <v>2006941.3291000002</v>
      </c>
    </row>
    <row r="805" spans="1:15" x14ac:dyDescent="0.3">
      <c r="A805" s="50">
        <v>44634</v>
      </c>
      <c r="B805" s="2">
        <v>804</v>
      </c>
      <c r="C805" s="4">
        <v>3624456.9899999998</v>
      </c>
      <c r="D805" s="4">
        <f t="shared" si="132"/>
        <v>1835358.085</v>
      </c>
      <c r="E805" s="2">
        <f t="shared" si="133"/>
        <v>1265163.8483254521</v>
      </c>
      <c r="F805" s="2">
        <f t="shared" si="134"/>
        <v>1789098.9049999998</v>
      </c>
      <c r="G805" s="4">
        <f t="shared" si="135"/>
        <v>1252395.5033333332</v>
      </c>
      <c r="H805" s="2">
        <f t="shared" si="139"/>
        <v>1845574.1234806145</v>
      </c>
      <c r="I805" s="2">
        <f t="shared" si="140"/>
        <v>2372061.4866666663</v>
      </c>
      <c r="J805" s="4">
        <f t="shared" si="137"/>
        <v>1851186.5274999999</v>
      </c>
      <c r="K805" s="2">
        <f t="shared" si="141"/>
        <v>1689675.5273575871</v>
      </c>
      <c r="L805" s="2">
        <f t="shared" si="142"/>
        <v>1773270.4624999999</v>
      </c>
      <c r="N805" s="4">
        <f t="shared" si="136"/>
        <v>856439.23860000004</v>
      </c>
      <c r="O805" s="2">
        <f t="shared" si="138"/>
        <v>2768017.7513999995</v>
      </c>
    </row>
    <row r="806" spans="1:15" x14ac:dyDescent="0.3">
      <c r="A806" s="50">
        <v>44635</v>
      </c>
      <c r="B806" s="2">
        <v>805</v>
      </c>
      <c r="C806" s="4">
        <v>2597565.4899999998</v>
      </c>
      <c r="D806" s="4">
        <f t="shared" si="132"/>
        <v>3111011.2399999998</v>
      </c>
      <c r="E806" s="2">
        <f t="shared" si="133"/>
        <v>1316149.9591735853</v>
      </c>
      <c r="F806" s="2">
        <f t="shared" si="134"/>
        <v>513445.75</v>
      </c>
      <c r="G806" s="4">
        <f t="shared" si="135"/>
        <v>2089427.22</v>
      </c>
      <c r="H806" s="2">
        <f t="shared" si="139"/>
        <v>1566129.084705899</v>
      </c>
      <c r="I806" s="2">
        <f t="shared" si="140"/>
        <v>508138.26999999979</v>
      </c>
      <c r="J806" s="4">
        <f t="shared" si="137"/>
        <v>1588688</v>
      </c>
      <c r="K806" s="2">
        <f t="shared" si="141"/>
        <v>1397027.9205291555</v>
      </c>
      <c r="L806" s="2">
        <f t="shared" si="142"/>
        <v>1008877.4899999998</v>
      </c>
      <c r="N806" s="4">
        <f t="shared" si="136"/>
        <v>1253801.9015500001</v>
      </c>
      <c r="O806" s="2">
        <f t="shared" si="138"/>
        <v>1343763.5884499997</v>
      </c>
    </row>
    <row r="807" spans="1:15" x14ac:dyDescent="0.3">
      <c r="A807" s="50">
        <v>44636</v>
      </c>
      <c r="B807" s="2">
        <v>806</v>
      </c>
      <c r="C807" s="4">
        <v>67549.2</v>
      </c>
      <c r="D807" s="4">
        <f t="shared" si="132"/>
        <v>1332557.345</v>
      </c>
      <c r="E807" s="2">
        <f t="shared" si="133"/>
        <v>965368.36106985703</v>
      </c>
      <c r="F807" s="2">
        <f t="shared" si="134"/>
        <v>1265008.145</v>
      </c>
      <c r="G807" s="4">
        <f t="shared" si="135"/>
        <v>2096523.8933333333</v>
      </c>
      <c r="H807" s="2">
        <f t="shared" si="139"/>
        <v>1825889.6009117458</v>
      </c>
      <c r="I807" s="2">
        <f t="shared" si="140"/>
        <v>2028974.6933333334</v>
      </c>
      <c r="J807" s="4">
        <f t="shared" si="137"/>
        <v>1583957.7150000001</v>
      </c>
      <c r="K807" s="2">
        <f t="shared" si="141"/>
        <v>1440198.3691398441</v>
      </c>
      <c r="L807" s="2">
        <f t="shared" si="142"/>
        <v>1516408.5150000001</v>
      </c>
      <c r="N807" s="4">
        <f t="shared" si="136"/>
        <v>2493244.8192999996</v>
      </c>
      <c r="O807" s="2">
        <f t="shared" si="138"/>
        <v>2425695.6192999994</v>
      </c>
    </row>
    <row r="808" spans="1:15" x14ac:dyDescent="0.3">
      <c r="A808" s="50">
        <v>44637</v>
      </c>
      <c r="B808" s="2">
        <v>807</v>
      </c>
      <c r="C808" s="4">
        <v>528629.64</v>
      </c>
      <c r="D808" s="4">
        <f t="shared" si="132"/>
        <v>298089.42</v>
      </c>
      <c r="E808" s="2">
        <f t="shared" si="133"/>
        <v>909228.90405936539</v>
      </c>
      <c r="F808" s="2">
        <f t="shared" si="134"/>
        <v>230540.22000000003</v>
      </c>
      <c r="G808" s="4">
        <f t="shared" si="135"/>
        <v>1064581.4433333334</v>
      </c>
      <c r="H808" s="2">
        <f t="shared" si="139"/>
        <v>1246620.3836937074</v>
      </c>
      <c r="I808" s="2">
        <f t="shared" si="140"/>
        <v>535951.80333333334</v>
      </c>
      <c r="J808" s="4">
        <f t="shared" si="137"/>
        <v>1704550.3299999998</v>
      </c>
      <c r="K808" s="2">
        <f t="shared" si="141"/>
        <v>1400411.2053731079</v>
      </c>
      <c r="L808" s="2">
        <f t="shared" si="142"/>
        <v>1175920.69</v>
      </c>
      <c r="N808" s="4">
        <f t="shared" si="136"/>
        <v>1975926.16285</v>
      </c>
      <c r="O808" s="2">
        <f t="shared" si="138"/>
        <v>1447296.5228499998</v>
      </c>
    </row>
    <row r="809" spans="1:15" x14ac:dyDescent="0.3">
      <c r="A809" s="50">
        <v>44638</v>
      </c>
      <c r="B809" s="2">
        <v>808</v>
      </c>
      <c r="C809" s="4">
        <v>115974.87000000001</v>
      </c>
      <c r="D809" s="4">
        <f t="shared" si="132"/>
        <v>322302.255</v>
      </c>
      <c r="E809" s="2">
        <f t="shared" si="133"/>
        <v>218769.03670147958</v>
      </c>
      <c r="F809" s="2">
        <f t="shared" si="134"/>
        <v>206327.38500000001</v>
      </c>
      <c r="G809" s="4">
        <f t="shared" si="135"/>
        <v>237384.56999999998</v>
      </c>
      <c r="H809" s="2">
        <f t="shared" si="139"/>
        <v>1213634.0685365086</v>
      </c>
      <c r="I809" s="2">
        <f t="shared" si="140"/>
        <v>121409.69999999997</v>
      </c>
      <c r="J809" s="4">
        <f t="shared" si="137"/>
        <v>827429.8</v>
      </c>
      <c r="K809" s="2">
        <f t="shared" si="141"/>
        <v>1140864.3829115478</v>
      </c>
      <c r="L809" s="2">
        <f t="shared" si="142"/>
        <v>711454.93</v>
      </c>
      <c r="N809" s="4">
        <f t="shared" si="136"/>
        <v>778614.73119999992</v>
      </c>
      <c r="O809" s="2">
        <f t="shared" si="138"/>
        <v>662639.86119999993</v>
      </c>
    </row>
    <row r="810" spans="1:15" x14ac:dyDescent="0.3">
      <c r="A810" s="50">
        <v>44639</v>
      </c>
      <c r="B810" s="2">
        <v>809</v>
      </c>
      <c r="C810" s="4">
        <v>5843958.54</v>
      </c>
      <c r="D810" s="4">
        <f t="shared" si="132"/>
        <v>2979966.7050000001</v>
      </c>
      <c r="E810" s="2">
        <f t="shared" si="133"/>
        <v>2030396.5401797262</v>
      </c>
      <c r="F810" s="2">
        <f t="shared" si="134"/>
        <v>2863991.835</v>
      </c>
      <c r="G810" s="4">
        <f t="shared" si="135"/>
        <v>2162854.35</v>
      </c>
      <c r="H810" s="2">
        <f t="shared" si="139"/>
        <v>2148837.8803736293</v>
      </c>
      <c r="I810" s="2">
        <f t="shared" si="140"/>
        <v>3681104.19</v>
      </c>
      <c r="J810" s="4">
        <f t="shared" si="137"/>
        <v>1639028.0625</v>
      </c>
      <c r="K810" s="2">
        <f t="shared" si="141"/>
        <v>2338262.8536781459</v>
      </c>
      <c r="L810" s="2">
        <f t="shared" si="142"/>
        <v>4204930.4775</v>
      </c>
      <c r="N810" s="4">
        <f t="shared" si="136"/>
        <v>288952.59525000001</v>
      </c>
      <c r="O810" s="2">
        <f t="shared" si="138"/>
        <v>5555005.9447499998</v>
      </c>
    </row>
    <row r="811" spans="1:15" x14ac:dyDescent="0.3">
      <c r="A811" s="50">
        <v>44640</v>
      </c>
      <c r="B811" s="2">
        <v>810</v>
      </c>
      <c r="C811" s="4">
        <v>1227200.9400000002</v>
      </c>
      <c r="D811" s="4">
        <f t="shared" si="132"/>
        <v>3535579.74</v>
      </c>
      <c r="E811" s="2">
        <f t="shared" si="133"/>
        <v>2601063.4282189375</v>
      </c>
      <c r="F811" s="2">
        <f t="shared" si="134"/>
        <v>2308378.7999999998</v>
      </c>
      <c r="G811" s="4">
        <f t="shared" si="135"/>
        <v>2395711.4500000002</v>
      </c>
      <c r="H811" s="2">
        <f t="shared" si="139"/>
        <v>2230895.5738947908</v>
      </c>
      <c r="I811" s="2">
        <f t="shared" si="140"/>
        <v>1168510.51</v>
      </c>
      <c r="J811" s="4">
        <f t="shared" si="137"/>
        <v>1928940.9975000001</v>
      </c>
      <c r="K811" s="2">
        <f t="shared" si="141"/>
        <v>2239577.9186880202</v>
      </c>
      <c r="L811" s="2">
        <f t="shared" si="142"/>
        <v>701740.05749999988</v>
      </c>
      <c r="N811" s="4">
        <f t="shared" si="136"/>
        <v>2125633.4488500003</v>
      </c>
      <c r="O811" s="2">
        <f t="shared" si="138"/>
        <v>898432.5088500001</v>
      </c>
    </row>
    <row r="812" spans="1:15" x14ac:dyDescent="0.3">
      <c r="A812" s="50">
        <v>44641</v>
      </c>
      <c r="B812" s="2">
        <v>811</v>
      </c>
      <c r="C812" s="4">
        <v>216799.05000000002</v>
      </c>
      <c r="D812" s="4">
        <f t="shared" si="132"/>
        <v>721999.99500000011</v>
      </c>
      <c r="E812" s="2">
        <f t="shared" si="133"/>
        <v>1670904.0485794409</v>
      </c>
      <c r="F812" s="2">
        <f t="shared" si="134"/>
        <v>505200.94500000007</v>
      </c>
      <c r="G812" s="4">
        <f t="shared" si="135"/>
        <v>2429319.5100000002</v>
      </c>
      <c r="H812" s="2">
        <f t="shared" si="139"/>
        <v>2569772.4708317812</v>
      </c>
      <c r="I812" s="2">
        <f t="shared" si="140"/>
        <v>2212520.4600000004</v>
      </c>
      <c r="J812" s="4">
        <f t="shared" si="137"/>
        <v>1850983.35</v>
      </c>
      <c r="K812" s="2">
        <f t="shared" si="141"/>
        <v>2310335.791216088</v>
      </c>
      <c r="L812" s="2">
        <f t="shared" si="142"/>
        <v>1634184.3</v>
      </c>
      <c r="N812" s="4">
        <f t="shared" si="136"/>
        <v>3037188.3366000005</v>
      </c>
      <c r="O812" s="2">
        <f t="shared" si="138"/>
        <v>2820389.2866000007</v>
      </c>
    </row>
    <row r="813" spans="1:15" x14ac:dyDescent="0.3">
      <c r="A813" s="50">
        <v>44642</v>
      </c>
      <c r="B813" s="2">
        <v>812</v>
      </c>
      <c r="C813" s="4">
        <v>60887.58</v>
      </c>
      <c r="D813" s="4">
        <f t="shared" si="132"/>
        <v>138843.315</v>
      </c>
      <c r="E813" s="2">
        <f t="shared" si="133"/>
        <v>361458.91291285329</v>
      </c>
      <c r="F813" s="2">
        <f t="shared" si="134"/>
        <v>77955.735000000001</v>
      </c>
      <c r="G813" s="4">
        <f t="shared" si="135"/>
        <v>501629.19000000012</v>
      </c>
      <c r="H813" s="2">
        <f t="shared" si="139"/>
        <v>1466846.5910113056</v>
      </c>
      <c r="I813" s="2">
        <f t="shared" si="140"/>
        <v>440741.6100000001</v>
      </c>
      <c r="J813" s="4">
        <f t="shared" si="137"/>
        <v>1837211.5275000001</v>
      </c>
      <c r="K813" s="2">
        <f t="shared" si="141"/>
        <v>2449477.7260539108</v>
      </c>
      <c r="L813" s="2">
        <f t="shared" si="142"/>
        <v>1776323.9475</v>
      </c>
      <c r="N813" s="4">
        <f t="shared" si="136"/>
        <v>1904402.9788500001</v>
      </c>
      <c r="O813" s="2">
        <f t="shared" si="138"/>
        <v>1843515.39885</v>
      </c>
    </row>
    <row r="814" spans="1:15" x14ac:dyDescent="0.3">
      <c r="A814" s="50">
        <v>44643</v>
      </c>
      <c r="B814" s="2">
        <v>813</v>
      </c>
      <c r="C814" s="4">
        <v>728786.41</v>
      </c>
      <c r="D814" s="4">
        <f t="shared" si="132"/>
        <v>394836.995</v>
      </c>
      <c r="E814" s="2">
        <f t="shared" si="133"/>
        <v>242486.40002918977</v>
      </c>
      <c r="F814" s="2">
        <f t="shared" si="134"/>
        <v>333949.41500000004</v>
      </c>
      <c r="G814" s="4">
        <f t="shared" si="135"/>
        <v>335491.01333333337</v>
      </c>
      <c r="H814" s="2">
        <f t="shared" si="139"/>
        <v>1322142.3551371964</v>
      </c>
      <c r="I814" s="2">
        <f t="shared" si="140"/>
        <v>393295.39666666667</v>
      </c>
      <c r="J814" s="4">
        <f t="shared" si="137"/>
        <v>558418.49500000011</v>
      </c>
      <c r="K814" s="2">
        <f t="shared" si="141"/>
        <v>1259697.3274947859</v>
      </c>
      <c r="L814" s="2">
        <f t="shared" si="142"/>
        <v>170367.91499999992</v>
      </c>
      <c r="N814" s="4">
        <f t="shared" si="136"/>
        <v>386857.12335000007</v>
      </c>
      <c r="O814" s="2">
        <f t="shared" si="138"/>
        <v>341929.28664999997</v>
      </c>
    </row>
    <row r="815" spans="1:15" x14ac:dyDescent="0.3">
      <c r="A815" s="50">
        <v>44644</v>
      </c>
      <c r="B815" s="2">
        <v>814</v>
      </c>
      <c r="C815" s="4">
        <v>717671.13</v>
      </c>
      <c r="D815" s="4">
        <f t="shared" si="132"/>
        <v>723228.77</v>
      </c>
      <c r="E815" s="2">
        <f t="shared" si="133"/>
        <v>236170.59421233187</v>
      </c>
      <c r="F815" s="2">
        <f t="shared" si="134"/>
        <v>5557.640000000014</v>
      </c>
      <c r="G815" s="4">
        <f t="shared" si="135"/>
        <v>502448.37333333335</v>
      </c>
      <c r="H815" s="2">
        <f t="shared" si="139"/>
        <v>362976.24844782986</v>
      </c>
      <c r="I815" s="2">
        <f t="shared" si="140"/>
        <v>215222.75666666665</v>
      </c>
      <c r="J815" s="4">
        <f t="shared" si="137"/>
        <v>431036.04249999998</v>
      </c>
      <c r="K815" s="2">
        <f t="shared" si="141"/>
        <v>1218305.1744817523</v>
      </c>
      <c r="L815" s="2">
        <f t="shared" si="142"/>
        <v>286635.08750000002</v>
      </c>
      <c r="N815" s="4">
        <f t="shared" si="136"/>
        <v>318934.21145000006</v>
      </c>
      <c r="O815" s="2">
        <f t="shared" si="138"/>
        <v>398736.91854999994</v>
      </c>
    </row>
    <row r="816" spans="1:15" x14ac:dyDescent="0.3">
      <c r="A816" s="50">
        <v>44645</v>
      </c>
      <c r="B816" s="2">
        <v>815</v>
      </c>
      <c r="C816" s="4">
        <v>19998.240000000002</v>
      </c>
      <c r="D816" s="4">
        <f t="shared" si="132"/>
        <v>368834.685</v>
      </c>
      <c r="E816" s="2">
        <f t="shared" si="133"/>
        <v>246695.91881768903</v>
      </c>
      <c r="F816" s="2">
        <f t="shared" si="134"/>
        <v>348836.44500000001</v>
      </c>
      <c r="G816" s="4">
        <f t="shared" si="135"/>
        <v>488818.59333333332</v>
      </c>
      <c r="H816" s="2">
        <f t="shared" si="139"/>
        <v>374519.52673880768</v>
      </c>
      <c r="I816" s="2">
        <f t="shared" si="140"/>
        <v>468820.35333333333</v>
      </c>
      <c r="J816" s="4">
        <f t="shared" si="137"/>
        <v>381835.84</v>
      </c>
      <c r="K816" s="2">
        <f t="shared" si="141"/>
        <v>921607.03598162206</v>
      </c>
      <c r="L816" s="2">
        <f t="shared" si="142"/>
        <v>361837.60000000003</v>
      </c>
      <c r="N816" s="4">
        <f t="shared" si="136"/>
        <v>578125.0486000001</v>
      </c>
      <c r="O816" s="2">
        <f t="shared" si="138"/>
        <v>558126.80860000011</v>
      </c>
    </row>
    <row r="817" spans="1:15" x14ac:dyDescent="0.3">
      <c r="A817" s="50">
        <v>44646</v>
      </c>
      <c r="B817" s="2">
        <v>816</v>
      </c>
      <c r="C817" s="4">
        <v>753714.06</v>
      </c>
      <c r="D817" s="4">
        <f t="shared" si="132"/>
        <v>386856.15</v>
      </c>
      <c r="E817" s="2">
        <f t="shared" si="133"/>
        <v>357960.60641487222</v>
      </c>
      <c r="F817" s="2">
        <f t="shared" si="134"/>
        <v>366857.91000000003</v>
      </c>
      <c r="G817" s="4">
        <f t="shared" si="135"/>
        <v>497127.81000000006</v>
      </c>
      <c r="H817" s="2">
        <f t="shared" si="139"/>
        <v>332640.87861428637</v>
      </c>
      <c r="I817" s="2">
        <f t="shared" si="140"/>
        <v>256586.25</v>
      </c>
      <c r="J817" s="4">
        <f t="shared" si="137"/>
        <v>555042.46</v>
      </c>
      <c r="K817" s="2">
        <f t="shared" si="141"/>
        <v>265321.38684428547</v>
      </c>
      <c r="L817" s="2">
        <f t="shared" si="142"/>
        <v>198671.60000000009</v>
      </c>
      <c r="N817" s="4">
        <f t="shared" si="136"/>
        <v>486396.07345000003</v>
      </c>
      <c r="O817" s="2">
        <f t="shared" si="138"/>
        <v>267317.98655000003</v>
      </c>
    </row>
    <row r="818" spans="1:15" x14ac:dyDescent="0.3">
      <c r="A818" s="50">
        <v>44647</v>
      </c>
      <c r="B818" s="2">
        <v>817</v>
      </c>
      <c r="C818" s="4">
        <v>3809244.81</v>
      </c>
      <c r="D818" s="4">
        <f t="shared" si="132"/>
        <v>2281479.4350000001</v>
      </c>
      <c r="E818" s="2">
        <f t="shared" si="133"/>
        <v>1111002.1978327627</v>
      </c>
      <c r="F818" s="2">
        <f t="shared" si="134"/>
        <v>1527765.375</v>
      </c>
      <c r="G818" s="4">
        <f t="shared" si="135"/>
        <v>1527652.37</v>
      </c>
      <c r="H818" s="2">
        <f t="shared" si="139"/>
        <v>1352934.229696552</v>
      </c>
      <c r="I818" s="2">
        <f t="shared" si="140"/>
        <v>2281592.44</v>
      </c>
      <c r="J818" s="4">
        <f t="shared" si="137"/>
        <v>1325157.06</v>
      </c>
      <c r="K818" s="2">
        <f t="shared" si="141"/>
        <v>1267206.4232502251</v>
      </c>
      <c r="L818" s="2">
        <f t="shared" si="142"/>
        <v>2484087.75</v>
      </c>
      <c r="N818" s="4">
        <f t="shared" si="136"/>
        <v>419281.07550000004</v>
      </c>
      <c r="O818" s="2">
        <f t="shared" si="138"/>
        <v>3389963.7345000003</v>
      </c>
    </row>
    <row r="819" spans="1:15" x14ac:dyDescent="0.3">
      <c r="A819" s="50">
        <v>44648</v>
      </c>
      <c r="B819" s="2">
        <v>818</v>
      </c>
      <c r="C819" s="4">
        <v>3184306.55</v>
      </c>
      <c r="D819" s="4">
        <f t="shared" si="132"/>
        <v>3496775.6799999997</v>
      </c>
      <c r="E819" s="2">
        <f t="shared" si="133"/>
        <v>1102656.7911757147</v>
      </c>
      <c r="F819" s="2">
        <f t="shared" si="134"/>
        <v>312469.12999999989</v>
      </c>
      <c r="G819" s="4">
        <f t="shared" si="135"/>
        <v>2582421.8066666666</v>
      </c>
      <c r="H819" s="2">
        <f t="shared" si="139"/>
        <v>1370372.9188572052</v>
      </c>
      <c r="I819" s="2">
        <f t="shared" si="140"/>
        <v>601884.74333333317</v>
      </c>
      <c r="J819" s="4">
        <f t="shared" si="137"/>
        <v>1941815.915</v>
      </c>
      <c r="K819" s="2">
        <f t="shared" si="141"/>
        <v>1404000.6927689784</v>
      </c>
      <c r="L819" s="2">
        <f t="shared" si="142"/>
        <v>1242490.6349999998</v>
      </c>
      <c r="N819" s="4">
        <f t="shared" si="136"/>
        <v>1615899.3808500001</v>
      </c>
      <c r="O819" s="2">
        <f t="shared" si="138"/>
        <v>1568407.1691499997</v>
      </c>
    </row>
    <row r="820" spans="1:15" x14ac:dyDescent="0.3">
      <c r="A820" s="50">
        <v>44649</v>
      </c>
      <c r="B820" s="2">
        <v>819</v>
      </c>
      <c r="C820" s="4">
        <v>5614081.4100000001</v>
      </c>
      <c r="D820" s="4">
        <f t="shared" si="132"/>
        <v>4399193.9800000004</v>
      </c>
      <c r="E820" s="2">
        <f t="shared" si="133"/>
        <v>887014.21205495938</v>
      </c>
      <c r="F820" s="2">
        <f t="shared" si="134"/>
        <v>1214887.4299999997</v>
      </c>
      <c r="G820" s="4">
        <f t="shared" si="135"/>
        <v>4202544.2566666668</v>
      </c>
      <c r="H820" s="2">
        <f t="shared" si="139"/>
        <v>1587489.258941401</v>
      </c>
      <c r="I820" s="2">
        <f t="shared" si="140"/>
        <v>1411537.1533333333</v>
      </c>
      <c r="J820" s="4">
        <f t="shared" si="137"/>
        <v>3340336.7075</v>
      </c>
      <c r="K820" s="2">
        <f t="shared" si="141"/>
        <v>1797488.5468728403</v>
      </c>
      <c r="L820" s="2">
        <f t="shared" si="142"/>
        <v>2273744.7025000001</v>
      </c>
      <c r="N820" s="4">
        <f t="shared" si="136"/>
        <v>2927673.7278999998</v>
      </c>
      <c r="O820" s="2">
        <f t="shared" si="138"/>
        <v>2686407.6821000003</v>
      </c>
    </row>
    <row r="821" spans="1:15" x14ac:dyDescent="0.3">
      <c r="A821" s="50">
        <v>44650</v>
      </c>
      <c r="B821" s="2">
        <v>820</v>
      </c>
      <c r="C821" s="4">
        <v>228803.90000000002</v>
      </c>
      <c r="D821" s="4">
        <f t="shared" si="132"/>
        <v>2921442.6550000003</v>
      </c>
      <c r="E821" s="2">
        <f t="shared" si="133"/>
        <v>2088810.0598785849</v>
      </c>
      <c r="F821" s="2">
        <f t="shared" si="134"/>
        <v>2692638.7550000004</v>
      </c>
      <c r="G821" s="4">
        <f t="shared" si="135"/>
        <v>3009063.9533333336</v>
      </c>
      <c r="H821" s="2">
        <f t="shared" si="139"/>
        <v>1833443.7854902884</v>
      </c>
      <c r="I821" s="2">
        <f t="shared" si="140"/>
        <v>2780260.0533333337</v>
      </c>
      <c r="J821" s="4">
        <f t="shared" si="137"/>
        <v>3209109.1675</v>
      </c>
      <c r="K821" s="2">
        <f t="shared" si="141"/>
        <v>2332734.9499781276</v>
      </c>
      <c r="L821" s="2">
        <f t="shared" si="142"/>
        <v>2980305.2675000001</v>
      </c>
      <c r="N821" s="4">
        <f t="shared" si="136"/>
        <v>4135767.5453000003</v>
      </c>
      <c r="O821" s="2">
        <f t="shared" si="138"/>
        <v>3906963.6453000004</v>
      </c>
    </row>
    <row r="822" spans="1:15" x14ac:dyDescent="0.3">
      <c r="A822" s="50">
        <v>44651</v>
      </c>
      <c r="B822" s="2">
        <v>821</v>
      </c>
      <c r="C822" s="4">
        <v>43123.26</v>
      </c>
      <c r="D822" s="4">
        <f t="shared" si="132"/>
        <v>135963.58000000002</v>
      </c>
      <c r="E822" s="2">
        <f t="shared" si="133"/>
        <v>1905114.5359197769</v>
      </c>
      <c r="F822" s="2">
        <f t="shared" si="134"/>
        <v>92840.320000000007</v>
      </c>
      <c r="G822" s="4">
        <f t="shared" si="135"/>
        <v>1962002.8566666667</v>
      </c>
      <c r="H822" s="2">
        <f t="shared" si="139"/>
        <v>2113794.5347884903</v>
      </c>
      <c r="I822" s="2">
        <f t="shared" si="140"/>
        <v>1918879.5966666667</v>
      </c>
      <c r="J822" s="4">
        <f t="shared" si="137"/>
        <v>2267578.7800000003</v>
      </c>
      <c r="K822" s="2">
        <f t="shared" si="141"/>
        <v>2266281.0835240758</v>
      </c>
      <c r="L822" s="2">
        <f t="shared" si="142"/>
        <v>2224455.5200000005</v>
      </c>
      <c r="N822" s="4">
        <f t="shared" si="136"/>
        <v>3275462.9749500006</v>
      </c>
      <c r="O822" s="2">
        <f t="shared" si="138"/>
        <v>3232339.7149500009</v>
      </c>
    </row>
    <row r="823" spans="1:15" x14ac:dyDescent="0.3">
      <c r="A823" s="50">
        <v>44652</v>
      </c>
      <c r="B823" s="2">
        <v>822</v>
      </c>
      <c r="C823" s="4">
        <v>12203.64</v>
      </c>
      <c r="D823" s="4">
        <f t="shared" si="132"/>
        <v>27663.45</v>
      </c>
      <c r="E823" s="2">
        <f t="shared" si="133"/>
        <v>66551.974962950961</v>
      </c>
      <c r="F823" s="2">
        <f t="shared" si="134"/>
        <v>15459.810000000001</v>
      </c>
      <c r="G823" s="4">
        <f t="shared" si="135"/>
        <v>94710.266666666677</v>
      </c>
      <c r="H823" s="2">
        <f t="shared" si="139"/>
        <v>1950961.4906594658</v>
      </c>
      <c r="I823" s="2">
        <f t="shared" si="140"/>
        <v>82506.626666666678</v>
      </c>
      <c r="J823" s="4">
        <f t="shared" si="137"/>
        <v>1474553.0525</v>
      </c>
      <c r="K823" s="2">
        <f t="shared" si="141"/>
        <v>2298847.6800525859</v>
      </c>
      <c r="L823" s="2">
        <f t="shared" si="142"/>
        <v>1462349.4125000001</v>
      </c>
      <c r="N823" s="4">
        <f t="shared" si="136"/>
        <v>1351361.9378</v>
      </c>
      <c r="O823" s="2">
        <f t="shared" si="138"/>
        <v>1339158.2978000001</v>
      </c>
    </row>
    <row r="824" spans="1:15" x14ac:dyDescent="0.3">
      <c r="A824" s="50">
        <v>44653</v>
      </c>
      <c r="B824" s="2">
        <v>823</v>
      </c>
      <c r="C824" s="4">
        <v>1069022.8999999999</v>
      </c>
      <c r="D824" s="4">
        <f t="shared" si="132"/>
        <v>540613.2699999999</v>
      </c>
      <c r="E824" s="2">
        <f t="shared" si="133"/>
        <v>373801.91465666209</v>
      </c>
      <c r="F824" s="2">
        <f t="shared" si="134"/>
        <v>528409.63</v>
      </c>
      <c r="G824" s="4">
        <f t="shared" si="135"/>
        <v>374783.2666666666</v>
      </c>
      <c r="H824" s="2">
        <f t="shared" si="139"/>
        <v>1179106.2884572567</v>
      </c>
      <c r="I824" s="2">
        <f t="shared" si="140"/>
        <v>694239.6333333333</v>
      </c>
      <c r="J824" s="4">
        <f t="shared" si="137"/>
        <v>338288.42499999999</v>
      </c>
      <c r="K824" s="2">
        <f t="shared" si="141"/>
        <v>2031185.6466814734</v>
      </c>
      <c r="L824" s="2">
        <f t="shared" si="142"/>
        <v>730734.47499999986</v>
      </c>
      <c r="N824" s="4">
        <f t="shared" si="136"/>
        <v>73614.928100000005</v>
      </c>
      <c r="O824" s="2">
        <f t="shared" si="138"/>
        <v>995407.97189999989</v>
      </c>
    </row>
    <row r="825" spans="1:15" x14ac:dyDescent="0.3">
      <c r="A825" s="50">
        <v>44654</v>
      </c>
      <c r="B825" s="2">
        <v>824</v>
      </c>
      <c r="C825" s="4">
        <v>5624500.7700000005</v>
      </c>
      <c r="D825" s="4">
        <f t="shared" si="132"/>
        <v>3346761.835</v>
      </c>
      <c r="E825" s="2">
        <f t="shared" si="133"/>
        <v>1653377.0581890377</v>
      </c>
      <c r="F825" s="2">
        <f t="shared" si="134"/>
        <v>2277738.9350000005</v>
      </c>
      <c r="G825" s="4">
        <f t="shared" si="135"/>
        <v>2235242.436666667</v>
      </c>
      <c r="H825" s="2">
        <f t="shared" si="139"/>
        <v>1997986.324778372</v>
      </c>
      <c r="I825" s="2">
        <f t="shared" si="140"/>
        <v>3389258.3333333335</v>
      </c>
      <c r="J825" s="4">
        <f t="shared" si="137"/>
        <v>1687212.6425000001</v>
      </c>
      <c r="K825" s="2">
        <f t="shared" si="141"/>
        <v>2404312.7311460315</v>
      </c>
      <c r="L825" s="2">
        <f t="shared" si="142"/>
        <v>3937288.1275000004</v>
      </c>
      <c r="N825" s="4">
        <f t="shared" si="136"/>
        <v>373040.4084999999</v>
      </c>
      <c r="O825" s="2">
        <f t="shared" si="138"/>
        <v>5251460.3615000006</v>
      </c>
    </row>
    <row r="826" spans="1:15" x14ac:dyDescent="0.3">
      <c r="A826" s="50">
        <v>44655</v>
      </c>
      <c r="B826" s="2">
        <v>825</v>
      </c>
      <c r="C826" s="4">
        <v>207345.59999999998</v>
      </c>
      <c r="D826" s="4">
        <f t="shared" si="132"/>
        <v>2915923.1850000001</v>
      </c>
      <c r="E826" s="2">
        <f t="shared" si="133"/>
        <v>2502447.5209261999</v>
      </c>
      <c r="F826" s="2">
        <f t="shared" si="134"/>
        <v>2708577.585</v>
      </c>
      <c r="G826" s="4">
        <f t="shared" si="135"/>
        <v>2300289.7566666664</v>
      </c>
      <c r="H826" s="2">
        <f t="shared" si="139"/>
        <v>2334484.6655800641</v>
      </c>
      <c r="I826" s="2">
        <f t="shared" si="140"/>
        <v>2092944.1566666663</v>
      </c>
      <c r="J826" s="4">
        <f t="shared" si="137"/>
        <v>1728268.2275</v>
      </c>
      <c r="K826" s="2">
        <f t="shared" si="141"/>
        <v>2263177.087358973</v>
      </c>
      <c r="L826" s="2">
        <f t="shared" si="142"/>
        <v>1520922.6274999999</v>
      </c>
      <c r="N826" s="4">
        <f t="shared" si="136"/>
        <v>2362607.7492499999</v>
      </c>
      <c r="O826" s="2">
        <f t="shared" si="138"/>
        <v>2155262.1492499998</v>
      </c>
    </row>
    <row r="827" spans="1:15" x14ac:dyDescent="0.3">
      <c r="A827" s="50">
        <v>44656</v>
      </c>
      <c r="B827" s="2">
        <v>826</v>
      </c>
      <c r="C827" s="4">
        <v>2487969.21</v>
      </c>
      <c r="D827" s="4">
        <f t="shared" si="132"/>
        <v>1347657.405</v>
      </c>
      <c r="E827" s="2">
        <f t="shared" si="133"/>
        <v>2078064.4295337414</v>
      </c>
      <c r="F827" s="2">
        <f t="shared" si="134"/>
        <v>1140311.8049999999</v>
      </c>
      <c r="G827" s="4">
        <f t="shared" si="135"/>
        <v>2773271.86</v>
      </c>
      <c r="H827" s="2">
        <f t="shared" si="139"/>
        <v>2305709.2108569406</v>
      </c>
      <c r="I827" s="2">
        <f t="shared" si="140"/>
        <v>285302.64999999991</v>
      </c>
      <c r="J827" s="4">
        <f t="shared" si="137"/>
        <v>2347209.62</v>
      </c>
      <c r="K827" s="2">
        <f t="shared" si="141"/>
        <v>2142966.9603685248</v>
      </c>
      <c r="L827" s="2">
        <f t="shared" si="142"/>
        <v>140759.58999999985</v>
      </c>
      <c r="N827" s="4">
        <f t="shared" si="136"/>
        <v>2807548.6566500003</v>
      </c>
      <c r="O827" s="2">
        <f t="shared" si="138"/>
        <v>319579.44665000029</v>
      </c>
    </row>
    <row r="828" spans="1:15" x14ac:dyDescent="0.3">
      <c r="A828" s="50">
        <v>44657</v>
      </c>
      <c r="B828" s="2">
        <v>827</v>
      </c>
      <c r="C828" s="4">
        <v>1333072.1599999999</v>
      </c>
      <c r="D828" s="4">
        <f t="shared" si="132"/>
        <v>1910520.6850000001</v>
      </c>
      <c r="E828" s="2">
        <f t="shared" si="133"/>
        <v>903813.53487515158</v>
      </c>
      <c r="F828" s="2">
        <f t="shared" si="134"/>
        <v>577448.52500000014</v>
      </c>
      <c r="G828" s="4">
        <f t="shared" si="135"/>
        <v>1342795.6566666665</v>
      </c>
      <c r="H828" s="2">
        <f t="shared" si="139"/>
        <v>1219550.107130985</v>
      </c>
      <c r="I828" s="2">
        <f t="shared" si="140"/>
        <v>9723.496666666586</v>
      </c>
      <c r="J828" s="4">
        <f t="shared" si="137"/>
        <v>2413221.9350000001</v>
      </c>
      <c r="K828" s="2">
        <f t="shared" si="141"/>
        <v>2179563.0431581624</v>
      </c>
      <c r="L828" s="2">
        <f t="shared" si="142"/>
        <v>1080149.7750000001</v>
      </c>
      <c r="N828" s="4">
        <f t="shared" si="136"/>
        <v>2163128.6467500003</v>
      </c>
      <c r="O828" s="2">
        <f t="shared" si="138"/>
        <v>830056.48675000039</v>
      </c>
    </row>
    <row r="829" spans="1:15" x14ac:dyDescent="0.3">
      <c r="A829" s="50">
        <v>44658</v>
      </c>
      <c r="B829" s="2">
        <v>828</v>
      </c>
      <c r="C829" s="4">
        <v>921124.74</v>
      </c>
      <c r="D829" s="4">
        <f t="shared" si="132"/>
        <v>1127098.45</v>
      </c>
      <c r="E829" s="2">
        <f t="shared" si="133"/>
        <v>433515.84067703906</v>
      </c>
      <c r="F829" s="2">
        <f t="shared" si="134"/>
        <v>205973.70999999996</v>
      </c>
      <c r="G829" s="4">
        <f t="shared" si="135"/>
        <v>1580722.0366666669</v>
      </c>
      <c r="H829" s="2">
        <f t="shared" si="139"/>
        <v>414954.11081806145</v>
      </c>
      <c r="I829" s="2">
        <f t="shared" si="140"/>
        <v>659597.29666666687</v>
      </c>
      <c r="J829" s="4">
        <f t="shared" si="137"/>
        <v>1237377.9275</v>
      </c>
      <c r="K829" s="2">
        <f t="shared" si="141"/>
        <v>948651.47921337956</v>
      </c>
      <c r="L829" s="2">
        <f t="shared" si="142"/>
        <v>316253.1875</v>
      </c>
      <c r="N829" s="4">
        <f t="shared" si="136"/>
        <v>1599341.5040499999</v>
      </c>
      <c r="O829" s="2">
        <f t="shared" si="138"/>
        <v>678216.76404999988</v>
      </c>
    </row>
    <row r="830" spans="1:15" x14ac:dyDescent="0.3">
      <c r="A830" s="50">
        <v>44659</v>
      </c>
      <c r="B830" s="2">
        <v>829</v>
      </c>
      <c r="C830" s="4">
        <v>32664.33</v>
      </c>
      <c r="D830" s="4">
        <f t="shared" si="132"/>
        <v>476894.53499999997</v>
      </c>
      <c r="E830" s="2">
        <f t="shared" si="133"/>
        <v>346240.98850764771</v>
      </c>
      <c r="F830" s="2">
        <f t="shared" si="134"/>
        <v>444230.20499999996</v>
      </c>
      <c r="G830" s="4">
        <f t="shared" si="135"/>
        <v>762287.07666666666</v>
      </c>
      <c r="H830" s="2">
        <f t="shared" si="139"/>
        <v>567894.50094502955</v>
      </c>
      <c r="I830" s="2">
        <f t="shared" si="140"/>
        <v>729622.7466666667</v>
      </c>
      <c r="J830" s="4">
        <f t="shared" si="137"/>
        <v>1193707.6100000001</v>
      </c>
      <c r="K830" s="2">
        <f t="shared" si="141"/>
        <v>811568.60080442182</v>
      </c>
      <c r="L830" s="2">
        <f t="shared" si="142"/>
        <v>1161043.28</v>
      </c>
      <c r="N830" s="4">
        <f t="shared" si="136"/>
        <v>1449147.1253</v>
      </c>
      <c r="O830" s="2">
        <f t="shared" si="138"/>
        <v>1416482.7952999999</v>
      </c>
    </row>
    <row r="831" spans="1:15" x14ac:dyDescent="0.3">
      <c r="A831" s="50">
        <v>44660</v>
      </c>
      <c r="B831" s="2">
        <v>830</v>
      </c>
      <c r="C831" s="4">
        <v>1505929.7</v>
      </c>
      <c r="D831" s="4">
        <f t="shared" si="132"/>
        <v>769297.01500000001</v>
      </c>
      <c r="E831" s="2">
        <f t="shared" si="133"/>
        <v>608263.17809179076</v>
      </c>
      <c r="F831" s="2">
        <f t="shared" si="134"/>
        <v>736632.68499999994</v>
      </c>
      <c r="G831" s="4">
        <f t="shared" si="135"/>
        <v>819906.25666666671</v>
      </c>
      <c r="H831" s="2">
        <f t="shared" si="139"/>
        <v>692350.13084091805</v>
      </c>
      <c r="I831" s="2">
        <f t="shared" si="140"/>
        <v>686023.44333333324</v>
      </c>
      <c r="J831" s="4">
        <f t="shared" si="137"/>
        <v>948197.73249999993</v>
      </c>
      <c r="K831" s="2">
        <f t="shared" si="141"/>
        <v>855252.31081842748</v>
      </c>
      <c r="L831" s="2">
        <f t="shared" si="142"/>
        <v>557731.96750000003</v>
      </c>
      <c r="N831" s="4">
        <f t="shared" si="136"/>
        <v>714118.93504999997</v>
      </c>
      <c r="O831" s="2">
        <f t="shared" si="138"/>
        <v>791810.76494999998</v>
      </c>
    </row>
    <row r="832" spans="1:15" x14ac:dyDescent="0.3">
      <c r="A832" s="50">
        <v>44661</v>
      </c>
      <c r="B832" s="2">
        <v>831</v>
      </c>
      <c r="C832" s="4">
        <v>37403.97</v>
      </c>
      <c r="D832" s="4">
        <f t="shared" si="132"/>
        <v>771666.83499999996</v>
      </c>
      <c r="E832" s="2">
        <f t="shared" si="133"/>
        <v>735448.72952787043</v>
      </c>
      <c r="F832" s="2">
        <f t="shared" si="134"/>
        <v>734262.86499999999</v>
      </c>
      <c r="G832" s="4">
        <f t="shared" si="135"/>
        <v>525332.66666666663</v>
      </c>
      <c r="H832" s="2">
        <f t="shared" si="139"/>
        <v>643182.69314588117</v>
      </c>
      <c r="I832" s="2">
        <f t="shared" si="140"/>
        <v>487928.69666666666</v>
      </c>
      <c r="J832" s="4">
        <f t="shared" si="137"/>
        <v>624280.68500000006</v>
      </c>
      <c r="K832" s="2">
        <f t="shared" si="141"/>
        <v>725177.01335909718</v>
      </c>
      <c r="L832" s="2">
        <f t="shared" si="142"/>
        <v>586876.71500000008</v>
      </c>
      <c r="N832" s="4">
        <f t="shared" si="136"/>
        <v>721669.51915000007</v>
      </c>
      <c r="O832" s="2">
        <f t="shared" si="138"/>
        <v>684265.54915000009</v>
      </c>
    </row>
    <row r="833" spans="1:15" x14ac:dyDescent="0.3">
      <c r="A833" s="50">
        <v>44662</v>
      </c>
      <c r="B833" s="2">
        <v>832</v>
      </c>
      <c r="C833" s="4">
        <v>330030.54000000004</v>
      </c>
      <c r="D833" s="4">
        <f t="shared" si="132"/>
        <v>183717.255</v>
      </c>
      <c r="E833" s="2">
        <f t="shared" si="133"/>
        <v>529409.82815088518</v>
      </c>
      <c r="F833" s="2">
        <f t="shared" si="134"/>
        <v>146313.28500000003</v>
      </c>
      <c r="G833" s="4">
        <f t="shared" si="135"/>
        <v>624454.73666666669</v>
      </c>
      <c r="H833" s="2">
        <f t="shared" si="139"/>
        <v>514907.17138029425</v>
      </c>
      <c r="I833" s="2">
        <f t="shared" si="140"/>
        <v>294424.19666666666</v>
      </c>
      <c r="J833" s="4">
        <f t="shared" si="137"/>
        <v>476507.13500000001</v>
      </c>
      <c r="K833" s="2">
        <f t="shared" si="141"/>
        <v>711506.52089361858</v>
      </c>
      <c r="L833" s="2">
        <f t="shared" si="142"/>
        <v>146476.59499999997</v>
      </c>
      <c r="N833" s="4">
        <f t="shared" si="136"/>
        <v>689855.19905000005</v>
      </c>
      <c r="O833" s="2">
        <f t="shared" si="138"/>
        <v>359824.65905000002</v>
      </c>
    </row>
    <row r="834" spans="1:15" x14ac:dyDescent="0.3">
      <c r="A834" s="50">
        <v>44663</v>
      </c>
      <c r="B834" s="2">
        <v>833</v>
      </c>
      <c r="C834" s="4">
        <v>1891880.08</v>
      </c>
      <c r="D834" s="4">
        <f t="shared" si="132"/>
        <v>1110955.31</v>
      </c>
      <c r="E834" s="2">
        <f t="shared" si="133"/>
        <v>561805.60417596588</v>
      </c>
      <c r="F834" s="2">
        <f t="shared" si="134"/>
        <v>780924.77</v>
      </c>
      <c r="G834" s="4">
        <f t="shared" si="135"/>
        <v>753104.86333333328</v>
      </c>
      <c r="H834" s="2">
        <f t="shared" si="139"/>
        <v>735202.69647398556</v>
      </c>
      <c r="I834" s="2">
        <f t="shared" si="140"/>
        <v>1138775.2166666668</v>
      </c>
      <c r="J834" s="4">
        <f t="shared" si="137"/>
        <v>941311.07250000001</v>
      </c>
      <c r="K834" s="2">
        <f t="shared" si="141"/>
        <v>628594.87292749644</v>
      </c>
      <c r="L834" s="2">
        <f t="shared" si="142"/>
        <v>950569.00750000007</v>
      </c>
      <c r="N834" s="4">
        <f t="shared" si="136"/>
        <v>458509.53155000001</v>
      </c>
      <c r="O834" s="2">
        <f t="shared" si="138"/>
        <v>1433370.5484500001</v>
      </c>
    </row>
    <row r="835" spans="1:15" x14ac:dyDescent="0.3">
      <c r="A835" s="50">
        <v>44664</v>
      </c>
      <c r="B835" s="2">
        <v>834</v>
      </c>
      <c r="C835" s="4">
        <v>810529.76</v>
      </c>
      <c r="D835" s="4">
        <f t="shared" si="132"/>
        <v>1351204.92</v>
      </c>
      <c r="E835" s="2">
        <f t="shared" si="133"/>
        <v>671629.78084677667</v>
      </c>
      <c r="F835" s="2">
        <f t="shared" si="134"/>
        <v>540675.15999999992</v>
      </c>
      <c r="G835" s="4">
        <f t="shared" si="135"/>
        <v>1010813.46</v>
      </c>
      <c r="H835" s="2">
        <f t="shared" si="139"/>
        <v>688865.7736121302</v>
      </c>
      <c r="I835" s="2">
        <f t="shared" si="140"/>
        <v>200283.69999999995</v>
      </c>
      <c r="J835" s="4">
        <f t="shared" si="137"/>
        <v>767461.08749999991</v>
      </c>
      <c r="K835" s="2">
        <f t="shared" si="141"/>
        <v>563763.25262969045</v>
      </c>
      <c r="L835" s="2">
        <f t="shared" si="142"/>
        <v>43068.672500000102</v>
      </c>
      <c r="N835" s="4">
        <f t="shared" si="136"/>
        <v>788872.29050000012</v>
      </c>
      <c r="O835" s="2">
        <f t="shared" si="138"/>
        <v>21657.46949999989</v>
      </c>
    </row>
    <row r="836" spans="1:15" x14ac:dyDescent="0.3">
      <c r="A836" s="50">
        <v>44665</v>
      </c>
      <c r="B836" s="2">
        <v>835</v>
      </c>
      <c r="C836" s="4">
        <v>64106.43</v>
      </c>
      <c r="D836" s="4">
        <f t="shared" ref="D836:D899" si="143">AVERAGE(C835:C836)</f>
        <v>437318.09500000003</v>
      </c>
      <c r="E836" s="2">
        <f t="shared" si="133"/>
        <v>464551.7062357525</v>
      </c>
      <c r="F836" s="2">
        <f t="shared" si="134"/>
        <v>373211.66500000004</v>
      </c>
      <c r="G836" s="4">
        <f t="shared" si="135"/>
        <v>922172.09</v>
      </c>
      <c r="H836" s="2">
        <f t="shared" si="139"/>
        <v>831304.04214325396</v>
      </c>
      <c r="I836" s="2">
        <f t="shared" si="140"/>
        <v>858065.65999999992</v>
      </c>
      <c r="J836" s="4">
        <f t="shared" si="137"/>
        <v>774136.70250000001</v>
      </c>
      <c r="K836" s="2">
        <f t="shared" si="141"/>
        <v>598129.31906897551</v>
      </c>
      <c r="L836" s="2">
        <f t="shared" si="142"/>
        <v>710030.27249999996</v>
      </c>
      <c r="N836" s="4">
        <f t="shared" si="136"/>
        <v>1186020.824</v>
      </c>
      <c r="O836" s="2">
        <f t="shared" si="138"/>
        <v>1121914.3940000001</v>
      </c>
    </row>
    <row r="837" spans="1:15" x14ac:dyDescent="0.3">
      <c r="A837" s="50">
        <v>44666</v>
      </c>
      <c r="B837" s="2">
        <v>836</v>
      </c>
      <c r="C837" s="4">
        <v>1092125.5999999999</v>
      </c>
      <c r="D837" s="4">
        <f t="shared" si="143"/>
        <v>578116.0149999999</v>
      </c>
      <c r="E837" s="2">
        <f t="shared" ref="E837:E900" si="144">SQRT(SUMXMY2(C836:C837,D836:D837)/2)</f>
        <v>449161.88638615835</v>
      </c>
      <c r="F837" s="2">
        <f t="shared" ref="F837:F900" si="145">ABS(D837-C837)</f>
        <v>514009.58499999996</v>
      </c>
      <c r="G837" s="4">
        <f t="shared" ref="G837:G900" si="146">AVERAGE(C835:C837)</f>
        <v>655587.26333333331</v>
      </c>
      <c r="H837" s="2">
        <f t="shared" si="139"/>
        <v>567731.14433289797</v>
      </c>
      <c r="I837" s="2">
        <f t="shared" si="140"/>
        <v>436538.33666666655</v>
      </c>
      <c r="J837" s="4">
        <f t="shared" si="137"/>
        <v>964660.46750000003</v>
      </c>
      <c r="K837" s="2">
        <f t="shared" si="141"/>
        <v>597039.92673022172</v>
      </c>
      <c r="L837" s="2">
        <f t="shared" si="142"/>
        <v>127465.13249999983</v>
      </c>
      <c r="N837" s="4">
        <f t="shared" ref="N837:N900" si="147">($M$2*D836)+($M$3*C835)+($M$4*C834)</f>
        <v>798375.01485000004</v>
      </c>
      <c r="O837" s="2">
        <f t="shared" si="138"/>
        <v>293750.58514999982</v>
      </c>
    </row>
    <row r="838" spans="1:15" x14ac:dyDescent="0.3">
      <c r="A838" s="50">
        <v>44667</v>
      </c>
      <c r="B838" s="2">
        <v>837</v>
      </c>
      <c r="C838" s="4">
        <v>3397480.17</v>
      </c>
      <c r="D838" s="4">
        <f t="shared" si="143"/>
        <v>2244802.8849999998</v>
      </c>
      <c r="E838" s="2">
        <f t="shared" si="144"/>
        <v>892432.28785909689</v>
      </c>
      <c r="F838" s="2">
        <f t="shared" si="145"/>
        <v>1152677.2850000001</v>
      </c>
      <c r="G838" s="4">
        <f t="shared" si="146"/>
        <v>1517904.0666666664</v>
      </c>
      <c r="H838" s="2">
        <f t="shared" si="139"/>
        <v>1219241.3931720895</v>
      </c>
      <c r="I838" s="2">
        <f t="shared" si="140"/>
        <v>1879576.1033333335</v>
      </c>
      <c r="J838" s="4">
        <f t="shared" ref="J838:J901" si="148">AVERAGE(C835:C838)</f>
        <v>1341060.49</v>
      </c>
      <c r="K838" s="2">
        <f t="shared" si="141"/>
        <v>1089851.7282997584</v>
      </c>
      <c r="L838" s="2">
        <f t="shared" si="142"/>
        <v>2056419.68</v>
      </c>
      <c r="N838" s="4">
        <f t="shared" si="147"/>
        <v>572705.98454999994</v>
      </c>
      <c r="O838" s="2">
        <f t="shared" ref="O838:O901" si="149">ABS(N838-C838)</f>
        <v>2824774.1854499998</v>
      </c>
    </row>
    <row r="839" spans="1:15" x14ac:dyDescent="0.3">
      <c r="A839" s="50">
        <v>44668</v>
      </c>
      <c r="B839" s="2">
        <v>838</v>
      </c>
      <c r="C839" s="4">
        <v>1422198.1800000002</v>
      </c>
      <c r="D839" s="4">
        <f t="shared" si="143"/>
        <v>2409839.1749999998</v>
      </c>
      <c r="E839" s="2">
        <f t="shared" si="144"/>
        <v>1073335.8417474842</v>
      </c>
      <c r="F839" s="2">
        <f t="shared" si="145"/>
        <v>987640.99499999965</v>
      </c>
      <c r="G839" s="4">
        <f t="shared" si="146"/>
        <v>1970601.3166666664</v>
      </c>
      <c r="H839" s="2">
        <f t="shared" ref="H839:H902" si="150">SQRT(SUMXMY2(C837:C839,G837:G839)/3)</f>
        <v>1158176.4471080182</v>
      </c>
      <c r="I839" s="2">
        <f t="shared" ref="I839:I902" si="151">ABS(G839-C839)</f>
        <v>548403.13666666625</v>
      </c>
      <c r="J839" s="4">
        <f t="shared" si="148"/>
        <v>1493977.5949999997</v>
      </c>
      <c r="K839" s="2">
        <f t="shared" si="141"/>
        <v>1090229.8533541805</v>
      </c>
      <c r="L839" s="2">
        <f t="shared" si="142"/>
        <v>71779.414999999572</v>
      </c>
      <c r="N839" s="4">
        <f t="shared" si="147"/>
        <v>1638255.1635499999</v>
      </c>
      <c r="O839" s="2">
        <f t="shared" si="149"/>
        <v>216056.98354999977</v>
      </c>
    </row>
    <row r="840" spans="1:15" x14ac:dyDescent="0.3">
      <c r="A840" s="50">
        <v>44669</v>
      </c>
      <c r="B840" s="2">
        <v>839</v>
      </c>
      <c r="C840" s="4">
        <v>1876189.7</v>
      </c>
      <c r="D840" s="4">
        <f t="shared" si="143"/>
        <v>1649193.94</v>
      </c>
      <c r="E840" s="2">
        <f t="shared" si="144"/>
        <v>716575.81945756695</v>
      </c>
      <c r="F840" s="2">
        <f t="shared" si="145"/>
        <v>226995.76</v>
      </c>
      <c r="G840" s="4">
        <f t="shared" si="146"/>
        <v>2231956.0166666666</v>
      </c>
      <c r="H840" s="2">
        <f t="shared" si="150"/>
        <v>1148930.2271536659</v>
      </c>
      <c r="I840" s="2">
        <f t="shared" si="151"/>
        <v>355766.31666666665</v>
      </c>
      <c r="J840" s="4">
        <f t="shared" si="148"/>
        <v>1946998.4124999999</v>
      </c>
      <c r="K840" s="2">
        <f t="shared" si="141"/>
        <v>1031415.9464636702</v>
      </c>
      <c r="L840" s="2">
        <f t="shared" si="142"/>
        <v>70808.712499999907</v>
      </c>
      <c r="N840" s="4">
        <f t="shared" si="147"/>
        <v>2228582.6979499999</v>
      </c>
      <c r="O840" s="2">
        <f t="shared" si="149"/>
        <v>352392.99794999999</v>
      </c>
    </row>
    <row r="841" spans="1:15" x14ac:dyDescent="0.3">
      <c r="A841" s="50">
        <v>44670</v>
      </c>
      <c r="B841" s="2">
        <v>840</v>
      </c>
      <c r="C841" s="4">
        <v>187979</v>
      </c>
      <c r="D841" s="4">
        <f t="shared" si="143"/>
        <v>1032084.35</v>
      </c>
      <c r="E841" s="2">
        <f t="shared" si="144"/>
        <v>618078.03591318475</v>
      </c>
      <c r="F841" s="2">
        <f t="shared" si="145"/>
        <v>844105.35</v>
      </c>
      <c r="G841" s="4">
        <f t="shared" si="146"/>
        <v>1162122.2933333332</v>
      </c>
      <c r="H841" s="2">
        <f t="shared" si="150"/>
        <v>677315.98443826241</v>
      </c>
      <c r="I841" s="2">
        <f t="shared" si="151"/>
        <v>974143.29333333322</v>
      </c>
      <c r="J841" s="4">
        <f t="shared" si="148"/>
        <v>1720961.7625</v>
      </c>
      <c r="K841" s="2">
        <f t="shared" ref="K841:K904" si="152">SQRT(SUMXMY2(C838:C841,J838:J841)/4)</f>
        <v>1283458.6289200252</v>
      </c>
      <c r="L841" s="2">
        <f t="shared" ref="L841:L904" si="153">ABS(J841-C841)</f>
        <v>1532982.7625</v>
      </c>
      <c r="N841" s="4">
        <f t="shared" si="147"/>
        <v>2008847.3769999999</v>
      </c>
      <c r="O841" s="2">
        <f t="shared" si="149"/>
        <v>1820868.3769999999</v>
      </c>
    </row>
    <row r="842" spans="1:15" x14ac:dyDescent="0.3">
      <c r="A842" s="50">
        <v>44671</v>
      </c>
      <c r="B842" s="2">
        <v>841</v>
      </c>
      <c r="C842" s="4">
        <v>188396.64</v>
      </c>
      <c r="D842" s="4">
        <f t="shared" si="143"/>
        <v>188187.82</v>
      </c>
      <c r="E842" s="2">
        <f t="shared" si="144"/>
        <v>596872.6352851229</v>
      </c>
      <c r="F842" s="2">
        <f t="shared" si="145"/>
        <v>208.82000000000698</v>
      </c>
      <c r="G842" s="4">
        <f t="shared" si="146"/>
        <v>750855.11333333328</v>
      </c>
      <c r="H842" s="2">
        <f t="shared" si="150"/>
        <v>681147.16037122335</v>
      </c>
      <c r="I842" s="2">
        <f t="shared" si="151"/>
        <v>562458.47333333327</v>
      </c>
      <c r="J842" s="4">
        <f t="shared" si="148"/>
        <v>918690.88</v>
      </c>
      <c r="K842" s="2">
        <f t="shared" si="152"/>
        <v>850519.25099949364</v>
      </c>
      <c r="L842" s="2">
        <f t="shared" si="153"/>
        <v>730294.24</v>
      </c>
      <c r="N842" s="4">
        <f t="shared" si="147"/>
        <v>1210760.9811</v>
      </c>
      <c r="O842" s="2">
        <f t="shared" si="149"/>
        <v>1022364.3411</v>
      </c>
    </row>
    <row r="843" spans="1:15" x14ac:dyDescent="0.3">
      <c r="A843" s="50">
        <v>44672</v>
      </c>
      <c r="B843" s="2">
        <v>842</v>
      </c>
      <c r="C843" s="4">
        <v>682200.31</v>
      </c>
      <c r="D843" s="4">
        <f t="shared" si="143"/>
        <v>435298.47500000003</v>
      </c>
      <c r="E843" s="2">
        <f t="shared" si="144"/>
        <v>174586.02425761294</v>
      </c>
      <c r="F843" s="2">
        <f t="shared" si="145"/>
        <v>246901.83500000002</v>
      </c>
      <c r="G843" s="4">
        <f t="shared" si="146"/>
        <v>352858.65000000008</v>
      </c>
      <c r="H843" s="2">
        <f t="shared" si="150"/>
        <v>676702.94299698249</v>
      </c>
      <c r="I843" s="2">
        <f t="shared" si="151"/>
        <v>329341.65999999997</v>
      </c>
      <c r="J843" s="4">
        <f t="shared" si="148"/>
        <v>733691.41249999998</v>
      </c>
      <c r="K843" s="2">
        <f t="shared" si="152"/>
        <v>850151.60920007119</v>
      </c>
      <c r="L843" s="2">
        <f t="shared" si="153"/>
        <v>51491.102499999921</v>
      </c>
      <c r="N843" s="4">
        <f t="shared" si="147"/>
        <v>559525.26340000005</v>
      </c>
      <c r="O843" s="2">
        <f t="shared" si="149"/>
        <v>122675.0466</v>
      </c>
    </row>
    <row r="844" spans="1:15" x14ac:dyDescent="0.3">
      <c r="A844" s="50">
        <v>44673</v>
      </c>
      <c r="B844" s="2">
        <v>843</v>
      </c>
      <c r="C844" s="4">
        <v>1549549.6</v>
      </c>
      <c r="D844" s="4">
        <f t="shared" si="143"/>
        <v>1115874.9550000001</v>
      </c>
      <c r="E844" s="2">
        <f t="shared" si="144"/>
        <v>352869.81582606584</v>
      </c>
      <c r="F844" s="2">
        <f t="shared" si="145"/>
        <v>433674.64500000002</v>
      </c>
      <c r="G844" s="4">
        <f t="shared" si="146"/>
        <v>806715.51666666672</v>
      </c>
      <c r="H844" s="2">
        <f t="shared" si="150"/>
        <v>570563.44625223859</v>
      </c>
      <c r="I844" s="2">
        <f t="shared" si="151"/>
        <v>742834.08333333337</v>
      </c>
      <c r="J844" s="4">
        <f t="shared" si="148"/>
        <v>652031.38750000007</v>
      </c>
      <c r="K844" s="2">
        <f t="shared" si="152"/>
        <v>960671.13292025821</v>
      </c>
      <c r="L844" s="2">
        <f t="shared" si="153"/>
        <v>897518.21250000002</v>
      </c>
      <c r="N844" s="4">
        <f t="shared" si="147"/>
        <v>353728.98865000007</v>
      </c>
      <c r="O844" s="2">
        <f t="shared" si="149"/>
        <v>1195820.6113499999</v>
      </c>
    </row>
    <row r="845" spans="1:15" x14ac:dyDescent="0.3">
      <c r="A845" s="50">
        <v>44674</v>
      </c>
      <c r="B845" s="2">
        <v>844</v>
      </c>
      <c r="C845" s="4">
        <v>64181.07</v>
      </c>
      <c r="D845" s="4">
        <f t="shared" si="143"/>
        <v>806865.33500000008</v>
      </c>
      <c r="E845" s="2">
        <f t="shared" si="144"/>
        <v>608133.87308818218</v>
      </c>
      <c r="F845" s="2">
        <f t="shared" si="145"/>
        <v>742684.26500000013</v>
      </c>
      <c r="G845" s="4">
        <f t="shared" si="146"/>
        <v>765310.32666666666</v>
      </c>
      <c r="H845" s="2">
        <f t="shared" si="150"/>
        <v>619637.16235852684</v>
      </c>
      <c r="I845" s="2">
        <f t="shared" si="151"/>
        <v>701129.25666666671</v>
      </c>
      <c r="J845" s="4">
        <f t="shared" si="148"/>
        <v>621081.90500000003</v>
      </c>
      <c r="K845" s="2">
        <f t="shared" si="152"/>
        <v>642584.3315096345</v>
      </c>
      <c r="L845" s="2">
        <f t="shared" si="153"/>
        <v>556900.83500000008</v>
      </c>
      <c r="N845" s="4">
        <f t="shared" si="147"/>
        <v>864125.51475000021</v>
      </c>
      <c r="O845" s="2">
        <f t="shared" si="149"/>
        <v>799944.44475000026</v>
      </c>
    </row>
    <row r="846" spans="1:15" x14ac:dyDescent="0.3">
      <c r="A846" s="50">
        <v>44675</v>
      </c>
      <c r="B846" s="2">
        <v>845</v>
      </c>
      <c r="C846" s="4">
        <v>520582.32999999996</v>
      </c>
      <c r="D846" s="4">
        <f t="shared" si="143"/>
        <v>292381.69999999995</v>
      </c>
      <c r="E846" s="2">
        <f t="shared" si="144"/>
        <v>549388.49870150513</v>
      </c>
      <c r="F846" s="2">
        <f t="shared" si="145"/>
        <v>228200.63</v>
      </c>
      <c r="G846" s="4">
        <f t="shared" si="146"/>
        <v>711437.66666666663</v>
      </c>
      <c r="H846" s="2">
        <f t="shared" si="150"/>
        <v>599947.35031494591</v>
      </c>
      <c r="I846" s="2">
        <f t="shared" si="151"/>
        <v>190855.33666666667</v>
      </c>
      <c r="J846" s="4">
        <f t="shared" si="148"/>
        <v>704128.32750000001</v>
      </c>
      <c r="K846" s="2">
        <f t="shared" si="152"/>
        <v>536660.49524532456</v>
      </c>
      <c r="L846" s="2">
        <f t="shared" si="153"/>
        <v>183545.99750000006</v>
      </c>
      <c r="N846" s="4">
        <f t="shared" si="147"/>
        <v>861134.29865000013</v>
      </c>
      <c r="O846" s="2">
        <f t="shared" si="149"/>
        <v>340551.96865000017</v>
      </c>
    </row>
    <row r="847" spans="1:15" x14ac:dyDescent="0.3">
      <c r="A847" s="50">
        <v>44676</v>
      </c>
      <c r="B847" s="2">
        <v>846</v>
      </c>
      <c r="C847" s="4">
        <v>91499.31</v>
      </c>
      <c r="D847" s="4">
        <f t="shared" si="143"/>
        <v>306040.81999999995</v>
      </c>
      <c r="E847" s="2">
        <f t="shared" si="144"/>
        <v>221476.39495607314</v>
      </c>
      <c r="F847" s="2">
        <f t="shared" si="145"/>
        <v>214541.50999999995</v>
      </c>
      <c r="G847" s="4">
        <f t="shared" si="146"/>
        <v>225420.90333333332</v>
      </c>
      <c r="H847" s="2">
        <f t="shared" si="150"/>
        <v>426592.30624763895</v>
      </c>
      <c r="I847" s="2">
        <f t="shared" si="151"/>
        <v>133921.59333333332</v>
      </c>
      <c r="J847" s="4">
        <f t="shared" si="148"/>
        <v>556453.07750000001</v>
      </c>
      <c r="K847" s="2">
        <f t="shared" si="152"/>
        <v>584283.45452006569</v>
      </c>
      <c r="L847" s="2">
        <f t="shared" si="153"/>
        <v>464953.76750000002</v>
      </c>
      <c r="N847" s="4">
        <f t="shared" si="147"/>
        <v>543856.56869999995</v>
      </c>
      <c r="O847" s="2">
        <f t="shared" si="149"/>
        <v>452357.25869999995</v>
      </c>
    </row>
    <row r="848" spans="1:15" x14ac:dyDescent="0.3">
      <c r="A848" s="50">
        <v>44677</v>
      </c>
      <c r="B848" s="2">
        <v>847</v>
      </c>
      <c r="C848" s="4">
        <v>1325153.2</v>
      </c>
      <c r="D848" s="4">
        <f t="shared" si="143"/>
        <v>708326.255</v>
      </c>
      <c r="E848" s="2">
        <f t="shared" si="144"/>
        <v>461791.91179096728</v>
      </c>
      <c r="F848" s="2">
        <f t="shared" si="145"/>
        <v>616826.94499999995</v>
      </c>
      <c r="G848" s="4">
        <f t="shared" si="146"/>
        <v>645744.94666666666</v>
      </c>
      <c r="H848" s="2">
        <f t="shared" si="150"/>
        <v>414711.27602728474</v>
      </c>
      <c r="I848" s="2">
        <f t="shared" si="151"/>
        <v>679408.2533333333</v>
      </c>
      <c r="J848" s="4">
        <f t="shared" si="148"/>
        <v>500353.97749999998</v>
      </c>
      <c r="K848" s="2">
        <f t="shared" si="152"/>
        <v>556844.55563716695</v>
      </c>
      <c r="L848" s="2">
        <f t="shared" si="153"/>
        <v>824799.22249999992</v>
      </c>
      <c r="N848" s="4">
        <f t="shared" si="147"/>
        <v>276431.24109999998</v>
      </c>
      <c r="O848" s="2">
        <f t="shared" si="149"/>
        <v>1048721.9589</v>
      </c>
    </row>
    <row r="849" spans="1:15" x14ac:dyDescent="0.3">
      <c r="A849" s="50">
        <v>44678</v>
      </c>
      <c r="B849" s="2">
        <v>848</v>
      </c>
      <c r="C849" s="4">
        <v>238484.88</v>
      </c>
      <c r="D849" s="4">
        <f t="shared" si="143"/>
        <v>781819.04</v>
      </c>
      <c r="E849" s="2">
        <f t="shared" si="144"/>
        <v>581243.27501526359</v>
      </c>
      <c r="F849" s="2">
        <f t="shared" si="145"/>
        <v>543334.16</v>
      </c>
      <c r="G849" s="4">
        <f t="shared" si="146"/>
        <v>551712.46333333338</v>
      </c>
      <c r="H849" s="2">
        <f t="shared" si="150"/>
        <v>438802.19036950648</v>
      </c>
      <c r="I849" s="2">
        <f t="shared" si="151"/>
        <v>313227.58333333337</v>
      </c>
      <c r="J849" s="4">
        <f t="shared" si="148"/>
        <v>543929.92999999993</v>
      </c>
      <c r="K849" s="2">
        <f t="shared" si="152"/>
        <v>505831.38868520729</v>
      </c>
      <c r="L849" s="2">
        <f t="shared" si="153"/>
        <v>305445.04999999993</v>
      </c>
      <c r="N849" s="4">
        <f t="shared" si="147"/>
        <v>599171.62755000009</v>
      </c>
      <c r="O849" s="2">
        <f t="shared" si="149"/>
        <v>360686.74755000009</v>
      </c>
    </row>
    <row r="850" spans="1:15" x14ac:dyDescent="0.3">
      <c r="A850" s="50">
        <v>44679</v>
      </c>
      <c r="B850" s="2">
        <v>849</v>
      </c>
      <c r="C850" s="4">
        <v>381277.92</v>
      </c>
      <c r="D850" s="4">
        <f t="shared" si="143"/>
        <v>309881.40000000002</v>
      </c>
      <c r="E850" s="2">
        <f t="shared" si="144"/>
        <v>387498.0467634747</v>
      </c>
      <c r="F850" s="2">
        <f t="shared" si="145"/>
        <v>71396.51999999996</v>
      </c>
      <c r="G850" s="4">
        <f t="shared" si="146"/>
        <v>648305.33333333337</v>
      </c>
      <c r="H850" s="2">
        <f t="shared" si="150"/>
        <v>458625.0222603</v>
      </c>
      <c r="I850" s="2">
        <f t="shared" si="151"/>
        <v>267027.41333333339</v>
      </c>
      <c r="J850" s="4">
        <f t="shared" si="148"/>
        <v>509103.82750000001</v>
      </c>
      <c r="K850" s="2">
        <f t="shared" si="152"/>
        <v>501525.64853324043</v>
      </c>
      <c r="L850" s="2">
        <f t="shared" si="153"/>
        <v>127825.90750000003</v>
      </c>
      <c r="N850" s="4">
        <f t="shared" si="147"/>
        <v>689715.45700000005</v>
      </c>
      <c r="O850" s="2">
        <f t="shared" si="149"/>
        <v>308437.53700000007</v>
      </c>
    </row>
    <row r="851" spans="1:15" x14ac:dyDescent="0.3">
      <c r="A851" s="50">
        <v>44680</v>
      </c>
      <c r="B851" s="2">
        <v>850</v>
      </c>
      <c r="C851" s="4">
        <v>2301093.92</v>
      </c>
      <c r="D851" s="4">
        <f t="shared" si="143"/>
        <v>1341185.92</v>
      </c>
      <c r="E851" s="2">
        <f t="shared" si="144"/>
        <v>680632.36461841513</v>
      </c>
      <c r="F851" s="2">
        <f t="shared" si="145"/>
        <v>959908</v>
      </c>
      <c r="G851" s="4">
        <f t="shared" si="146"/>
        <v>973618.90666666662</v>
      </c>
      <c r="H851" s="2">
        <f t="shared" si="150"/>
        <v>802414.08043824532</v>
      </c>
      <c r="I851" s="2">
        <f t="shared" si="151"/>
        <v>1327475.0133333332</v>
      </c>
      <c r="J851" s="4">
        <f t="shared" si="148"/>
        <v>1061502.48</v>
      </c>
      <c r="K851" s="2">
        <f t="shared" si="152"/>
        <v>762646.18873295025</v>
      </c>
      <c r="L851" s="2">
        <f t="shared" si="153"/>
        <v>1239591.44</v>
      </c>
      <c r="N851" s="4">
        <f t="shared" si="147"/>
        <v>525387.57880000002</v>
      </c>
      <c r="O851" s="2">
        <f t="shared" si="149"/>
        <v>1775706.3411999999</v>
      </c>
    </row>
    <row r="852" spans="1:15" x14ac:dyDescent="0.3">
      <c r="A852" s="50">
        <v>44681</v>
      </c>
      <c r="B852" s="2">
        <v>851</v>
      </c>
      <c r="C852" s="4">
        <v>1357323.76</v>
      </c>
      <c r="D852" s="4">
        <f t="shared" si="143"/>
        <v>1829208.8399999999</v>
      </c>
      <c r="E852" s="2">
        <f t="shared" si="144"/>
        <v>756339.50617120555</v>
      </c>
      <c r="F852" s="2">
        <f t="shared" si="145"/>
        <v>471885.07999999984</v>
      </c>
      <c r="G852" s="4">
        <f t="shared" si="146"/>
        <v>1346565.2</v>
      </c>
      <c r="H852" s="2">
        <f t="shared" si="150"/>
        <v>781794.79343134922</v>
      </c>
      <c r="I852" s="2">
        <f t="shared" si="151"/>
        <v>10758.560000000056</v>
      </c>
      <c r="J852" s="4">
        <f t="shared" si="148"/>
        <v>1069545.1199999999</v>
      </c>
      <c r="K852" s="2">
        <f t="shared" si="152"/>
        <v>657464.75665225287</v>
      </c>
      <c r="L852" s="2">
        <f t="shared" si="153"/>
        <v>287778.64000000013</v>
      </c>
      <c r="N852" s="4">
        <f t="shared" si="147"/>
        <v>993001.8112</v>
      </c>
      <c r="O852" s="2">
        <f t="shared" si="149"/>
        <v>364321.94880000001</v>
      </c>
    </row>
    <row r="853" spans="1:15" x14ac:dyDescent="0.3">
      <c r="A853" s="50">
        <v>44682</v>
      </c>
      <c r="B853" s="2">
        <v>852</v>
      </c>
      <c r="C853" s="4">
        <v>15114.6</v>
      </c>
      <c r="D853" s="4">
        <f t="shared" si="143"/>
        <v>686219.18</v>
      </c>
      <c r="E853" s="2">
        <f t="shared" si="144"/>
        <v>580110.71616700152</v>
      </c>
      <c r="F853" s="2">
        <f t="shared" si="145"/>
        <v>671104.58000000007</v>
      </c>
      <c r="G853" s="4">
        <f t="shared" si="146"/>
        <v>1224510.76</v>
      </c>
      <c r="H853" s="2">
        <f t="shared" si="150"/>
        <v>1036813.1830213118</v>
      </c>
      <c r="I853" s="2">
        <f t="shared" si="151"/>
        <v>1209396.1599999999</v>
      </c>
      <c r="J853" s="4">
        <f t="shared" si="148"/>
        <v>1013702.5499999999</v>
      </c>
      <c r="K853" s="2">
        <f t="shared" si="152"/>
        <v>811313.87888334005</v>
      </c>
      <c r="L853" s="2">
        <f t="shared" si="153"/>
        <v>998587.95</v>
      </c>
      <c r="N853" s="4">
        <f t="shared" si="147"/>
        <v>1562571.3964</v>
      </c>
      <c r="O853" s="2">
        <f t="shared" si="149"/>
        <v>1547456.7963999999</v>
      </c>
    </row>
    <row r="854" spans="1:15" x14ac:dyDescent="0.3">
      <c r="A854" s="50">
        <v>44683</v>
      </c>
      <c r="B854" s="2">
        <v>853</v>
      </c>
      <c r="C854" s="4">
        <v>2721406.5900000003</v>
      </c>
      <c r="D854" s="4">
        <f t="shared" si="143"/>
        <v>1368260.5950000002</v>
      </c>
      <c r="E854" s="2">
        <f t="shared" si="144"/>
        <v>1068032.1720532384</v>
      </c>
      <c r="F854" s="2">
        <f t="shared" si="145"/>
        <v>1353145.9950000001</v>
      </c>
      <c r="G854" s="4">
        <f t="shared" si="146"/>
        <v>1364614.9833333334</v>
      </c>
      <c r="H854" s="2">
        <f t="shared" si="150"/>
        <v>1049386.8499203292</v>
      </c>
      <c r="I854" s="2">
        <f t="shared" si="151"/>
        <v>1356791.6066666669</v>
      </c>
      <c r="J854" s="4">
        <f t="shared" si="148"/>
        <v>1598734.7175</v>
      </c>
      <c r="K854" s="2">
        <f t="shared" si="152"/>
        <v>984501.58848899056</v>
      </c>
      <c r="L854" s="2">
        <f t="shared" si="153"/>
        <v>1122671.8725000003</v>
      </c>
      <c r="N854" s="4">
        <f t="shared" si="147"/>
        <v>1115313.1266000001</v>
      </c>
      <c r="O854" s="2">
        <f t="shared" si="149"/>
        <v>1606093.4634000002</v>
      </c>
    </row>
    <row r="855" spans="1:15" x14ac:dyDescent="0.3">
      <c r="A855" s="50">
        <v>44684</v>
      </c>
      <c r="B855" s="2">
        <v>854</v>
      </c>
      <c r="C855" s="4">
        <v>326758.40000000002</v>
      </c>
      <c r="D855" s="4">
        <f t="shared" si="143"/>
        <v>1524082.4950000001</v>
      </c>
      <c r="E855" s="2">
        <f t="shared" si="144"/>
        <v>1277612.8271608951</v>
      </c>
      <c r="F855" s="2">
        <f t="shared" si="145"/>
        <v>1197324.0950000002</v>
      </c>
      <c r="G855" s="4">
        <f t="shared" si="146"/>
        <v>1021093.1966666668</v>
      </c>
      <c r="H855" s="2">
        <f t="shared" si="150"/>
        <v>1123331.8514737014</v>
      </c>
      <c r="I855" s="2">
        <f t="shared" si="151"/>
        <v>694334.79666666675</v>
      </c>
      <c r="J855" s="4">
        <f t="shared" si="148"/>
        <v>1105150.8375000001</v>
      </c>
      <c r="K855" s="2">
        <f t="shared" si="152"/>
        <v>858236.76214452914</v>
      </c>
      <c r="L855" s="2">
        <f t="shared" si="153"/>
        <v>778392.43750000012</v>
      </c>
      <c r="N855" s="4">
        <f t="shared" si="147"/>
        <v>1217008.4318500003</v>
      </c>
      <c r="O855" s="2">
        <f t="shared" si="149"/>
        <v>890250.03185000026</v>
      </c>
    </row>
    <row r="856" spans="1:15" x14ac:dyDescent="0.3">
      <c r="A856" s="50">
        <v>44685</v>
      </c>
      <c r="B856" s="2">
        <v>855</v>
      </c>
      <c r="C856" s="4">
        <v>3476373.6</v>
      </c>
      <c r="D856" s="4">
        <f t="shared" si="143"/>
        <v>1901566</v>
      </c>
      <c r="E856" s="2">
        <f t="shared" si="144"/>
        <v>1398857.3847046257</v>
      </c>
      <c r="F856" s="2">
        <f t="shared" si="145"/>
        <v>1574807.6</v>
      </c>
      <c r="G856" s="4">
        <f t="shared" si="146"/>
        <v>2174846.1966666668</v>
      </c>
      <c r="H856" s="2">
        <f t="shared" si="150"/>
        <v>1157145.605273434</v>
      </c>
      <c r="I856" s="2">
        <f t="shared" si="151"/>
        <v>1301527.4033333333</v>
      </c>
      <c r="J856" s="4">
        <f t="shared" si="148"/>
        <v>1634913.2975000001</v>
      </c>
      <c r="K856" s="2">
        <f t="shared" si="152"/>
        <v>1250444.0071059202</v>
      </c>
      <c r="L856" s="2">
        <f t="shared" si="153"/>
        <v>1841460.3025</v>
      </c>
      <c r="N856" s="4">
        <f t="shared" si="147"/>
        <v>1323815.2085500003</v>
      </c>
      <c r="O856" s="2">
        <f t="shared" si="149"/>
        <v>2152558.39145</v>
      </c>
    </row>
    <row r="857" spans="1:15" x14ac:dyDescent="0.3">
      <c r="A857" s="50">
        <v>44686</v>
      </c>
      <c r="B857" s="2">
        <v>856</v>
      </c>
      <c r="C857" s="4">
        <v>614714.24</v>
      </c>
      <c r="D857" s="4">
        <f t="shared" si="143"/>
        <v>2045543.92</v>
      </c>
      <c r="E857" s="2">
        <f t="shared" si="144"/>
        <v>1504541.8821333393</v>
      </c>
      <c r="F857" s="2">
        <f t="shared" si="145"/>
        <v>1430829.68</v>
      </c>
      <c r="G857" s="4">
        <f t="shared" si="146"/>
        <v>1472615.4133333333</v>
      </c>
      <c r="H857" s="2">
        <f t="shared" si="150"/>
        <v>985235.81182314944</v>
      </c>
      <c r="I857" s="2">
        <f t="shared" si="151"/>
        <v>857901.17333333334</v>
      </c>
      <c r="J857" s="4">
        <f t="shared" si="148"/>
        <v>1784813.2075</v>
      </c>
      <c r="K857" s="2">
        <f t="shared" si="152"/>
        <v>1287089.2120874729</v>
      </c>
      <c r="L857" s="2">
        <f t="shared" si="153"/>
        <v>1170098.9675</v>
      </c>
      <c r="N857" s="4">
        <f t="shared" si="147"/>
        <v>1908702.0938000001</v>
      </c>
      <c r="O857" s="2">
        <f t="shared" si="149"/>
        <v>1293987.8538000002</v>
      </c>
    </row>
    <row r="858" spans="1:15" x14ac:dyDescent="0.3">
      <c r="A858" s="50">
        <v>44687</v>
      </c>
      <c r="B858" s="2">
        <v>857</v>
      </c>
      <c r="C858" s="4">
        <v>2083850.64</v>
      </c>
      <c r="D858" s="4">
        <f t="shared" si="143"/>
        <v>1349282.44</v>
      </c>
      <c r="E858" s="2">
        <f t="shared" si="144"/>
        <v>1137291.5223503916</v>
      </c>
      <c r="F858" s="2">
        <f t="shared" si="145"/>
        <v>734568.2</v>
      </c>
      <c r="G858" s="4">
        <f t="shared" si="146"/>
        <v>2058312.8266666664</v>
      </c>
      <c r="H858" s="2">
        <f t="shared" si="150"/>
        <v>900114.84169968881</v>
      </c>
      <c r="I858" s="2">
        <f t="shared" si="151"/>
        <v>25537.81333333347</v>
      </c>
      <c r="J858" s="4">
        <f t="shared" si="148"/>
        <v>1625424.22</v>
      </c>
      <c r="K858" s="2">
        <f t="shared" si="152"/>
        <v>1180694.4152424841</v>
      </c>
      <c r="L858" s="2">
        <f t="shared" si="153"/>
        <v>458426.41999999993</v>
      </c>
      <c r="N858" s="4">
        <f t="shared" si="147"/>
        <v>1824802.3704000001</v>
      </c>
      <c r="O858" s="2">
        <f t="shared" si="149"/>
        <v>259048.26959999977</v>
      </c>
    </row>
    <row r="859" spans="1:15" x14ac:dyDescent="0.3">
      <c r="A859" s="50">
        <v>44688</v>
      </c>
      <c r="B859" s="2">
        <v>858</v>
      </c>
      <c r="C859" s="4">
        <v>156676.41</v>
      </c>
      <c r="D859" s="4">
        <f t="shared" si="143"/>
        <v>1120263.5249999999</v>
      </c>
      <c r="E859" s="2">
        <f t="shared" si="144"/>
        <v>856764.42755440739</v>
      </c>
      <c r="F859" s="2">
        <f t="shared" si="145"/>
        <v>963587.11499999987</v>
      </c>
      <c r="G859" s="4">
        <f t="shared" si="146"/>
        <v>951747.09666666668</v>
      </c>
      <c r="H859" s="2">
        <f t="shared" si="150"/>
        <v>675471.19354150677</v>
      </c>
      <c r="I859" s="2">
        <f t="shared" si="151"/>
        <v>795070.68666666665</v>
      </c>
      <c r="J859" s="4">
        <f t="shared" si="148"/>
        <v>1582903.7224999999</v>
      </c>
      <c r="K859" s="2">
        <f t="shared" si="152"/>
        <v>1323290.1013102671</v>
      </c>
      <c r="L859" s="2">
        <f t="shared" si="153"/>
        <v>1426227.3125</v>
      </c>
      <c r="N859" s="4">
        <f t="shared" si="147"/>
        <v>1736439.9931999999</v>
      </c>
      <c r="O859" s="2">
        <f t="shared" si="149"/>
        <v>1579763.5832</v>
      </c>
    </row>
    <row r="860" spans="1:15" x14ac:dyDescent="0.3">
      <c r="A860" s="50">
        <v>44689</v>
      </c>
      <c r="B860" s="2">
        <v>859</v>
      </c>
      <c r="C860" s="4">
        <v>337511.85000000003</v>
      </c>
      <c r="D860" s="4">
        <f t="shared" si="143"/>
        <v>247094.13</v>
      </c>
      <c r="E860" s="2">
        <f t="shared" si="144"/>
        <v>684352.06300705392</v>
      </c>
      <c r="F860" s="2">
        <f t="shared" si="145"/>
        <v>90417.72000000003</v>
      </c>
      <c r="G860" s="4">
        <f t="shared" si="146"/>
        <v>859346.29999999993</v>
      </c>
      <c r="H860" s="2">
        <f t="shared" si="150"/>
        <v>549272.47941049421</v>
      </c>
      <c r="I860" s="2">
        <f t="shared" si="151"/>
        <v>521834.4499999999</v>
      </c>
      <c r="J860" s="4">
        <f t="shared" si="148"/>
        <v>798188.28500000003</v>
      </c>
      <c r="K860" s="2">
        <f t="shared" si="152"/>
        <v>977961.33627355949</v>
      </c>
      <c r="L860" s="2">
        <f t="shared" si="153"/>
        <v>460676.435</v>
      </c>
      <c r="N860" s="4">
        <f t="shared" si="147"/>
        <v>1115037.26495</v>
      </c>
      <c r="O860" s="2">
        <f t="shared" si="149"/>
        <v>777525.41494999989</v>
      </c>
    </row>
    <row r="861" spans="1:15" x14ac:dyDescent="0.3">
      <c r="A861" s="50">
        <v>44690</v>
      </c>
      <c r="B861" s="2">
        <v>860</v>
      </c>
      <c r="C861" s="4">
        <v>437631.35000000003</v>
      </c>
      <c r="D861" s="4">
        <f t="shared" si="143"/>
        <v>387571.60000000003</v>
      </c>
      <c r="E861" s="2">
        <f t="shared" si="144"/>
        <v>73079.896893950616</v>
      </c>
      <c r="F861" s="2">
        <f t="shared" si="145"/>
        <v>50059.75</v>
      </c>
      <c r="G861" s="4">
        <f t="shared" si="146"/>
        <v>310606.53666666668</v>
      </c>
      <c r="H861" s="2">
        <f t="shared" si="150"/>
        <v>553950.62752492528</v>
      </c>
      <c r="I861" s="2">
        <f t="shared" si="151"/>
        <v>127024.81333333335</v>
      </c>
      <c r="J861" s="4">
        <f t="shared" si="148"/>
        <v>753917.5625</v>
      </c>
      <c r="K861" s="2">
        <f t="shared" si="152"/>
        <v>799459.01637558837</v>
      </c>
      <c r="L861" s="2">
        <f t="shared" si="153"/>
        <v>316286.21249999997</v>
      </c>
      <c r="N861" s="4">
        <f t="shared" si="147"/>
        <v>641234.61300000001</v>
      </c>
      <c r="O861" s="2">
        <f t="shared" si="149"/>
        <v>203603.26299999998</v>
      </c>
    </row>
    <row r="862" spans="1:15" x14ac:dyDescent="0.3">
      <c r="A862" s="50">
        <v>44691</v>
      </c>
      <c r="B862" s="2">
        <v>861</v>
      </c>
      <c r="C862" s="4">
        <v>503207.31</v>
      </c>
      <c r="D862" s="4">
        <f t="shared" si="143"/>
        <v>470419.33</v>
      </c>
      <c r="E862" s="2">
        <f t="shared" si="144"/>
        <v>42314.478624596682</v>
      </c>
      <c r="F862" s="2">
        <f t="shared" si="145"/>
        <v>32787.979999999981</v>
      </c>
      <c r="G862" s="4">
        <f t="shared" si="146"/>
        <v>426116.83666666667</v>
      </c>
      <c r="H862" s="2">
        <f t="shared" si="150"/>
        <v>313256.7836391991</v>
      </c>
      <c r="I862" s="2">
        <f t="shared" si="151"/>
        <v>77090.473333333328</v>
      </c>
      <c r="J862" s="4">
        <f t="shared" si="148"/>
        <v>358756.73000000004</v>
      </c>
      <c r="K862" s="2">
        <f t="shared" si="152"/>
        <v>769293.5172879746</v>
      </c>
      <c r="L862" s="2">
        <f t="shared" si="153"/>
        <v>144450.57999999996</v>
      </c>
      <c r="N862" s="4">
        <f t="shared" si="147"/>
        <v>331268.08570000005</v>
      </c>
      <c r="O862" s="2">
        <f t="shared" si="149"/>
        <v>171939.22429999994</v>
      </c>
    </row>
    <row r="863" spans="1:15" x14ac:dyDescent="0.3">
      <c r="A863" s="50">
        <v>44692</v>
      </c>
      <c r="B863" s="2">
        <v>862</v>
      </c>
      <c r="C863" s="4">
        <v>296040.55000000005</v>
      </c>
      <c r="D863" s="4">
        <f t="shared" si="143"/>
        <v>399623.93000000005</v>
      </c>
      <c r="E863" s="2">
        <f t="shared" si="144"/>
        <v>76826.324410011963</v>
      </c>
      <c r="F863" s="2">
        <f t="shared" si="145"/>
        <v>103583.38</v>
      </c>
      <c r="G863" s="4">
        <f t="shared" si="146"/>
        <v>412293.07</v>
      </c>
      <c r="H863" s="2">
        <f t="shared" si="150"/>
        <v>108923.35636809941</v>
      </c>
      <c r="I863" s="2">
        <f t="shared" si="151"/>
        <v>116252.51999999996</v>
      </c>
      <c r="J863" s="4">
        <f t="shared" si="148"/>
        <v>393597.76500000001</v>
      </c>
      <c r="K863" s="2">
        <f t="shared" si="152"/>
        <v>292678.63188264915</v>
      </c>
      <c r="L863" s="2">
        <f t="shared" si="153"/>
        <v>97557.214999999967</v>
      </c>
      <c r="N863" s="4">
        <f t="shared" si="147"/>
        <v>437573.00660000002</v>
      </c>
      <c r="O863" s="2">
        <f t="shared" si="149"/>
        <v>141532.45659999998</v>
      </c>
    </row>
    <row r="864" spans="1:15" x14ac:dyDescent="0.3">
      <c r="A864" s="50">
        <v>44693</v>
      </c>
      <c r="B864" s="2">
        <v>863</v>
      </c>
      <c r="C864" s="4">
        <v>592379.04</v>
      </c>
      <c r="D864" s="4">
        <f t="shared" si="143"/>
        <v>444209.79500000004</v>
      </c>
      <c r="E864" s="2">
        <f t="shared" si="144"/>
        <v>127835.13166593607</v>
      </c>
      <c r="F864" s="2">
        <f t="shared" si="145"/>
        <v>148169.245</v>
      </c>
      <c r="G864" s="4">
        <f t="shared" si="146"/>
        <v>463875.63333333336</v>
      </c>
      <c r="H864" s="2">
        <f t="shared" si="150"/>
        <v>109499.94674282796</v>
      </c>
      <c r="I864" s="2">
        <f t="shared" si="151"/>
        <v>128503.40666666668</v>
      </c>
      <c r="J864" s="4">
        <f t="shared" si="148"/>
        <v>457314.5625</v>
      </c>
      <c r="K864" s="2">
        <f t="shared" si="152"/>
        <v>192784.05118216845</v>
      </c>
      <c r="L864" s="2">
        <f t="shared" si="153"/>
        <v>135064.47750000004</v>
      </c>
      <c r="N864" s="4">
        <f t="shared" si="147"/>
        <v>419379.73420000006</v>
      </c>
      <c r="O864" s="2">
        <f t="shared" si="149"/>
        <v>172999.30579999997</v>
      </c>
    </row>
    <row r="865" spans="1:15" x14ac:dyDescent="0.3">
      <c r="A865" s="50">
        <v>44694</v>
      </c>
      <c r="B865" s="2">
        <v>864</v>
      </c>
      <c r="C865" s="4">
        <v>68846.070000000007</v>
      </c>
      <c r="D865" s="4">
        <f t="shared" si="143"/>
        <v>330612.55500000005</v>
      </c>
      <c r="E865" s="2">
        <f t="shared" si="144"/>
        <v>212692.05184153601</v>
      </c>
      <c r="F865" s="2">
        <f t="shared" si="145"/>
        <v>261766.48500000004</v>
      </c>
      <c r="G865" s="4">
        <f t="shared" si="146"/>
        <v>319088.5533333334</v>
      </c>
      <c r="H865" s="2">
        <f t="shared" si="150"/>
        <v>175735.66740621431</v>
      </c>
      <c r="I865" s="2">
        <f t="shared" si="151"/>
        <v>250242.4833333334</v>
      </c>
      <c r="J865" s="4">
        <f t="shared" si="148"/>
        <v>365118.24250000005</v>
      </c>
      <c r="K865" s="2">
        <f t="shared" si="152"/>
        <v>184663.87948182397</v>
      </c>
      <c r="L865" s="2">
        <f t="shared" si="153"/>
        <v>296272.17250000004</v>
      </c>
      <c r="N865" s="4">
        <f t="shared" si="147"/>
        <v>440890.63135000004</v>
      </c>
      <c r="O865" s="2">
        <f t="shared" si="149"/>
        <v>372044.56135000003</v>
      </c>
    </row>
    <row r="866" spans="1:15" x14ac:dyDescent="0.3">
      <c r="A866" s="50">
        <v>44695</v>
      </c>
      <c r="B866" s="2">
        <v>865</v>
      </c>
      <c r="C866" s="4">
        <v>4852308.47</v>
      </c>
      <c r="D866" s="4">
        <f t="shared" si="143"/>
        <v>2460577.27</v>
      </c>
      <c r="E866" s="2">
        <f t="shared" si="144"/>
        <v>1701308.2944785012</v>
      </c>
      <c r="F866" s="2">
        <f t="shared" si="145"/>
        <v>2391731.1999999997</v>
      </c>
      <c r="G866" s="4">
        <f t="shared" si="146"/>
        <v>1837844.5266666666</v>
      </c>
      <c r="H866" s="2">
        <f t="shared" si="150"/>
        <v>1747963.3188033935</v>
      </c>
      <c r="I866" s="2">
        <f t="shared" si="151"/>
        <v>3014463.9433333334</v>
      </c>
      <c r="J866" s="4">
        <f t="shared" si="148"/>
        <v>1452393.5325</v>
      </c>
      <c r="K866" s="2">
        <f t="shared" si="152"/>
        <v>1708431.9276543038</v>
      </c>
      <c r="L866" s="2">
        <f t="shared" si="153"/>
        <v>3399914.9375</v>
      </c>
      <c r="N866" s="4">
        <f t="shared" si="147"/>
        <v>351801.0272500001</v>
      </c>
      <c r="O866" s="2">
        <f t="shared" si="149"/>
        <v>4500507.4427499995</v>
      </c>
    </row>
    <row r="867" spans="1:15" x14ac:dyDescent="0.3">
      <c r="A867" s="50">
        <v>44696</v>
      </c>
      <c r="B867" s="2">
        <v>866</v>
      </c>
      <c r="C867" s="4">
        <v>89166.81</v>
      </c>
      <c r="D867" s="4">
        <f t="shared" si="143"/>
        <v>2470737.6399999997</v>
      </c>
      <c r="E867" s="2">
        <f t="shared" si="144"/>
        <v>2386656.4217918259</v>
      </c>
      <c r="F867" s="2">
        <f t="shared" si="145"/>
        <v>2381570.8299999996</v>
      </c>
      <c r="G867" s="4">
        <f t="shared" si="146"/>
        <v>1670107.1166666665</v>
      </c>
      <c r="H867" s="2">
        <f t="shared" si="150"/>
        <v>1970531.7741974185</v>
      </c>
      <c r="I867" s="2">
        <f t="shared" si="151"/>
        <v>1580940.3066666664</v>
      </c>
      <c r="J867" s="4">
        <f t="shared" si="148"/>
        <v>1400675.0974999999</v>
      </c>
      <c r="K867" s="2">
        <f t="shared" si="152"/>
        <v>1829309.6500932414</v>
      </c>
      <c r="L867" s="2">
        <f t="shared" si="153"/>
        <v>1311508.2874999999</v>
      </c>
      <c r="N867" s="4">
        <f t="shared" si="147"/>
        <v>1786483.2274000002</v>
      </c>
      <c r="O867" s="2">
        <f t="shared" si="149"/>
        <v>1697316.4174000002</v>
      </c>
    </row>
    <row r="868" spans="1:15" x14ac:dyDescent="0.3">
      <c r="A868" s="50">
        <v>44697</v>
      </c>
      <c r="B868" s="2">
        <v>867</v>
      </c>
      <c r="C868" s="4">
        <v>2645012.66</v>
      </c>
      <c r="D868" s="4">
        <f t="shared" si="143"/>
        <v>1367089.7350000001</v>
      </c>
      <c r="E868" s="2">
        <f t="shared" si="144"/>
        <v>1911147.1189507418</v>
      </c>
      <c r="F868" s="2">
        <f t="shared" si="145"/>
        <v>1277922.925</v>
      </c>
      <c r="G868" s="4">
        <f t="shared" si="146"/>
        <v>2528829.313333333</v>
      </c>
      <c r="H868" s="2">
        <f t="shared" si="150"/>
        <v>1966372.6070222729</v>
      </c>
      <c r="I868" s="2">
        <f t="shared" si="151"/>
        <v>116183.34666666714</v>
      </c>
      <c r="J868" s="4">
        <f t="shared" si="148"/>
        <v>1913833.5024999999</v>
      </c>
      <c r="K868" s="2">
        <f t="shared" si="152"/>
        <v>1864260.9615459614</v>
      </c>
      <c r="L868" s="2">
        <f t="shared" si="153"/>
        <v>731179.1575000002</v>
      </c>
      <c r="N868" s="4">
        <f t="shared" si="147"/>
        <v>2204294.2859</v>
      </c>
      <c r="O868" s="2">
        <f t="shared" si="149"/>
        <v>440718.37410000013</v>
      </c>
    </row>
    <row r="869" spans="1:15" x14ac:dyDescent="0.3">
      <c r="A869" s="50">
        <v>44698</v>
      </c>
      <c r="B869" s="2">
        <v>868</v>
      </c>
      <c r="C869" s="4">
        <v>449865.89999999997</v>
      </c>
      <c r="D869" s="4">
        <f t="shared" si="143"/>
        <v>1547439.28</v>
      </c>
      <c r="E869" s="2">
        <f t="shared" si="144"/>
        <v>1191166.3038226822</v>
      </c>
      <c r="F869" s="2">
        <f t="shared" si="145"/>
        <v>1097573.3800000001</v>
      </c>
      <c r="G869" s="4">
        <f t="shared" si="146"/>
        <v>1061348.4566666668</v>
      </c>
      <c r="H869" s="2">
        <f t="shared" si="150"/>
        <v>980948.81626473658</v>
      </c>
      <c r="I869" s="2">
        <f t="shared" si="151"/>
        <v>611482.55666666687</v>
      </c>
      <c r="J869" s="4">
        <f t="shared" si="148"/>
        <v>2009088.46</v>
      </c>
      <c r="K869" s="2">
        <f t="shared" si="152"/>
        <v>2015271.2920592213</v>
      </c>
      <c r="L869" s="2">
        <f t="shared" si="153"/>
        <v>1559222.56</v>
      </c>
      <c r="N869" s="4">
        <f t="shared" si="147"/>
        <v>1993266.33495</v>
      </c>
      <c r="O869" s="2">
        <f t="shared" si="149"/>
        <v>1543400.4349500001</v>
      </c>
    </row>
    <row r="870" spans="1:15" x14ac:dyDescent="0.3">
      <c r="A870" s="50">
        <v>44699</v>
      </c>
      <c r="B870" s="2">
        <v>869</v>
      </c>
      <c r="C870" s="4">
        <v>617305.69999999995</v>
      </c>
      <c r="D870" s="4">
        <f t="shared" si="143"/>
        <v>533585.79999999993</v>
      </c>
      <c r="E870" s="2">
        <f t="shared" si="144"/>
        <v>778356.07087650918</v>
      </c>
      <c r="F870" s="2">
        <f t="shared" si="145"/>
        <v>83719.900000000023</v>
      </c>
      <c r="G870" s="4">
        <f t="shared" si="146"/>
        <v>1237394.7533333332</v>
      </c>
      <c r="H870" s="2">
        <f t="shared" si="150"/>
        <v>507254.01960428065</v>
      </c>
      <c r="I870" s="2">
        <f t="shared" si="151"/>
        <v>620089.05333333323</v>
      </c>
      <c r="J870" s="4">
        <f t="shared" si="148"/>
        <v>950337.76750000007</v>
      </c>
      <c r="K870" s="2">
        <f t="shared" si="152"/>
        <v>1095075.6022005822</v>
      </c>
      <c r="L870" s="2">
        <f t="shared" si="153"/>
        <v>333032.06750000012</v>
      </c>
      <c r="N870" s="4">
        <f t="shared" si="147"/>
        <v>1347352.4084000001</v>
      </c>
      <c r="O870" s="2">
        <f t="shared" si="149"/>
        <v>730046.70840000012</v>
      </c>
    </row>
    <row r="871" spans="1:15" x14ac:dyDescent="0.3">
      <c r="A871" s="50">
        <v>44700</v>
      </c>
      <c r="B871" s="2">
        <v>870</v>
      </c>
      <c r="C871" s="4">
        <v>785067.52000000002</v>
      </c>
      <c r="D871" s="4">
        <f t="shared" si="143"/>
        <v>701186.61</v>
      </c>
      <c r="E871" s="2">
        <f t="shared" si="144"/>
        <v>83800.443669583605</v>
      </c>
      <c r="F871" s="2">
        <f t="shared" si="145"/>
        <v>83880.910000000033</v>
      </c>
      <c r="G871" s="4">
        <f t="shared" si="146"/>
        <v>617413.03999999992</v>
      </c>
      <c r="H871" s="2">
        <f t="shared" si="150"/>
        <v>512031.6968819747</v>
      </c>
      <c r="I871" s="2">
        <f t="shared" si="151"/>
        <v>167654.4800000001</v>
      </c>
      <c r="J871" s="4">
        <f t="shared" si="148"/>
        <v>1124312.9449999998</v>
      </c>
      <c r="K871" s="2">
        <f t="shared" si="152"/>
        <v>893279.87892123137</v>
      </c>
      <c r="L871" s="2">
        <f t="shared" si="153"/>
        <v>339245.42499999981</v>
      </c>
      <c r="N871" s="4">
        <f t="shared" si="147"/>
        <v>988890.52020000003</v>
      </c>
      <c r="O871" s="2">
        <f t="shared" si="149"/>
        <v>203823.00020000001</v>
      </c>
    </row>
    <row r="872" spans="1:15" x14ac:dyDescent="0.3">
      <c r="A872" s="50">
        <v>44701</v>
      </c>
      <c r="B872" s="2">
        <v>871</v>
      </c>
      <c r="C872" s="4">
        <v>393623.3</v>
      </c>
      <c r="D872" s="4">
        <f t="shared" si="143"/>
        <v>589345.41</v>
      </c>
      <c r="E872" s="2">
        <f t="shared" si="144"/>
        <v>150570.83284168987</v>
      </c>
      <c r="F872" s="2">
        <f t="shared" si="145"/>
        <v>195722.11000000004</v>
      </c>
      <c r="G872" s="4">
        <f t="shared" si="146"/>
        <v>598665.50666666671</v>
      </c>
      <c r="H872" s="2">
        <f t="shared" si="150"/>
        <v>389298.84204067697</v>
      </c>
      <c r="I872" s="2">
        <f t="shared" si="151"/>
        <v>205042.20666666672</v>
      </c>
      <c r="J872" s="4">
        <f t="shared" si="148"/>
        <v>561465.60499999998</v>
      </c>
      <c r="K872" s="2">
        <f t="shared" si="152"/>
        <v>819350.93936106248</v>
      </c>
      <c r="L872" s="2">
        <f t="shared" si="153"/>
        <v>167842.30499999999</v>
      </c>
      <c r="N872" s="4">
        <f t="shared" si="147"/>
        <v>636669.15370000002</v>
      </c>
      <c r="O872" s="2">
        <f t="shared" si="149"/>
        <v>243045.85370000004</v>
      </c>
    </row>
    <row r="873" spans="1:15" x14ac:dyDescent="0.3">
      <c r="A873" s="50">
        <v>44702</v>
      </c>
      <c r="B873" s="2">
        <v>872</v>
      </c>
      <c r="C873" s="4">
        <v>1367269.3800000001</v>
      </c>
      <c r="D873" s="4">
        <f t="shared" si="143"/>
        <v>880446.34000000008</v>
      </c>
      <c r="E873" s="2">
        <f t="shared" si="144"/>
        <v>371014.70093359763</v>
      </c>
      <c r="F873" s="2">
        <f t="shared" si="145"/>
        <v>486823.04000000004</v>
      </c>
      <c r="G873" s="4">
        <f t="shared" si="146"/>
        <v>848653.4</v>
      </c>
      <c r="H873" s="2">
        <f t="shared" si="150"/>
        <v>336210.68091806513</v>
      </c>
      <c r="I873" s="2">
        <f t="shared" si="151"/>
        <v>518615.9800000001</v>
      </c>
      <c r="J873" s="4">
        <f t="shared" si="148"/>
        <v>790816.47500000009</v>
      </c>
      <c r="K873" s="2">
        <f t="shared" si="152"/>
        <v>382905.60435876594</v>
      </c>
      <c r="L873" s="2">
        <f t="shared" si="153"/>
        <v>576452.90500000003</v>
      </c>
      <c r="N873" s="4">
        <f t="shared" si="147"/>
        <v>617026.10589999997</v>
      </c>
      <c r="O873" s="2">
        <f t="shared" si="149"/>
        <v>750243.27410000016</v>
      </c>
    </row>
    <row r="874" spans="1:15" x14ac:dyDescent="0.3">
      <c r="A874" s="50">
        <v>44703</v>
      </c>
      <c r="B874" s="2">
        <v>873</v>
      </c>
      <c r="C874" s="4">
        <v>505778.98</v>
      </c>
      <c r="D874" s="4">
        <f t="shared" si="143"/>
        <v>936524.18</v>
      </c>
      <c r="E874" s="2">
        <f t="shared" si="144"/>
        <v>459640.13075333281</v>
      </c>
      <c r="F874" s="2">
        <f t="shared" si="145"/>
        <v>430745.20000000007</v>
      </c>
      <c r="G874" s="4">
        <f t="shared" si="146"/>
        <v>755557.22000000009</v>
      </c>
      <c r="H874" s="2">
        <f t="shared" si="150"/>
        <v>352795.50753167394</v>
      </c>
      <c r="I874" s="2">
        <f t="shared" si="151"/>
        <v>249778.24000000011</v>
      </c>
      <c r="J874" s="4">
        <f t="shared" si="148"/>
        <v>762934.79500000004</v>
      </c>
      <c r="K874" s="2">
        <f t="shared" si="152"/>
        <v>367996.45467123622</v>
      </c>
      <c r="L874" s="2">
        <f t="shared" si="153"/>
        <v>257155.81500000006</v>
      </c>
      <c r="N874" s="4">
        <f t="shared" si="147"/>
        <v>805912.46519999998</v>
      </c>
      <c r="O874" s="2">
        <f t="shared" si="149"/>
        <v>300133.4852</v>
      </c>
    </row>
    <row r="875" spans="1:15" x14ac:dyDescent="0.3">
      <c r="A875" s="50">
        <v>44704</v>
      </c>
      <c r="B875" s="2">
        <v>874</v>
      </c>
      <c r="C875" s="4">
        <v>2962440.91</v>
      </c>
      <c r="D875" s="4">
        <f t="shared" si="143"/>
        <v>1734109.9450000001</v>
      </c>
      <c r="E875" s="2">
        <f t="shared" si="144"/>
        <v>920417.94498501369</v>
      </c>
      <c r="F875" s="2">
        <f t="shared" si="145"/>
        <v>1228330.9650000001</v>
      </c>
      <c r="G875" s="4">
        <f t="shared" si="146"/>
        <v>1611829.7566666668</v>
      </c>
      <c r="H875" s="2">
        <f t="shared" si="150"/>
        <v>847644.22399126366</v>
      </c>
      <c r="I875" s="2">
        <f t="shared" si="151"/>
        <v>1350611.1533333333</v>
      </c>
      <c r="J875" s="4">
        <f t="shared" si="148"/>
        <v>1307278.1425000001</v>
      </c>
      <c r="K875" s="2">
        <f t="shared" si="152"/>
        <v>889685.6033365418</v>
      </c>
      <c r="L875" s="2">
        <f t="shared" si="153"/>
        <v>1655162.7675000001</v>
      </c>
      <c r="N875" s="4">
        <f t="shared" si="147"/>
        <v>864467.95840000012</v>
      </c>
      <c r="O875" s="2">
        <f t="shared" si="149"/>
        <v>2097972.9516000003</v>
      </c>
    </row>
    <row r="876" spans="1:15" x14ac:dyDescent="0.3">
      <c r="A876" s="50">
        <v>44705</v>
      </c>
      <c r="B876" s="2">
        <v>875</v>
      </c>
      <c r="C876" s="4">
        <v>1274195.58</v>
      </c>
      <c r="D876" s="4">
        <f t="shared" si="143"/>
        <v>2118318.2450000001</v>
      </c>
      <c r="E876" s="2">
        <f t="shared" si="144"/>
        <v>1053883.3031091569</v>
      </c>
      <c r="F876" s="2">
        <f t="shared" si="145"/>
        <v>844122.66500000004</v>
      </c>
      <c r="G876" s="4">
        <f t="shared" si="146"/>
        <v>1580805.156666667</v>
      </c>
      <c r="H876" s="2">
        <f t="shared" si="150"/>
        <v>812516.4796666397</v>
      </c>
      <c r="I876" s="2">
        <f t="shared" si="151"/>
        <v>306609.57666666689</v>
      </c>
      <c r="J876" s="4">
        <f t="shared" si="148"/>
        <v>1527421.2125000001</v>
      </c>
      <c r="K876" s="2">
        <f t="shared" si="152"/>
        <v>894722.5928667133</v>
      </c>
      <c r="L876" s="2">
        <f t="shared" si="153"/>
        <v>253225.63250000007</v>
      </c>
      <c r="N876" s="4">
        <f t="shared" si="147"/>
        <v>1518288.6145500001</v>
      </c>
      <c r="O876" s="2">
        <f t="shared" si="149"/>
        <v>244093.03454999998</v>
      </c>
    </row>
    <row r="877" spans="1:15" x14ac:dyDescent="0.3">
      <c r="A877" s="50">
        <v>44706</v>
      </c>
      <c r="B877" s="2">
        <v>876</v>
      </c>
      <c r="C877" s="4">
        <v>1271154.57</v>
      </c>
      <c r="D877" s="4">
        <f t="shared" si="143"/>
        <v>1272675.0750000002</v>
      </c>
      <c r="E877" s="2">
        <f t="shared" si="144"/>
        <v>596885.82890790654</v>
      </c>
      <c r="F877" s="2">
        <f t="shared" si="145"/>
        <v>1520.5050000001211</v>
      </c>
      <c r="G877" s="4">
        <f t="shared" si="146"/>
        <v>1835930.3533333335</v>
      </c>
      <c r="H877" s="2">
        <f t="shared" si="150"/>
        <v>863545.32894957508</v>
      </c>
      <c r="I877" s="2">
        <f t="shared" si="151"/>
        <v>564775.78333333344</v>
      </c>
      <c r="J877" s="4">
        <f t="shared" si="148"/>
        <v>1503392.5100000002</v>
      </c>
      <c r="K877" s="2">
        <f t="shared" si="152"/>
        <v>854948.91394706187</v>
      </c>
      <c r="L877" s="2">
        <f t="shared" si="153"/>
        <v>232237.94000000018</v>
      </c>
      <c r="N877" s="4">
        <f t="shared" si="147"/>
        <v>1856413.0998500001</v>
      </c>
      <c r="O877" s="2">
        <f t="shared" si="149"/>
        <v>585258.52985000005</v>
      </c>
    </row>
    <row r="878" spans="1:15" x14ac:dyDescent="0.3">
      <c r="A878" s="50">
        <v>44707</v>
      </c>
      <c r="B878" s="2">
        <v>877</v>
      </c>
      <c r="C878" s="4">
        <v>2228440.62</v>
      </c>
      <c r="D878" s="4">
        <f t="shared" si="143"/>
        <v>1749797.5950000002</v>
      </c>
      <c r="E878" s="2">
        <f t="shared" si="144"/>
        <v>338453.43646992679</v>
      </c>
      <c r="F878" s="2">
        <f t="shared" si="145"/>
        <v>478643.02499999991</v>
      </c>
      <c r="G878" s="4">
        <f t="shared" si="146"/>
        <v>1591263.59</v>
      </c>
      <c r="H878" s="2">
        <f t="shared" si="150"/>
        <v>522486.26313780219</v>
      </c>
      <c r="I878" s="2">
        <f t="shared" si="151"/>
        <v>637177.03</v>
      </c>
      <c r="J878" s="4">
        <f t="shared" si="148"/>
        <v>1934057.9200000002</v>
      </c>
      <c r="K878" s="2">
        <f t="shared" si="152"/>
        <v>857945.60473086196</v>
      </c>
      <c r="L878" s="2">
        <f t="shared" si="153"/>
        <v>294382.69999999995</v>
      </c>
      <c r="N878" s="4">
        <f t="shared" si="147"/>
        <v>1644590.8142500003</v>
      </c>
      <c r="O878" s="2">
        <f t="shared" si="149"/>
        <v>583849.80574999982</v>
      </c>
    </row>
    <row r="879" spans="1:15" x14ac:dyDescent="0.3">
      <c r="A879" s="50">
        <v>44708</v>
      </c>
      <c r="B879" s="2">
        <v>878</v>
      </c>
      <c r="C879" s="4">
        <v>2892078</v>
      </c>
      <c r="D879" s="4">
        <f t="shared" si="143"/>
        <v>2560259.31</v>
      </c>
      <c r="E879" s="2">
        <f t="shared" si="144"/>
        <v>411826.89835321991</v>
      </c>
      <c r="F879" s="2">
        <f t="shared" si="145"/>
        <v>331818.68999999994</v>
      </c>
      <c r="G879" s="4">
        <f t="shared" si="146"/>
        <v>2130557.73</v>
      </c>
      <c r="H879" s="2">
        <f t="shared" si="150"/>
        <v>659514.81525443494</v>
      </c>
      <c r="I879" s="2">
        <f t="shared" si="151"/>
        <v>761520.27</v>
      </c>
      <c r="J879" s="4">
        <f t="shared" si="148"/>
        <v>1916467.1925000001</v>
      </c>
      <c r="K879" s="2">
        <f t="shared" si="152"/>
        <v>537711.65681537916</v>
      </c>
      <c r="L879" s="2">
        <f t="shared" si="153"/>
        <v>975610.80749999988</v>
      </c>
      <c r="N879" s="4">
        <f t="shared" si="147"/>
        <v>1592514.4189500003</v>
      </c>
      <c r="O879" s="2">
        <f t="shared" si="149"/>
        <v>1299563.5810499997</v>
      </c>
    </row>
    <row r="880" spans="1:15" x14ac:dyDescent="0.3">
      <c r="A880" s="50">
        <v>44709</v>
      </c>
      <c r="B880" s="2">
        <v>879</v>
      </c>
      <c r="C880" s="4">
        <v>4337058.6000000006</v>
      </c>
      <c r="D880" s="4">
        <f t="shared" si="143"/>
        <v>3614568.3000000003</v>
      </c>
      <c r="E880" s="2">
        <f t="shared" si="144"/>
        <v>562181.4105017198</v>
      </c>
      <c r="F880" s="2">
        <f t="shared" si="145"/>
        <v>722490.30000000028</v>
      </c>
      <c r="G880" s="4">
        <f t="shared" si="146"/>
        <v>3152525.74</v>
      </c>
      <c r="H880" s="2">
        <f t="shared" si="150"/>
        <v>892379.92387403292</v>
      </c>
      <c r="I880" s="2">
        <f t="shared" si="151"/>
        <v>1184532.8600000003</v>
      </c>
      <c r="J880" s="4">
        <f t="shared" si="148"/>
        <v>2682182.9475000002</v>
      </c>
      <c r="K880" s="2">
        <f t="shared" si="152"/>
        <v>978650.28327064274</v>
      </c>
      <c r="L880" s="2">
        <f t="shared" si="153"/>
        <v>1654875.6525000003</v>
      </c>
      <c r="N880" s="4">
        <f t="shared" si="147"/>
        <v>2240156.2113000001</v>
      </c>
      <c r="O880" s="2">
        <f t="shared" si="149"/>
        <v>2096902.3887000005</v>
      </c>
    </row>
    <row r="881" spans="1:15" x14ac:dyDescent="0.3">
      <c r="A881" s="50">
        <v>44710</v>
      </c>
      <c r="B881" s="2">
        <v>880</v>
      </c>
      <c r="C881" s="4">
        <v>6287432.5500000007</v>
      </c>
      <c r="D881" s="4">
        <f t="shared" si="143"/>
        <v>5312245.5750000011</v>
      </c>
      <c r="E881" s="2">
        <f t="shared" si="144"/>
        <v>858190.50035634288</v>
      </c>
      <c r="F881" s="2">
        <f t="shared" si="145"/>
        <v>975186.97499999963</v>
      </c>
      <c r="G881" s="4">
        <f t="shared" si="146"/>
        <v>4505523.0500000007</v>
      </c>
      <c r="H881" s="2">
        <f t="shared" si="150"/>
        <v>1311263.091352622</v>
      </c>
      <c r="I881" s="2">
        <f t="shared" si="151"/>
        <v>1781909.5</v>
      </c>
      <c r="J881" s="4">
        <f t="shared" si="148"/>
        <v>3936252.4425000004</v>
      </c>
      <c r="K881" s="2">
        <f t="shared" si="152"/>
        <v>1525216.2916215446</v>
      </c>
      <c r="L881" s="2">
        <f t="shared" si="153"/>
        <v>2351180.1075000004</v>
      </c>
      <c r="N881" s="4">
        <f t="shared" si="147"/>
        <v>3230146.2774000005</v>
      </c>
      <c r="O881" s="2">
        <f t="shared" si="149"/>
        <v>3057286.2726000003</v>
      </c>
    </row>
    <row r="882" spans="1:15" x14ac:dyDescent="0.3">
      <c r="A882" s="50">
        <v>44711</v>
      </c>
      <c r="B882" s="2">
        <v>881</v>
      </c>
      <c r="C882" s="4">
        <v>953905.12</v>
      </c>
      <c r="D882" s="4">
        <f t="shared" si="143"/>
        <v>3620668.8350000004</v>
      </c>
      <c r="E882" s="2">
        <f t="shared" si="144"/>
        <v>2007812.0365027017</v>
      </c>
      <c r="F882" s="2">
        <f t="shared" si="145"/>
        <v>2666763.7150000003</v>
      </c>
      <c r="G882" s="4">
        <f t="shared" si="146"/>
        <v>3859465.4233333338</v>
      </c>
      <c r="H882" s="2">
        <f t="shared" si="150"/>
        <v>2083314.6856965323</v>
      </c>
      <c r="I882" s="2">
        <f t="shared" si="151"/>
        <v>2905560.3033333337</v>
      </c>
      <c r="J882" s="4">
        <f t="shared" si="148"/>
        <v>3617618.5675000004</v>
      </c>
      <c r="K882" s="2">
        <f t="shared" si="152"/>
        <v>2019520.1844277363</v>
      </c>
      <c r="L882" s="2">
        <f t="shared" si="153"/>
        <v>2663713.4475000002</v>
      </c>
      <c r="N882" s="4">
        <f t="shared" si="147"/>
        <v>4672538.1412500013</v>
      </c>
      <c r="O882" s="2">
        <f t="shared" si="149"/>
        <v>3718633.0212500012</v>
      </c>
    </row>
    <row r="883" spans="1:15" x14ac:dyDescent="0.3">
      <c r="A883" s="50">
        <v>44712</v>
      </c>
      <c r="B883" s="2">
        <v>882</v>
      </c>
      <c r="C883" s="4">
        <v>739247.85000000009</v>
      </c>
      <c r="D883" s="4">
        <f t="shared" si="143"/>
        <v>846576.4850000001</v>
      </c>
      <c r="E883" s="2">
        <f t="shared" si="144"/>
        <v>1887213.3090262432</v>
      </c>
      <c r="F883" s="2">
        <f t="shared" si="145"/>
        <v>107328.63500000001</v>
      </c>
      <c r="G883" s="4">
        <f t="shared" si="146"/>
        <v>2660195.1733333338</v>
      </c>
      <c r="H883" s="2">
        <f t="shared" si="150"/>
        <v>2258872.9314651769</v>
      </c>
      <c r="I883" s="2">
        <f t="shared" si="151"/>
        <v>1920947.3233333337</v>
      </c>
      <c r="J883" s="4">
        <f t="shared" si="148"/>
        <v>3079411.0300000003</v>
      </c>
      <c r="K883" s="2">
        <f t="shared" si="152"/>
        <v>2282454.5100922091</v>
      </c>
      <c r="L883" s="2">
        <f t="shared" si="153"/>
        <v>2340163.1800000002</v>
      </c>
      <c r="N883" s="4">
        <f t="shared" si="147"/>
        <v>4071618.5919500007</v>
      </c>
      <c r="O883" s="2">
        <f t="shared" si="149"/>
        <v>3332370.7419500006</v>
      </c>
    </row>
    <row r="884" spans="1:15" x14ac:dyDescent="0.3">
      <c r="A884" s="50">
        <v>44713</v>
      </c>
      <c r="B884" s="2">
        <v>883</v>
      </c>
      <c r="C884" s="4">
        <v>26068.02</v>
      </c>
      <c r="D884" s="4">
        <f t="shared" si="143"/>
        <v>382657.93500000006</v>
      </c>
      <c r="E884" s="2">
        <f t="shared" si="144"/>
        <v>263320.91007995402</v>
      </c>
      <c r="F884" s="2">
        <f t="shared" si="145"/>
        <v>356589.91500000004</v>
      </c>
      <c r="G884" s="4">
        <f t="shared" si="146"/>
        <v>573073.66333333345</v>
      </c>
      <c r="H884" s="2">
        <f t="shared" si="150"/>
        <v>2035643.5893975897</v>
      </c>
      <c r="I884" s="2">
        <f t="shared" si="151"/>
        <v>547005.64333333343</v>
      </c>
      <c r="J884" s="4">
        <f t="shared" si="148"/>
        <v>2001663.3850000002</v>
      </c>
      <c r="K884" s="2">
        <f t="shared" si="152"/>
        <v>2345354.8763211318</v>
      </c>
      <c r="L884" s="2">
        <f t="shared" si="153"/>
        <v>1975595.3650000002</v>
      </c>
      <c r="N884" s="4">
        <f t="shared" si="147"/>
        <v>2055370.9691500003</v>
      </c>
      <c r="O884" s="2">
        <f t="shared" si="149"/>
        <v>2029302.9491500002</v>
      </c>
    </row>
    <row r="885" spans="1:15" x14ac:dyDescent="0.3">
      <c r="A885" s="50">
        <v>44714</v>
      </c>
      <c r="B885" s="2">
        <v>884</v>
      </c>
      <c r="C885" s="4">
        <v>640836</v>
      </c>
      <c r="D885" s="4">
        <f t="shared" si="143"/>
        <v>333452.01</v>
      </c>
      <c r="E885" s="2">
        <f t="shared" si="144"/>
        <v>332897.34512911586</v>
      </c>
      <c r="F885" s="2">
        <f t="shared" si="145"/>
        <v>307383.99</v>
      </c>
      <c r="G885" s="4">
        <f t="shared" si="146"/>
        <v>468717.29000000004</v>
      </c>
      <c r="H885" s="2">
        <f t="shared" si="150"/>
        <v>1157422.2282284712</v>
      </c>
      <c r="I885" s="2">
        <f t="shared" si="151"/>
        <v>172118.70999999996</v>
      </c>
      <c r="J885" s="4">
        <f t="shared" si="148"/>
        <v>590014.24750000006</v>
      </c>
      <c r="K885" s="2">
        <f t="shared" si="152"/>
        <v>2029611.5968428976</v>
      </c>
      <c r="L885" s="2">
        <f t="shared" si="153"/>
        <v>50821.752499999944</v>
      </c>
      <c r="N885" s="4">
        <f t="shared" si="147"/>
        <v>547557.20635000011</v>
      </c>
      <c r="O885" s="2">
        <f t="shared" si="149"/>
        <v>93278.79364999989</v>
      </c>
    </row>
    <row r="886" spans="1:15" x14ac:dyDescent="0.3">
      <c r="A886" s="50">
        <v>44715</v>
      </c>
      <c r="B886" s="2">
        <v>885</v>
      </c>
      <c r="C886" s="4">
        <v>1905677.13</v>
      </c>
      <c r="D886" s="4">
        <f t="shared" si="143"/>
        <v>1273256.5649999999</v>
      </c>
      <c r="E886" s="2">
        <f t="shared" si="144"/>
        <v>497212.57443031308</v>
      </c>
      <c r="F886" s="2">
        <f t="shared" si="145"/>
        <v>632420.56499999994</v>
      </c>
      <c r="G886" s="4">
        <f t="shared" si="146"/>
        <v>857527.04999999993</v>
      </c>
      <c r="H886" s="2">
        <f t="shared" si="150"/>
        <v>689796.73681807274</v>
      </c>
      <c r="I886" s="2">
        <f t="shared" si="151"/>
        <v>1048150.08</v>
      </c>
      <c r="J886" s="4">
        <f t="shared" si="148"/>
        <v>827957.25</v>
      </c>
      <c r="K886" s="2">
        <f t="shared" si="152"/>
        <v>1623530.3928100318</v>
      </c>
      <c r="L886" s="2">
        <f t="shared" si="153"/>
        <v>1077719.8799999999</v>
      </c>
      <c r="N886" s="4">
        <f t="shared" si="147"/>
        <v>388914.85590000008</v>
      </c>
      <c r="O886" s="2">
        <f t="shared" si="149"/>
        <v>1516762.2740999998</v>
      </c>
    </row>
    <row r="887" spans="1:15" x14ac:dyDescent="0.3">
      <c r="A887" s="50">
        <v>44716</v>
      </c>
      <c r="B887" s="2">
        <v>886</v>
      </c>
      <c r="C887" s="4">
        <v>1446688.0999999999</v>
      </c>
      <c r="D887" s="4">
        <f t="shared" si="143"/>
        <v>1676182.6149999998</v>
      </c>
      <c r="E887" s="2">
        <f t="shared" si="144"/>
        <v>475722.34730460384</v>
      </c>
      <c r="F887" s="2">
        <f t="shared" si="145"/>
        <v>229494.5149999999</v>
      </c>
      <c r="G887" s="4">
        <f t="shared" si="146"/>
        <v>1331067.0766666664</v>
      </c>
      <c r="H887" s="2">
        <f t="shared" si="150"/>
        <v>616876.98978340824</v>
      </c>
      <c r="I887" s="2">
        <f t="shared" si="151"/>
        <v>115621.02333333343</v>
      </c>
      <c r="J887" s="4">
        <f t="shared" si="148"/>
        <v>1004817.3125</v>
      </c>
      <c r="K887" s="2">
        <f t="shared" si="152"/>
        <v>1146984.0702173831</v>
      </c>
      <c r="L887" s="2">
        <f t="shared" si="153"/>
        <v>441870.78749999986</v>
      </c>
      <c r="N887" s="4">
        <f t="shared" si="147"/>
        <v>929308.82295000006</v>
      </c>
      <c r="O887" s="2">
        <f t="shared" si="149"/>
        <v>517379.2770499998</v>
      </c>
    </row>
    <row r="888" spans="1:15" x14ac:dyDescent="0.3">
      <c r="A888" s="50">
        <v>44717</v>
      </c>
      <c r="B888" s="2">
        <v>887</v>
      </c>
      <c r="C888" s="4">
        <v>1379977.55</v>
      </c>
      <c r="D888" s="4">
        <f t="shared" si="143"/>
        <v>1413332.825</v>
      </c>
      <c r="E888" s="2">
        <f t="shared" si="144"/>
        <v>163982.17400896171</v>
      </c>
      <c r="F888" s="2">
        <f t="shared" si="145"/>
        <v>33355.274999999907</v>
      </c>
      <c r="G888" s="4">
        <f t="shared" si="146"/>
        <v>1577447.593333333</v>
      </c>
      <c r="H888" s="2">
        <f t="shared" si="150"/>
        <v>619403.26908369956</v>
      </c>
      <c r="I888" s="2">
        <f t="shared" si="151"/>
        <v>197470.04333333299</v>
      </c>
      <c r="J888" s="4">
        <f t="shared" si="148"/>
        <v>1343294.6949999998</v>
      </c>
      <c r="K888" s="2">
        <f t="shared" si="152"/>
        <v>583236.31895039044</v>
      </c>
      <c r="L888" s="2">
        <f t="shared" si="153"/>
        <v>36682.855000000214</v>
      </c>
      <c r="N888" s="4">
        <f t="shared" si="147"/>
        <v>1473650.7563499997</v>
      </c>
      <c r="O888" s="2">
        <f t="shared" si="149"/>
        <v>93673.206349999644</v>
      </c>
    </row>
    <row r="889" spans="1:15" x14ac:dyDescent="0.3">
      <c r="A889" s="50">
        <v>44718</v>
      </c>
      <c r="B889" s="2">
        <v>888</v>
      </c>
      <c r="C889" s="4">
        <v>93002</v>
      </c>
      <c r="D889" s="4">
        <f t="shared" si="143"/>
        <v>736489.77500000002</v>
      </c>
      <c r="E889" s="2">
        <f t="shared" si="144"/>
        <v>455625.44427675253</v>
      </c>
      <c r="F889" s="2">
        <f t="shared" si="145"/>
        <v>643487.77500000002</v>
      </c>
      <c r="G889" s="4">
        <f t="shared" si="146"/>
        <v>973222.54999999993</v>
      </c>
      <c r="H889" s="2">
        <f t="shared" si="150"/>
        <v>525087.56593321904</v>
      </c>
      <c r="I889" s="2">
        <f t="shared" si="151"/>
        <v>880220.54999999993</v>
      </c>
      <c r="J889" s="4">
        <f t="shared" si="148"/>
        <v>1206336.1949999998</v>
      </c>
      <c r="K889" s="2">
        <f t="shared" si="152"/>
        <v>805851.81550337363</v>
      </c>
      <c r="L889" s="2">
        <f t="shared" si="153"/>
        <v>1113334.1949999998</v>
      </c>
      <c r="N889" s="4">
        <f t="shared" si="147"/>
        <v>1525317.6523499999</v>
      </c>
      <c r="O889" s="2">
        <f t="shared" si="149"/>
        <v>1432315.6523499999</v>
      </c>
    </row>
    <row r="890" spans="1:15" x14ac:dyDescent="0.3">
      <c r="A890" s="50">
        <v>44719</v>
      </c>
      <c r="B890" s="2">
        <v>889</v>
      </c>
      <c r="C890" s="4">
        <v>666498.72</v>
      </c>
      <c r="D890" s="4">
        <f t="shared" si="143"/>
        <v>379750.36</v>
      </c>
      <c r="E890" s="2">
        <f t="shared" si="144"/>
        <v>498147.13616417604</v>
      </c>
      <c r="F890" s="2">
        <f t="shared" si="145"/>
        <v>286748.36</v>
      </c>
      <c r="G890" s="4">
        <f t="shared" si="146"/>
        <v>713159.42333333334</v>
      </c>
      <c r="H890" s="2">
        <f t="shared" si="150"/>
        <v>521523.36345617735</v>
      </c>
      <c r="I890" s="2">
        <f t="shared" si="151"/>
        <v>46660.703333333367</v>
      </c>
      <c r="J890" s="4">
        <f t="shared" si="148"/>
        <v>896541.59250000003</v>
      </c>
      <c r="K890" s="2">
        <f t="shared" si="152"/>
        <v>610128.71134727995</v>
      </c>
      <c r="L890" s="2">
        <f t="shared" si="153"/>
        <v>230042.87250000006</v>
      </c>
      <c r="N890" s="4">
        <f t="shared" si="147"/>
        <v>963517.06174999999</v>
      </c>
      <c r="O890" s="2">
        <f t="shared" si="149"/>
        <v>297018.34175000002</v>
      </c>
    </row>
    <row r="891" spans="1:15" x14ac:dyDescent="0.3">
      <c r="A891" s="50">
        <v>44720</v>
      </c>
      <c r="B891" s="2">
        <v>890</v>
      </c>
      <c r="C891" s="4">
        <v>899153.94000000006</v>
      </c>
      <c r="D891" s="4">
        <f t="shared" si="143"/>
        <v>782826.33000000007</v>
      </c>
      <c r="E891" s="2">
        <f t="shared" si="144"/>
        <v>218811.25977769252</v>
      </c>
      <c r="F891" s="2">
        <f t="shared" si="145"/>
        <v>116327.60999999999</v>
      </c>
      <c r="G891" s="4">
        <f t="shared" si="146"/>
        <v>552884.88666666672</v>
      </c>
      <c r="H891" s="2">
        <f t="shared" si="150"/>
        <v>546768.59674949222</v>
      </c>
      <c r="I891" s="2">
        <f t="shared" si="151"/>
        <v>346269.05333333334</v>
      </c>
      <c r="J891" s="4">
        <f t="shared" si="148"/>
        <v>759658.05249999999</v>
      </c>
      <c r="K891" s="2">
        <f t="shared" si="152"/>
        <v>572982.87221886322</v>
      </c>
      <c r="L891" s="2">
        <f t="shared" si="153"/>
        <v>139495.88750000007</v>
      </c>
      <c r="N891" s="4">
        <f t="shared" si="147"/>
        <v>568258.02220000001</v>
      </c>
      <c r="O891" s="2">
        <f t="shared" si="149"/>
        <v>330895.91780000005</v>
      </c>
    </row>
    <row r="892" spans="1:15" x14ac:dyDescent="0.3">
      <c r="A892" s="50">
        <v>44721</v>
      </c>
      <c r="B892" s="2">
        <v>891</v>
      </c>
      <c r="C892" s="4">
        <v>6539021.9500000002</v>
      </c>
      <c r="D892" s="4">
        <f t="shared" si="143"/>
        <v>3719087.9450000003</v>
      </c>
      <c r="E892" s="2">
        <f t="shared" si="144"/>
        <v>1995690.3448936727</v>
      </c>
      <c r="F892" s="2">
        <f t="shared" si="145"/>
        <v>2819934.0049999999</v>
      </c>
      <c r="G892" s="4">
        <f t="shared" si="146"/>
        <v>2701558.2033333336</v>
      </c>
      <c r="H892" s="2">
        <f t="shared" si="150"/>
        <v>2224725.2628517896</v>
      </c>
      <c r="I892" s="2">
        <f t="shared" si="151"/>
        <v>3837463.7466666666</v>
      </c>
      <c r="J892" s="4">
        <f t="shared" si="148"/>
        <v>2049419.1525000001</v>
      </c>
      <c r="K892" s="2">
        <f t="shared" si="152"/>
        <v>2316701.5957441297</v>
      </c>
      <c r="L892" s="2">
        <f t="shared" si="153"/>
        <v>4489602.7975000003</v>
      </c>
      <c r="N892" s="4">
        <f t="shared" si="147"/>
        <v>618268.94030000002</v>
      </c>
      <c r="O892" s="2">
        <f t="shared" si="149"/>
        <v>5920753.0097000003</v>
      </c>
    </row>
    <row r="893" spans="1:15" x14ac:dyDescent="0.3">
      <c r="A893" s="50">
        <v>44722</v>
      </c>
      <c r="B893" s="2">
        <v>892</v>
      </c>
      <c r="C893" s="4">
        <v>391367.60000000003</v>
      </c>
      <c r="D893" s="4">
        <f t="shared" si="143"/>
        <v>3465194.7749999999</v>
      </c>
      <c r="E893" s="2">
        <f t="shared" si="144"/>
        <v>2949613.6437102924</v>
      </c>
      <c r="F893" s="2">
        <f t="shared" si="145"/>
        <v>3073827.1749999998</v>
      </c>
      <c r="G893" s="4">
        <f t="shared" si="146"/>
        <v>2609847.83</v>
      </c>
      <c r="H893" s="2">
        <f t="shared" si="150"/>
        <v>2566949.2135722893</v>
      </c>
      <c r="I893" s="2">
        <f t="shared" si="151"/>
        <v>2218480.23</v>
      </c>
      <c r="J893" s="4">
        <f t="shared" si="148"/>
        <v>2124010.5525000002</v>
      </c>
      <c r="K893" s="2">
        <f t="shared" si="152"/>
        <v>2409925.5022710357</v>
      </c>
      <c r="L893" s="2">
        <f t="shared" si="153"/>
        <v>1732642.9525000001</v>
      </c>
      <c r="N893" s="4">
        <f t="shared" si="147"/>
        <v>2737325.5749500003</v>
      </c>
      <c r="O893" s="2">
        <f t="shared" si="149"/>
        <v>2345957.9749500002</v>
      </c>
    </row>
    <row r="894" spans="1:15" x14ac:dyDescent="0.3">
      <c r="A894" s="50">
        <v>44723</v>
      </c>
      <c r="B894" s="2">
        <v>893</v>
      </c>
      <c r="C894" s="4">
        <v>416943.15</v>
      </c>
      <c r="D894" s="4">
        <f t="shared" si="143"/>
        <v>404155.375</v>
      </c>
      <c r="E894" s="2">
        <f t="shared" si="144"/>
        <v>2173542.8485491066</v>
      </c>
      <c r="F894" s="2">
        <f t="shared" si="145"/>
        <v>12787.775000000023</v>
      </c>
      <c r="G894" s="4">
        <f t="shared" si="146"/>
        <v>2449110.9</v>
      </c>
      <c r="H894" s="2">
        <f t="shared" si="150"/>
        <v>2815284.9649737584</v>
      </c>
      <c r="I894" s="2">
        <f t="shared" si="151"/>
        <v>2032167.75</v>
      </c>
      <c r="J894" s="4">
        <f t="shared" si="148"/>
        <v>2061621.6600000001</v>
      </c>
      <c r="K894" s="2">
        <f t="shared" si="152"/>
        <v>2543767.4512449531</v>
      </c>
      <c r="L894" s="2">
        <f t="shared" si="153"/>
        <v>1644678.5100000002</v>
      </c>
      <c r="N894" s="4">
        <f t="shared" si="147"/>
        <v>3238786.7805499998</v>
      </c>
      <c r="O894" s="2">
        <f t="shared" si="149"/>
        <v>2821843.6305499999</v>
      </c>
    </row>
    <row r="895" spans="1:15" x14ac:dyDescent="0.3">
      <c r="A895" s="50">
        <v>44724</v>
      </c>
      <c r="B895" s="2">
        <v>894</v>
      </c>
      <c r="C895" s="4">
        <v>192740.9</v>
      </c>
      <c r="D895" s="4">
        <f t="shared" si="143"/>
        <v>304842.02500000002</v>
      </c>
      <c r="E895" s="2">
        <f t="shared" si="144"/>
        <v>79781.543654269612</v>
      </c>
      <c r="F895" s="2">
        <f t="shared" si="145"/>
        <v>112101.12500000003</v>
      </c>
      <c r="G895" s="4">
        <f t="shared" si="146"/>
        <v>333683.88333333336</v>
      </c>
      <c r="H895" s="2">
        <f t="shared" si="150"/>
        <v>1738890.9511133635</v>
      </c>
      <c r="I895" s="2">
        <f t="shared" si="151"/>
        <v>140942.98333333337</v>
      </c>
      <c r="J895" s="4">
        <f t="shared" si="148"/>
        <v>1885018.4000000001</v>
      </c>
      <c r="K895" s="2">
        <f t="shared" si="152"/>
        <v>2679895.3066505142</v>
      </c>
      <c r="L895" s="2">
        <f t="shared" si="153"/>
        <v>1692277.5000000002</v>
      </c>
      <c r="N895" s="4">
        <f t="shared" si="147"/>
        <v>1752419.3662500002</v>
      </c>
      <c r="O895" s="2">
        <f t="shared" si="149"/>
        <v>1559678.4662500003</v>
      </c>
    </row>
    <row r="896" spans="1:15" x14ac:dyDescent="0.3">
      <c r="A896" s="50">
        <v>44725</v>
      </c>
      <c r="B896" s="2">
        <v>895</v>
      </c>
      <c r="C896" s="4">
        <v>847366.36</v>
      </c>
      <c r="D896" s="4">
        <f t="shared" si="143"/>
        <v>520053.63</v>
      </c>
      <c r="E896" s="2">
        <f t="shared" si="144"/>
        <v>244642.88815160611</v>
      </c>
      <c r="F896" s="2">
        <f t="shared" si="145"/>
        <v>327312.73</v>
      </c>
      <c r="G896" s="4">
        <f t="shared" si="146"/>
        <v>485683.47000000003</v>
      </c>
      <c r="H896" s="2">
        <f t="shared" si="150"/>
        <v>1194485.2729118255</v>
      </c>
      <c r="I896" s="2">
        <f t="shared" si="151"/>
        <v>361682.88999999996</v>
      </c>
      <c r="J896" s="4">
        <f t="shared" si="148"/>
        <v>462104.5025</v>
      </c>
      <c r="K896" s="2">
        <f t="shared" si="152"/>
        <v>1476418.7107621552</v>
      </c>
      <c r="L896" s="2">
        <f t="shared" si="153"/>
        <v>385261.85749999998</v>
      </c>
      <c r="N896" s="4">
        <f t="shared" si="147"/>
        <v>336208.77525000006</v>
      </c>
      <c r="O896" s="2">
        <f t="shared" si="149"/>
        <v>511157.58474999992</v>
      </c>
    </row>
    <row r="897" spans="1:15" x14ac:dyDescent="0.3">
      <c r="A897" s="50">
        <v>44726</v>
      </c>
      <c r="B897" s="2">
        <v>896</v>
      </c>
      <c r="C897" s="4">
        <v>2138225.2799999998</v>
      </c>
      <c r="D897" s="4">
        <f t="shared" si="143"/>
        <v>1492795.8199999998</v>
      </c>
      <c r="E897" s="2">
        <f t="shared" si="144"/>
        <v>511719.06895089638</v>
      </c>
      <c r="F897" s="2">
        <f t="shared" si="145"/>
        <v>645429.46</v>
      </c>
      <c r="G897" s="4">
        <f t="shared" si="146"/>
        <v>1059444.18</v>
      </c>
      <c r="H897" s="2">
        <f t="shared" si="150"/>
        <v>661928.52060900105</v>
      </c>
      <c r="I897" s="2">
        <f t="shared" si="151"/>
        <v>1078781.0999999999</v>
      </c>
      <c r="J897" s="4">
        <f t="shared" si="148"/>
        <v>898818.92249999999</v>
      </c>
      <c r="K897" s="2">
        <f t="shared" si="152"/>
        <v>1346599.9179524186</v>
      </c>
      <c r="L897" s="2">
        <f t="shared" si="153"/>
        <v>1239406.3574999999</v>
      </c>
      <c r="N897" s="4">
        <f t="shared" si="147"/>
        <v>461364.92410000006</v>
      </c>
      <c r="O897" s="2">
        <f t="shared" si="149"/>
        <v>1676860.3558999998</v>
      </c>
    </row>
    <row r="898" spans="1:15" x14ac:dyDescent="0.3">
      <c r="A898" s="50">
        <v>44727</v>
      </c>
      <c r="B898" s="2">
        <v>897</v>
      </c>
      <c r="C898" s="4">
        <v>1623590.0999999999</v>
      </c>
      <c r="D898" s="4">
        <f t="shared" si="143"/>
        <v>1880907.69</v>
      </c>
      <c r="E898" s="2">
        <f t="shared" si="144"/>
        <v>491320.4300450469</v>
      </c>
      <c r="F898" s="2">
        <f t="shared" si="145"/>
        <v>257317.59000000008</v>
      </c>
      <c r="G898" s="4">
        <f t="shared" si="146"/>
        <v>1536393.9133333331</v>
      </c>
      <c r="H898" s="2">
        <f t="shared" si="150"/>
        <v>658833.90663736837</v>
      </c>
      <c r="I898" s="2">
        <f t="shared" si="151"/>
        <v>87196.186666666763</v>
      </c>
      <c r="J898" s="4">
        <f t="shared" si="148"/>
        <v>1200480.6599999999</v>
      </c>
      <c r="K898" s="2">
        <f t="shared" si="152"/>
        <v>1087126.8961210477</v>
      </c>
      <c r="L898" s="2">
        <f t="shared" si="153"/>
        <v>423109.43999999994</v>
      </c>
      <c r="N898" s="4">
        <f t="shared" si="147"/>
        <v>1135786.4969999997</v>
      </c>
      <c r="O898" s="2">
        <f t="shared" si="149"/>
        <v>487803.60300000012</v>
      </c>
    </row>
    <row r="899" spans="1:15" x14ac:dyDescent="0.3">
      <c r="A899" s="50">
        <v>44728</v>
      </c>
      <c r="B899" s="2">
        <v>898</v>
      </c>
      <c r="C899" s="4">
        <v>1908983.84</v>
      </c>
      <c r="D899" s="4">
        <f t="shared" si="143"/>
        <v>1766286.97</v>
      </c>
      <c r="E899" s="2">
        <f t="shared" si="144"/>
        <v>208056.16889581174</v>
      </c>
      <c r="F899" s="2">
        <f t="shared" si="145"/>
        <v>142696.87000000011</v>
      </c>
      <c r="G899" s="4">
        <f t="shared" si="146"/>
        <v>1890266.4066666665</v>
      </c>
      <c r="H899" s="2">
        <f t="shared" si="150"/>
        <v>624959.24640385038</v>
      </c>
      <c r="I899" s="2">
        <f t="shared" si="151"/>
        <v>18717.433333333582</v>
      </c>
      <c r="J899" s="4">
        <f t="shared" si="148"/>
        <v>1629541.3949999998</v>
      </c>
      <c r="K899" s="2">
        <f t="shared" si="152"/>
        <v>696718.10944966471</v>
      </c>
      <c r="L899" s="2">
        <f t="shared" si="153"/>
        <v>279442.4450000003</v>
      </c>
      <c r="N899" s="4">
        <f t="shared" si="147"/>
        <v>1681833.5323000001</v>
      </c>
      <c r="O899" s="2">
        <f t="shared" si="149"/>
        <v>227150.3077</v>
      </c>
    </row>
    <row r="900" spans="1:15" x14ac:dyDescent="0.3">
      <c r="A900" s="50">
        <v>44729</v>
      </c>
      <c r="B900" s="2">
        <v>899</v>
      </c>
      <c r="C900" s="4">
        <v>278458.5</v>
      </c>
      <c r="D900" s="4">
        <f t="shared" ref="D900:D963" si="154">AVERAGE(C899:C900)</f>
        <v>1093721.17</v>
      </c>
      <c r="E900" s="2">
        <f t="shared" si="144"/>
        <v>585241.66709288803</v>
      </c>
      <c r="F900" s="2">
        <f t="shared" si="145"/>
        <v>815262.66999999993</v>
      </c>
      <c r="G900" s="4">
        <f t="shared" si="146"/>
        <v>1270344.1466666667</v>
      </c>
      <c r="H900" s="2">
        <f t="shared" si="150"/>
        <v>574975.55117388768</v>
      </c>
      <c r="I900" s="2">
        <f t="shared" si="151"/>
        <v>991885.64666666673</v>
      </c>
      <c r="J900" s="4">
        <f t="shared" si="148"/>
        <v>1487314.43</v>
      </c>
      <c r="K900" s="2">
        <f t="shared" si="152"/>
        <v>902021.40451214823</v>
      </c>
      <c r="L900" s="2">
        <f t="shared" si="153"/>
        <v>1208855.93</v>
      </c>
      <c r="N900" s="4">
        <f t="shared" si="147"/>
        <v>1832416.7424999999</v>
      </c>
      <c r="O900" s="2">
        <f t="shared" si="149"/>
        <v>1553958.2424999999</v>
      </c>
    </row>
    <row r="901" spans="1:15" x14ac:dyDescent="0.3">
      <c r="A901" s="50">
        <v>44730</v>
      </c>
      <c r="B901" s="2">
        <v>900</v>
      </c>
      <c r="C901" s="4">
        <v>4986314.9700000007</v>
      </c>
      <c r="D901" s="4">
        <f t="shared" si="154"/>
        <v>2632386.7350000003</v>
      </c>
      <c r="E901" s="2">
        <f t="shared" ref="E901:E964" si="155">SQRT(SUMXMY2(C900:C901,D900:D901)/2)</f>
        <v>1761481.1035923357</v>
      </c>
      <c r="F901" s="2">
        <f t="shared" ref="F901:F964" si="156">ABS(D901-C901)</f>
        <v>2353928.2350000003</v>
      </c>
      <c r="G901" s="4">
        <f t="shared" ref="G901:G964" si="157">AVERAGE(C899:C901)</f>
        <v>2391252.436666667</v>
      </c>
      <c r="H901" s="2">
        <f t="shared" si="150"/>
        <v>1604009.2508341258</v>
      </c>
      <c r="I901" s="2">
        <f t="shared" si="151"/>
        <v>2595062.5333333337</v>
      </c>
      <c r="J901" s="4">
        <f t="shared" si="148"/>
        <v>2199336.8525</v>
      </c>
      <c r="K901" s="2">
        <f t="shared" si="152"/>
        <v>1539942.3175239961</v>
      </c>
      <c r="L901" s="2">
        <f t="shared" si="153"/>
        <v>2786978.1175000006</v>
      </c>
      <c r="N901" s="4">
        <f t="shared" ref="N901:N964" si="158">($M$2*D900)+($M$3*C899)+($M$4*C898)</f>
        <v>1299971.2282999998</v>
      </c>
      <c r="O901" s="2">
        <f t="shared" si="149"/>
        <v>3686343.7417000011</v>
      </c>
    </row>
    <row r="902" spans="1:15" x14ac:dyDescent="0.3">
      <c r="A902" s="50">
        <v>44731</v>
      </c>
      <c r="B902" s="2">
        <v>901</v>
      </c>
      <c r="C902" s="4">
        <v>3683099.6999999997</v>
      </c>
      <c r="D902" s="4">
        <f t="shared" si="154"/>
        <v>4334707.335</v>
      </c>
      <c r="E902" s="2">
        <f t="shared" si="155"/>
        <v>1727074.2088168231</v>
      </c>
      <c r="F902" s="2">
        <f t="shared" si="156"/>
        <v>651607.63500000024</v>
      </c>
      <c r="G902" s="4">
        <f t="shared" si="157"/>
        <v>2982624.39</v>
      </c>
      <c r="H902" s="2">
        <f t="shared" si="150"/>
        <v>1654171.7310982121</v>
      </c>
      <c r="I902" s="2">
        <f t="shared" si="151"/>
        <v>700475.30999999959</v>
      </c>
      <c r="J902" s="4">
        <f t="shared" ref="J902:J965" si="159">AVERAGE(C899:C902)</f>
        <v>2714214.2524999999</v>
      </c>
      <c r="K902" s="2">
        <f t="shared" si="152"/>
        <v>1600422.3487383623</v>
      </c>
      <c r="L902" s="2">
        <f t="shared" si="153"/>
        <v>968885.44749999978</v>
      </c>
      <c r="N902" s="4">
        <f t="shared" si="158"/>
        <v>2214305.9922500006</v>
      </c>
      <c r="O902" s="2">
        <f t="shared" ref="O902:O965" si="160">ABS(N902-C902)</f>
        <v>1468793.7077499991</v>
      </c>
    </row>
    <row r="903" spans="1:15" x14ac:dyDescent="0.3">
      <c r="A903" s="50">
        <v>44732</v>
      </c>
      <c r="B903" s="2">
        <v>902</v>
      </c>
      <c r="C903" s="4">
        <v>39288.600000000006</v>
      </c>
      <c r="D903" s="4">
        <f t="shared" si="154"/>
        <v>1861194.15</v>
      </c>
      <c r="E903" s="2">
        <f t="shared" si="155"/>
        <v>1368198.1477679128</v>
      </c>
      <c r="F903" s="2">
        <f t="shared" si="156"/>
        <v>1821905.5499999998</v>
      </c>
      <c r="G903" s="4">
        <f t="shared" si="157"/>
        <v>2902901.09</v>
      </c>
      <c r="H903" s="2">
        <f t="shared" ref="H903:H966" si="161">SQRT(SUMXMY2(C901:C903,G901:G903)/3)</f>
        <v>2267545.7881973055</v>
      </c>
      <c r="I903" s="2">
        <f t="shared" ref="I903:I966" si="162">ABS(G903-C903)</f>
        <v>2863612.4899999998</v>
      </c>
      <c r="J903" s="4">
        <f t="shared" si="159"/>
        <v>2246790.4424999999</v>
      </c>
      <c r="K903" s="2">
        <f t="shared" si="152"/>
        <v>1939096.6377374143</v>
      </c>
      <c r="L903" s="2">
        <f t="shared" si="153"/>
        <v>2207501.8424999998</v>
      </c>
      <c r="N903" s="4">
        <f t="shared" si="158"/>
        <v>3514009.4311500001</v>
      </c>
      <c r="O903" s="2">
        <f t="shared" si="160"/>
        <v>3474720.83115</v>
      </c>
    </row>
    <row r="904" spans="1:15" x14ac:dyDescent="0.3">
      <c r="A904" s="50">
        <v>44733</v>
      </c>
      <c r="B904" s="2">
        <v>903</v>
      </c>
      <c r="C904" s="4">
        <v>4408691.7</v>
      </c>
      <c r="D904" s="4">
        <f t="shared" si="154"/>
        <v>2223990.15</v>
      </c>
      <c r="E904" s="2">
        <f t="shared" si="155"/>
        <v>2011499.527180308</v>
      </c>
      <c r="F904" s="2">
        <f t="shared" si="156"/>
        <v>2184701.5500000003</v>
      </c>
      <c r="G904" s="4">
        <f t="shared" si="157"/>
        <v>2710360</v>
      </c>
      <c r="H904" s="2">
        <f t="shared" si="161"/>
        <v>1964287.2088053115</v>
      </c>
      <c r="I904" s="2">
        <f t="shared" si="162"/>
        <v>1698331.7000000002</v>
      </c>
      <c r="J904" s="4">
        <f t="shared" si="159"/>
        <v>3279348.7424999997</v>
      </c>
      <c r="K904" s="2">
        <f t="shared" si="152"/>
        <v>1927074.5923612339</v>
      </c>
      <c r="L904" s="2">
        <f t="shared" si="153"/>
        <v>1129342.9575000005</v>
      </c>
      <c r="N904" s="4">
        <f t="shared" si="158"/>
        <v>2749130.3409000002</v>
      </c>
      <c r="O904" s="2">
        <f t="shared" si="160"/>
        <v>1659561.3591</v>
      </c>
    </row>
    <row r="905" spans="1:15" x14ac:dyDescent="0.3">
      <c r="A905" s="50">
        <v>44734</v>
      </c>
      <c r="B905" s="2">
        <v>904</v>
      </c>
      <c r="C905" s="4">
        <v>216300.24</v>
      </c>
      <c r="D905" s="4">
        <f t="shared" si="154"/>
        <v>2312495.9700000002</v>
      </c>
      <c r="E905" s="2">
        <f t="shared" si="155"/>
        <v>2140906.0466357036</v>
      </c>
      <c r="F905" s="2">
        <f t="shared" si="156"/>
        <v>2096195.7300000002</v>
      </c>
      <c r="G905" s="4">
        <f t="shared" si="157"/>
        <v>1554760.18</v>
      </c>
      <c r="H905" s="2">
        <f t="shared" si="161"/>
        <v>2071720.8681909584</v>
      </c>
      <c r="I905" s="2">
        <f t="shared" si="162"/>
        <v>1338459.94</v>
      </c>
      <c r="J905" s="4">
        <f t="shared" si="159"/>
        <v>2086845.06</v>
      </c>
      <c r="K905" s="2">
        <f t="shared" ref="K905:K968" si="163">SQRT(SUMXMY2(C902:C905,J902:J905)/4)</f>
        <v>1626818.7386969274</v>
      </c>
      <c r="L905" s="2">
        <f t="shared" ref="L905:L968" si="164">ABS(J905-C905)</f>
        <v>1870544.82</v>
      </c>
      <c r="N905" s="4">
        <f t="shared" si="158"/>
        <v>2304677.0805000002</v>
      </c>
      <c r="O905" s="2">
        <f t="shared" si="160"/>
        <v>2088376.8405000002</v>
      </c>
    </row>
    <row r="906" spans="1:15" x14ac:dyDescent="0.3">
      <c r="A906" s="50">
        <v>44735</v>
      </c>
      <c r="B906" s="2">
        <v>905</v>
      </c>
      <c r="C906" s="4">
        <v>4304498.1000000006</v>
      </c>
      <c r="D906" s="4">
        <f t="shared" si="154"/>
        <v>2260399.1700000004</v>
      </c>
      <c r="E906" s="2">
        <f t="shared" si="155"/>
        <v>2070311.2053622976</v>
      </c>
      <c r="F906" s="2">
        <f t="shared" si="156"/>
        <v>2044098.9300000002</v>
      </c>
      <c r="G906" s="4">
        <f t="shared" si="157"/>
        <v>2976496.68</v>
      </c>
      <c r="H906" s="2">
        <f t="shared" si="161"/>
        <v>1465081.7207846248</v>
      </c>
      <c r="I906" s="2">
        <f t="shared" si="162"/>
        <v>1328001.4200000004</v>
      </c>
      <c r="J906" s="4">
        <f t="shared" si="159"/>
        <v>2242194.66</v>
      </c>
      <c r="K906" s="2">
        <f t="shared" si="163"/>
        <v>1864169.6075304153</v>
      </c>
      <c r="L906" s="2">
        <f t="shared" si="164"/>
        <v>2062303.4400000004</v>
      </c>
      <c r="N906" s="4">
        <f t="shared" si="158"/>
        <v>2042971.8789000004</v>
      </c>
      <c r="O906" s="2">
        <f t="shared" si="160"/>
        <v>2261526.2211000002</v>
      </c>
    </row>
    <row r="907" spans="1:15" x14ac:dyDescent="0.3">
      <c r="A907" s="50">
        <v>44736</v>
      </c>
      <c r="B907" s="2">
        <v>906</v>
      </c>
      <c r="C907" s="4">
        <v>1608008.72</v>
      </c>
      <c r="D907" s="4">
        <f t="shared" si="154"/>
        <v>2956253.41</v>
      </c>
      <c r="E907" s="2">
        <f t="shared" si="155"/>
        <v>1731488.4030423567</v>
      </c>
      <c r="F907" s="2">
        <f t="shared" si="156"/>
        <v>1348244.6900000002</v>
      </c>
      <c r="G907" s="4">
        <f t="shared" si="157"/>
        <v>2042935.6866666668</v>
      </c>
      <c r="H907" s="2">
        <f t="shared" si="161"/>
        <v>1117172.65881938</v>
      </c>
      <c r="I907" s="2">
        <f t="shared" si="162"/>
        <v>434926.96666666679</v>
      </c>
      <c r="J907" s="4">
        <f t="shared" si="159"/>
        <v>2634374.6900000004</v>
      </c>
      <c r="K907" s="2">
        <f t="shared" si="163"/>
        <v>1587519.7654118796</v>
      </c>
      <c r="L907" s="2">
        <f t="shared" si="164"/>
        <v>1026365.9700000004</v>
      </c>
      <c r="N907" s="4">
        <f t="shared" si="158"/>
        <v>2508172.6443000003</v>
      </c>
      <c r="O907" s="2">
        <f t="shared" si="160"/>
        <v>900163.9243000003</v>
      </c>
    </row>
    <row r="908" spans="1:15" x14ac:dyDescent="0.3">
      <c r="A908" s="50">
        <v>44737</v>
      </c>
      <c r="B908" s="2">
        <v>907</v>
      </c>
      <c r="C908" s="4">
        <v>596552.46</v>
      </c>
      <c r="D908" s="4">
        <f t="shared" si="154"/>
        <v>1102280.5899999999</v>
      </c>
      <c r="E908" s="2">
        <f t="shared" si="155"/>
        <v>1018215.2733058205</v>
      </c>
      <c r="F908" s="2">
        <f t="shared" si="156"/>
        <v>505728.12999999989</v>
      </c>
      <c r="G908" s="4">
        <f t="shared" si="157"/>
        <v>2169686.4266666668</v>
      </c>
      <c r="H908" s="2">
        <f t="shared" si="161"/>
        <v>1214838.7705008825</v>
      </c>
      <c r="I908" s="2">
        <f t="shared" si="162"/>
        <v>1573133.9666666668</v>
      </c>
      <c r="J908" s="4">
        <f t="shared" si="159"/>
        <v>1681339.8800000001</v>
      </c>
      <c r="K908" s="2">
        <f t="shared" si="163"/>
        <v>1579732.9088511264</v>
      </c>
      <c r="L908" s="2">
        <f t="shared" si="164"/>
        <v>1084787.4200000002</v>
      </c>
      <c r="N908" s="4">
        <f t="shared" si="158"/>
        <v>2501770.6285000006</v>
      </c>
      <c r="O908" s="2">
        <f t="shared" si="160"/>
        <v>1905218.1685000006</v>
      </c>
    </row>
    <row r="909" spans="1:15" x14ac:dyDescent="0.3">
      <c r="A909" s="50">
        <v>44738</v>
      </c>
      <c r="B909" s="2">
        <v>908</v>
      </c>
      <c r="C909" s="4">
        <v>1013689.6</v>
      </c>
      <c r="D909" s="4">
        <f t="shared" si="154"/>
        <v>805121.03</v>
      </c>
      <c r="E909" s="2">
        <f t="shared" si="155"/>
        <v>386821.52852778352</v>
      </c>
      <c r="F909" s="2">
        <f t="shared" si="156"/>
        <v>208568.56999999995</v>
      </c>
      <c r="G909" s="4">
        <f t="shared" si="157"/>
        <v>1072750.26</v>
      </c>
      <c r="H909" s="2">
        <f t="shared" si="161"/>
        <v>942938.68746840314</v>
      </c>
      <c r="I909" s="2">
        <f t="shared" si="162"/>
        <v>59060.660000000033</v>
      </c>
      <c r="J909" s="4">
        <f t="shared" si="159"/>
        <v>1880687.22</v>
      </c>
      <c r="K909" s="2">
        <f t="shared" si="163"/>
        <v>1344895.0890948519</v>
      </c>
      <c r="L909" s="2">
        <f t="shared" si="164"/>
        <v>866997.62</v>
      </c>
      <c r="N909" s="4">
        <f t="shared" si="158"/>
        <v>1862398.5365000002</v>
      </c>
      <c r="O909" s="2">
        <f t="shared" si="160"/>
        <v>848708.93650000019</v>
      </c>
    </row>
    <row r="910" spans="1:15" x14ac:dyDescent="0.3">
      <c r="A910" s="50">
        <v>44739</v>
      </c>
      <c r="B910" s="2">
        <v>909</v>
      </c>
      <c r="C910" s="4">
        <v>1408222.2</v>
      </c>
      <c r="D910" s="4">
        <f t="shared" si="154"/>
        <v>1210955.8999999999</v>
      </c>
      <c r="E910" s="2">
        <f t="shared" si="155"/>
        <v>202996.11019368682</v>
      </c>
      <c r="F910" s="2">
        <f t="shared" si="156"/>
        <v>197266.30000000005</v>
      </c>
      <c r="G910" s="4">
        <f t="shared" si="157"/>
        <v>1006154.7533333333</v>
      </c>
      <c r="H910" s="2">
        <f t="shared" si="161"/>
        <v>938064.829015758</v>
      </c>
      <c r="I910" s="2">
        <f t="shared" si="162"/>
        <v>402067.44666666666</v>
      </c>
      <c r="J910" s="4">
        <f t="shared" si="159"/>
        <v>1156618.2449999999</v>
      </c>
      <c r="K910" s="2">
        <f t="shared" si="163"/>
        <v>872522.24530690408</v>
      </c>
      <c r="L910" s="2">
        <f t="shared" si="164"/>
        <v>251603.95500000007</v>
      </c>
      <c r="N910" s="4">
        <f t="shared" si="158"/>
        <v>958813.77910000016</v>
      </c>
      <c r="O910" s="2">
        <f t="shared" si="160"/>
        <v>449408.42089999979</v>
      </c>
    </row>
    <row r="911" spans="1:15" x14ac:dyDescent="0.3">
      <c r="A911" s="50">
        <v>44740</v>
      </c>
      <c r="B911" s="2">
        <v>910</v>
      </c>
      <c r="C911" s="4">
        <v>3883497.4499999997</v>
      </c>
      <c r="D911" s="4">
        <f t="shared" si="154"/>
        <v>2645859.8249999997</v>
      </c>
      <c r="E911" s="2">
        <f t="shared" si="155"/>
        <v>886188.71690270654</v>
      </c>
      <c r="F911" s="2">
        <f t="shared" si="156"/>
        <v>1237637.625</v>
      </c>
      <c r="G911" s="4">
        <f t="shared" si="157"/>
        <v>2101803.0833333335</v>
      </c>
      <c r="H911" s="2">
        <f t="shared" si="161"/>
        <v>1055079.9668651379</v>
      </c>
      <c r="I911" s="2">
        <f t="shared" si="162"/>
        <v>1781694.3666666662</v>
      </c>
      <c r="J911" s="4">
        <f t="shared" si="159"/>
        <v>1725490.4274999998</v>
      </c>
      <c r="K911" s="2">
        <f t="shared" si="163"/>
        <v>1289258.2634025349</v>
      </c>
      <c r="L911" s="2">
        <f t="shared" si="164"/>
        <v>2158007.0225</v>
      </c>
      <c r="N911" s="4">
        <f t="shared" si="158"/>
        <v>1054087.8502</v>
      </c>
      <c r="O911" s="2">
        <f t="shared" si="160"/>
        <v>2829409.5998</v>
      </c>
    </row>
    <row r="912" spans="1:15" x14ac:dyDescent="0.3">
      <c r="A912" s="50">
        <v>44741</v>
      </c>
      <c r="B912" s="2">
        <v>911</v>
      </c>
      <c r="C912" s="4">
        <v>697445.91</v>
      </c>
      <c r="D912" s="4">
        <f t="shared" si="154"/>
        <v>2290471.6799999997</v>
      </c>
      <c r="E912" s="2">
        <f t="shared" si="155"/>
        <v>1426442.7774537141</v>
      </c>
      <c r="F912" s="2">
        <f t="shared" si="156"/>
        <v>1593025.7699999996</v>
      </c>
      <c r="G912" s="4">
        <f t="shared" si="157"/>
        <v>1996388.5199999998</v>
      </c>
      <c r="H912" s="2">
        <f t="shared" si="161"/>
        <v>1294004.7593877437</v>
      </c>
      <c r="I912" s="2">
        <f t="shared" si="162"/>
        <v>1298942.6099999999</v>
      </c>
      <c r="J912" s="4">
        <f t="shared" si="159"/>
        <v>1750713.79</v>
      </c>
      <c r="K912" s="2">
        <f t="shared" si="163"/>
        <v>1282707.776488503</v>
      </c>
      <c r="L912" s="2">
        <f t="shared" si="164"/>
        <v>1053267.8799999999</v>
      </c>
      <c r="N912" s="4">
        <f t="shared" si="158"/>
        <v>2150642.2367499997</v>
      </c>
      <c r="O912" s="2">
        <f t="shared" si="160"/>
        <v>1453196.3267499995</v>
      </c>
    </row>
    <row r="913" spans="1:15" x14ac:dyDescent="0.3">
      <c r="A913" s="50">
        <v>44742</v>
      </c>
      <c r="B913" s="2">
        <v>912</v>
      </c>
      <c r="C913" s="4">
        <v>540590.94000000006</v>
      </c>
      <c r="D913" s="4">
        <f t="shared" si="154"/>
        <v>619018.42500000005</v>
      </c>
      <c r="E913" s="2">
        <f t="shared" si="155"/>
        <v>1127803.6119572229</v>
      </c>
      <c r="F913" s="2">
        <f t="shared" si="156"/>
        <v>78427.484999999986</v>
      </c>
      <c r="G913" s="4">
        <f t="shared" si="157"/>
        <v>1707178.0999999999</v>
      </c>
      <c r="H913" s="2">
        <f t="shared" si="161"/>
        <v>1440209.7442342914</v>
      </c>
      <c r="I913" s="2">
        <f t="shared" si="162"/>
        <v>1166587.1599999997</v>
      </c>
      <c r="J913" s="4">
        <f t="shared" si="159"/>
        <v>1632439.125</v>
      </c>
      <c r="K913" s="2">
        <f t="shared" si="163"/>
        <v>1324934.3894565539</v>
      </c>
      <c r="L913" s="2">
        <f t="shared" si="164"/>
        <v>1091848.1850000001</v>
      </c>
      <c r="N913" s="4">
        <f t="shared" si="158"/>
        <v>2271609.6290999996</v>
      </c>
      <c r="O913" s="2">
        <f t="shared" si="160"/>
        <v>1731018.6890999996</v>
      </c>
    </row>
    <row r="914" spans="1:15" x14ac:dyDescent="0.3">
      <c r="A914" s="50">
        <v>44743</v>
      </c>
      <c r="B914" s="2">
        <v>913</v>
      </c>
      <c r="C914" s="4">
        <v>388299.23000000004</v>
      </c>
      <c r="D914" s="4">
        <f t="shared" si="154"/>
        <v>464445.08500000008</v>
      </c>
      <c r="E914" s="2">
        <f t="shared" si="155"/>
        <v>77295.089226632816</v>
      </c>
      <c r="F914" s="2">
        <f t="shared" si="156"/>
        <v>76145.85500000004</v>
      </c>
      <c r="G914" s="4">
        <f t="shared" si="157"/>
        <v>542112.02666666673</v>
      </c>
      <c r="H914" s="2">
        <f t="shared" si="161"/>
        <v>1011901.8203971005</v>
      </c>
      <c r="I914" s="2">
        <f t="shared" si="162"/>
        <v>153812.79666666669</v>
      </c>
      <c r="J914" s="4">
        <f t="shared" si="159"/>
        <v>1377458.3825000001</v>
      </c>
      <c r="K914" s="2">
        <f t="shared" si="163"/>
        <v>1408628.3953070557</v>
      </c>
      <c r="L914" s="2">
        <f t="shared" si="164"/>
        <v>989159.15250000008</v>
      </c>
      <c r="N914" s="4">
        <f t="shared" si="158"/>
        <v>1345830.8338500001</v>
      </c>
      <c r="O914" s="2">
        <f t="shared" si="160"/>
        <v>957531.60385000007</v>
      </c>
    </row>
    <row r="915" spans="1:15" x14ac:dyDescent="0.3">
      <c r="A915" s="50">
        <v>44744</v>
      </c>
      <c r="B915" s="2">
        <v>914</v>
      </c>
      <c r="C915" s="4">
        <v>2049119.73</v>
      </c>
      <c r="D915" s="4">
        <f t="shared" si="154"/>
        <v>1218709.48</v>
      </c>
      <c r="E915" s="2">
        <f t="shared" si="155"/>
        <v>589652.17481950473</v>
      </c>
      <c r="F915" s="2">
        <f t="shared" si="156"/>
        <v>830410.25</v>
      </c>
      <c r="G915" s="4">
        <f t="shared" si="157"/>
        <v>992669.96666666679</v>
      </c>
      <c r="H915" s="2">
        <f t="shared" si="161"/>
        <v>912993.2604246214</v>
      </c>
      <c r="I915" s="2">
        <f t="shared" si="162"/>
        <v>1056449.7633333332</v>
      </c>
      <c r="J915" s="4">
        <f t="shared" si="159"/>
        <v>918863.95250000001</v>
      </c>
      <c r="K915" s="2">
        <f t="shared" si="163"/>
        <v>1067405.691112116</v>
      </c>
      <c r="L915" s="2">
        <f t="shared" si="164"/>
        <v>1130255.7774999999</v>
      </c>
      <c r="N915" s="4">
        <f t="shared" si="158"/>
        <v>524081.31055000005</v>
      </c>
      <c r="O915" s="2">
        <f t="shared" si="160"/>
        <v>1525038.4194499999</v>
      </c>
    </row>
    <row r="916" spans="1:15" x14ac:dyDescent="0.3">
      <c r="A916" s="50">
        <v>44745</v>
      </c>
      <c r="B916" s="2">
        <v>915</v>
      </c>
      <c r="C916" s="4">
        <v>685072.92</v>
      </c>
      <c r="D916" s="4">
        <f t="shared" si="154"/>
        <v>1367096.325</v>
      </c>
      <c r="E916" s="2">
        <f t="shared" si="155"/>
        <v>759847.71772798547</v>
      </c>
      <c r="F916" s="2">
        <f t="shared" si="156"/>
        <v>682023.40499999991</v>
      </c>
      <c r="G916" s="4">
        <f t="shared" si="157"/>
        <v>1040830.6266666666</v>
      </c>
      <c r="H916" s="2">
        <f t="shared" si="161"/>
        <v>649694.29342273565</v>
      </c>
      <c r="I916" s="2">
        <f t="shared" si="162"/>
        <v>355757.70666666655</v>
      </c>
      <c r="J916" s="4">
        <f t="shared" si="159"/>
        <v>915770.70500000007</v>
      </c>
      <c r="K916" s="2">
        <f t="shared" si="163"/>
        <v>935583.75876218965</v>
      </c>
      <c r="L916" s="2">
        <f t="shared" si="164"/>
        <v>230697.78500000003</v>
      </c>
      <c r="N916" s="4">
        <f t="shared" si="158"/>
        <v>978178.27370000002</v>
      </c>
      <c r="O916" s="2">
        <f t="shared" si="160"/>
        <v>293105.35369999998</v>
      </c>
    </row>
    <row r="917" spans="1:15" x14ac:dyDescent="0.3">
      <c r="A917" s="50">
        <v>44746</v>
      </c>
      <c r="B917" s="2">
        <v>916</v>
      </c>
      <c r="C917" s="4">
        <v>279756.79999999999</v>
      </c>
      <c r="D917" s="4">
        <f t="shared" si="154"/>
        <v>482414.86</v>
      </c>
      <c r="E917" s="2">
        <f t="shared" si="155"/>
        <v>503103.47556479747</v>
      </c>
      <c r="F917" s="2">
        <f t="shared" si="156"/>
        <v>202658.06</v>
      </c>
      <c r="G917" s="4">
        <f t="shared" si="157"/>
        <v>1004649.8166666665</v>
      </c>
      <c r="H917" s="2">
        <f t="shared" si="161"/>
        <v>767706.43996948947</v>
      </c>
      <c r="I917" s="2">
        <f t="shared" si="162"/>
        <v>724893.0166666666</v>
      </c>
      <c r="J917" s="4">
        <f t="shared" si="159"/>
        <v>850562.16999999993</v>
      </c>
      <c r="K917" s="2">
        <f t="shared" si="163"/>
        <v>811627.09879158647</v>
      </c>
      <c r="L917" s="2">
        <f t="shared" si="164"/>
        <v>570805.36999999988</v>
      </c>
      <c r="N917" s="4">
        <f t="shared" si="158"/>
        <v>1226783.53865</v>
      </c>
      <c r="O917" s="2">
        <f t="shared" si="160"/>
        <v>947026.73864999996</v>
      </c>
    </row>
    <row r="918" spans="1:15" x14ac:dyDescent="0.3">
      <c r="A918" s="50">
        <v>44747</v>
      </c>
      <c r="B918" s="2">
        <v>917</v>
      </c>
      <c r="C918" s="4">
        <v>868436.22</v>
      </c>
      <c r="D918" s="4">
        <f t="shared" si="154"/>
        <v>574096.51</v>
      </c>
      <c r="E918" s="2">
        <f t="shared" si="155"/>
        <v>252691.66405507689</v>
      </c>
      <c r="F918" s="2">
        <f t="shared" si="156"/>
        <v>294339.70999999996</v>
      </c>
      <c r="G918" s="4">
        <f t="shared" si="157"/>
        <v>611088.64666666661</v>
      </c>
      <c r="H918" s="2">
        <f t="shared" si="161"/>
        <v>489306.04089376127</v>
      </c>
      <c r="I918" s="2">
        <f t="shared" si="162"/>
        <v>257347.57333333336</v>
      </c>
      <c r="J918" s="4">
        <f t="shared" si="159"/>
        <v>970596.41749999998</v>
      </c>
      <c r="K918" s="2">
        <f t="shared" si="163"/>
        <v>645553.07042684557</v>
      </c>
      <c r="L918" s="2">
        <f t="shared" si="164"/>
        <v>102160.19750000001</v>
      </c>
      <c r="N918" s="4">
        <f t="shared" si="158"/>
        <v>849382.31799999997</v>
      </c>
      <c r="O918" s="2">
        <f t="shared" si="160"/>
        <v>19053.902000000002</v>
      </c>
    </row>
    <row r="919" spans="1:15" x14ac:dyDescent="0.3">
      <c r="A919" s="50">
        <v>44748</v>
      </c>
      <c r="B919" s="2">
        <v>918</v>
      </c>
      <c r="C919" s="4">
        <v>5579567.2800000003</v>
      </c>
      <c r="D919" s="4">
        <f t="shared" si="154"/>
        <v>3224001.75</v>
      </c>
      <c r="E919" s="2">
        <f t="shared" si="155"/>
        <v>1678589.4124244715</v>
      </c>
      <c r="F919" s="2">
        <f t="shared" si="156"/>
        <v>2355565.5300000003</v>
      </c>
      <c r="G919" s="4">
        <f t="shared" si="157"/>
        <v>2242586.7666666671</v>
      </c>
      <c r="H919" s="2">
        <f t="shared" si="161"/>
        <v>1977130.6317893323</v>
      </c>
      <c r="I919" s="2">
        <f t="shared" si="162"/>
        <v>3336980.5133333332</v>
      </c>
      <c r="J919" s="4">
        <f t="shared" si="159"/>
        <v>1853208.3050000002</v>
      </c>
      <c r="K919" s="2">
        <f t="shared" si="163"/>
        <v>1889128.6453641155</v>
      </c>
      <c r="L919" s="2">
        <f t="shared" si="164"/>
        <v>3726358.9750000001</v>
      </c>
      <c r="N919" s="4">
        <f t="shared" si="158"/>
        <v>566133.95210000011</v>
      </c>
      <c r="O919" s="2">
        <f t="shared" si="160"/>
        <v>5013433.3278999999</v>
      </c>
    </row>
    <row r="920" spans="1:15" x14ac:dyDescent="0.3">
      <c r="A920" s="50">
        <v>44749</v>
      </c>
      <c r="B920" s="2">
        <v>919</v>
      </c>
      <c r="C920" s="4">
        <v>545139.1</v>
      </c>
      <c r="D920" s="4">
        <f t="shared" si="154"/>
        <v>3062353.19</v>
      </c>
      <c r="E920" s="2">
        <f t="shared" si="155"/>
        <v>2437730.0651444891</v>
      </c>
      <c r="F920" s="2">
        <f t="shared" si="156"/>
        <v>2517214.09</v>
      </c>
      <c r="G920" s="4">
        <f t="shared" si="157"/>
        <v>2331047.5333333332</v>
      </c>
      <c r="H920" s="2">
        <f t="shared" si="161"/>
        <v>2190215.7924215347</v>
      </c>
      <c r="I920" s="2">
        <f t="shared" si="162"/>
        <v>1785908.4333333331</v>
      </c>
      <c r="J920" s="4">
        <f t="shared" si="159"/>
        <v>1818224.85</v>
      </c>
      <c r="K920" s="2">
        <f t="shared" si="163"/>
        <v>1990147.8596947382</v>
      </c>
      <c r="L920" s="2">
        <f t="shared" si="164"/>
        <v>1273085.75</v>
      </c>
      <c r="N920" s="4">
        <f t="shared" si="158"/>
        <v>2317155.6527</v>
      </c>
      <c r="O920" s="2">
        <f t="shared" si="160"/>
        <v>1772016.5526999999</v>
      </c>
    </row>
    <row r="921" spans="1:15" x14ac:dyDescent="0.3">
      <c r="A921" s="50">
        <v>44750</v>
      </c>
      <c r="B921" s="2">
        <v>920</v>
      </c>
      <c r="C921" s="4">
        <v>1500170.0999999999</v>
      </c>
      <c r="D921" s="4">
        <f t="shared" si="154"/>
        <v>1022654.5999999999</v>
      </c>
      <c r="E921" s="2">
        <f t="shared" si="155"/>
        <v>1811682.6195052457</v>
      </c>
      <c r="F921" s="2">
        <f t="shared" si="156"/>
        <v>477515.5</v>
      </c>
      <c r="G921" s="4">
        <f t="shared" si="157"/>
        <v>2541625.4933333332</v>
      </c>
      <c r="H921" s="2">
        <f t="shared" si="161"/>
        <v>2266387.5231243079</v>
      </c>
      <c r="I921" s="2">
        <f t="shared" si="162"/>
        <v>1041455.3933333333</v>
      </c>
      <c r="J921" s="4">
        <f t="shared" si="159"/>
        <v>2123328.1749999998</v>
      </c>
      <c r="K921" s="2">
        <f t="shared" si="163"/>
        <v>1994070.0357439215</v>
      </c>
      <c r="L921" s="2">
        <f t="shared" si="164"/>
        <v>623158.07499999995</v>
      </c>
      <c r="N921" s="4">
        <f t="shared" si="158"/>
        <v>2856585.0065000001</v>
      </c>
      <c r="O921" s="2">
        <f t="shared" si="160"/>
        <v>1356414.9065000003</v>
      </c>
    </row>
    <row r="922" spans="1:15" x14ac:dyDescent="0.3">
      <c r="A922" s="50">
        <v>44751</v>
      </c>
      <c r="B922" s="2">
        <v>921</v>
      </c>
      <c r="C922" s="4">
        <v>741952.96</v>
      </c>
      <c r="D922" s="4">
        <f t="shared" si="154"/>
        <v>1121061.5299999998</v>
      </c>
      <c r="E922" s="2">
        <f t="shared" si="155"/>
        <v>431128.96016603592</v>
      </c>
      <c r="F922" s="2">
        <f t="shared" si="156"/>
        <v>379108.56999999983</v>
      </c>
      <c r="G922" s="4">
        <f t="shared" si="157"/>
        <v>929087.3866666666</v>
      </c>
      <c r="H922" s="2">
        <f t="shared" si="161"/>
        <v>1198487.5972377395</v>
      </c>
      <c r="I922" s="2">
        <f t="shared" si="162"/>
        <v>187134.42666666664</v>
      </c>
      <c r="J922" s="4">
        <f t="shared" si="159"/>
        <v>2091707.3599999999</v>
      </c>
      <c r="K922" s="2">
        <f t="shared" si="163"/>
        <v>2104558.2353651552</v>
      </c>
      <c r="L922" s="2">
        <f t="shared" si="164"/>
        <v>1349754.4</v>
      </c>
      <c r="N922" s="4">
        <f t="shared" si="158"/>
        <v>1972648.6846</v>
      </c>
      <c r="O922" s="2">
        <f t="shared" si="160"/>
        <v>1230695.7246000001</v>
      </c>
    </row>
    <row r="923" spans="1:15" x14ac:dyDescent="0.3">
      <c r="A923" s="50">
        <v>44752</v>
      </c>
      <c r="B923" s="2">
        <v>922</v>
      </c>
      <c r="C923" s="4">
        <v>870593.06</v>
      </c>
      <c r="D923" s="4">
        <f t="shared" si="154"/>
        <v>806273.01</v>
      </c>
      <c r="E923" s="2">
        <f t="shared" si="155"/>
        <v>271901.06351341039</v>
      </c>
      <c r="F923" s="2">
        <f t="shared" si="156"/>
        <v>64320.050000000047</v>
      </c>
      <c r="G923" s="4">
        <f t="shared" si="157"/>
        <v>1037572.0399999999</v>
      </c>
      <c r="H923" s="2">
        <f t="shared" si="161"/>
        <v>618474.09261525539</v>
      </c>
      <c r="I923" s="2">
        <f t="shared" si="162"/>
        <v>166978.97999999986</v>
      </c>
      <c r="J923" s="4">
        <f t="shared" si="159"/>
        <v>914463.80499999993</v>
      </c>
      <c r="K923" s="2">
        <f t="shared" si="163"/>
        <v>978881.36358255683</v>
      </c>
      <c r="L923" s="2">
        <f t="shared" si="164"/>
        <v>43870.744999999879</v>
      </c>
      <c r="N923" s="4">
        <f t="shared" si="158"/>
        <v>1036060.5380999999</v>
      </c>
      <c r="O923" s="2">
        <f t="shared" si="160"/>
        <v>165467.47809999983</v>
      </c>
    </row>
    <row r="924" spans="1:15" x14ac:dyDescent="0.3">
      <c r="A924" s="50">
        <v>44753</v>
      </c>
      <c r="B924" s="2">
        <v>923</v>
      </c>
      <c r="C924" s="4">
        <v>30219.87</v>
      </c>
      <c r="D924" s="4">
        <f t="shared" si="154"/>
        <v>450406.46500000003</v>
      </c>
      <c r="E924" s="2">
        <f t="shared" si="155"/>
        <v>300577.64674847043</v>
      </c>
      <c r="F924" s="2">
        <f t="shared" si="156"/>
        <v>420186.59500000003</v>
      </c>
      <c r="G924" s="4">
        <f t="shared" si="157"/>
        <v>547588.63</v>
      </c>
      <c r="H924" s="2">
        <f t="shared" si="161"/>
        <v>331949.64840551751</v>
      </c>
      <c r="I924" s="2">
        <f t="shared" si="162"/>
        <v>517368.76</v>
      </c>
      <c r="J924" s="4">
        <f t="shared" si="159"/>
        <v>785733.99749999994</v>
      </c>
      <c r="K924" s="2">
        <f t="shared" si="163"/>
        <v>834099.68916730909</v>
      </c>
      <c r="L924" s="2">
        <f t="shared" si="164"/>
        <v>755514.12749999994</v>
      </c>
      <c r="N924" s="4">
        <f t="shared" si="158"/>
        <v>951855.16430000006</v>
      </c>
      <c r="O924" s="2">
        <f t="shared" si="160"/>
        <v>921635.29430000007</v>
      </c>
    </row>
    <row r="925" spans="1:15" x14ac:dyDescent="0.3">
      <c r="A925" s="50">
        <v>44754</v>
      </c>
      <c r="B925" s="2">
        <v>924</v>
      </c>
      <c r="C925" s="4">
        <v>628207.79999999993</v>
      </c>
      <c r="D925" s="4">
        <f t="shared" si="154"/>
        <v>329213.83499999996</v>
      </c>
      <c r="E925" s="2">
        <f t="shared" si="155"/>
        <v>364660.22933966579</v>
      </c>
      <c r="F925" s="2">
        <f t="shared" si="156"/>
        <v>298993.96499999997</v>
      </c>
      <c r="G925" s="4">
        <f t="shared" si="157"/>
        <v>509673.57666666666</v>
      </c>
      <c r="H925" s="2">
        <f t="shared" si="161"/>
        <v>321249.0081369977</v>
      </c>
      <c r="I925" s="2">
        <f t="shared" si="162"/>
        <v>118534.22333333327</v>
      </c>
      <c r="J925" s="4">
        <f t="shared" si="159"/>
        <v>567743.42249999999</v>
      </c>
      <c r="K925" s="2">
        <f t="shared" si="163"/>
        <v>774309.22769665532</v>
      </c>
      <c r="L925" s="2">
        <f t="shared" si="164"/>
        <v>60464.377499999944</v>
      </c>
      <c r="N925" s="4">
        <f t="shared" si="158"/>
        <v>560767.21935000003</v>
      </c>
      <c r="O925" s="2">
        <f t="shared" si="160"/>
        <v>67440.580649999902</v>
      </c>
    </row>
    <row r="926" spans="1:15" x14ac:dyDescent="0.3">
      <c r="A926" s="50">
        <v>44755</v>
      </c>
      <c r="B926" s="2">
        <v>925</v>
      </c>
      <c r="C926" s="4">
        <v>360667.45</v>
      </c>
      <c r="D926" s="4">
        <f t="shared" si="154"/>
        <v>494437.625</v>
      </c>
      <c r="E926" s="2">
        <f t="shared" si="155"/>
        <v>231615.90060480716</v>
      </c>
      <c r="F926" s="2">
        <f t="shared" si="156"/>
        <v>133770.17499999999</v>
      </c>
      <c r="G926" s="4">
        <f t="shared" si="157"/>
        <v>339698.37333333329</v>
      </c>
      <c r="H926" s="2">
        <f t="shared" si="161"/>
        <v>306681.42977223487</v>
      </c>
      <c r="I926" s="2">
        <f t="shared" si="162"/>
        <v>20969.076666666719</v>
      </c>
      <c r="J926" s="4">
        <f t="shared" si="159"/>
        <v>472422.04499999998</v>
      </c>
      <c r="K926" s="2">
        <f t="shared" si="163"/>
        <v>383689.74105682631</v>
      </c>
      <c r="L926" s="2">
        <f t="shared" si="164"/>
        <v>111754.59499999997</v>
      </c>
      <c r="N926" s="4">
        <f t="shared" si="158"/>
        <v>415427.92835</v>
      </c>
      <c r="O926" s="2">
        <f t="shared" si="160"/>
        <v>54760.47834999999</v>
      </c>
    </row>
    <row r="927" spans="1:15" x14ac:dyDescent="0.3">
      <c r="A927" s="50">
        <v>44756</v>
      </c>
      <c r="B927" s="2">
        <v>926</v>
      </c>
      <c r="C927" s="4">
        <v>597818.13</v>
      </c>
      <c r="D927" s="4">
        <f t="shared" si="154"/>
        <v>479242.79000000004</v>
      </c>
      <c r="E927" s="2">
        <f t="shared" si="155"/>
        <v>126401.2875243884</v>
      </c>
      <c r="F927" s="2">
        <f t="shared" si="156"/>
        <v>118575.33999999997</v>
      </c>
      <c r="G927" s="4">
        <f t="shared" si="157"/>
        <v>528897.79333333333</v>
      </c>
      <c r="H927" s="2">
        <f t="shared" si="161"/>
        <v>80083.450399641995</v>
      </c>
      <c r="I927" s="2">
        <f t="shared" si="162"/>
        <v>68920.33666666667</v>
      </c>
      <c r="J927" s="4">
        <f t="shared" si="159"/>
        <v>404228.3125</v>
      </c>
      <c r="K927" s="2">
        <f t="shared" si="163"/>
        <v>395102.40594744741</v>
      </c>
      <c r="L927" s="2">
        <f t="shared" si="164"/>
        <v>193589.8175</v>
      </c>
      <c r="N927" s="4">
        <f t="shared" si="158"/>
        <v>407024.43815</v>
      </c>
      <c r="O927" s="2">
        <f t="shared" si="160"/>
        <v>190793.69185</v>
      </c>
    </row>
    <row r="928" spans="1:15" x14ac:dyDescent="0.3">
      <c r="A928" s="50">
        <v>44757</v>
      </c>
      <c r="B928" s="2">
        <v>927</v>
      </c>
      <c r="C928" s="4">
        <v>496019.37</v>
      </c>
      <c r="D928" s="4">
        <f t="shared" si="154"/>
        <v>546918.75</v>
      </c>
      <c r="E928" s="2">
        <f t="shared" si="155"/>
        <v>91243.78921466379</v>
      </c>
      <c r="F928" s="2">
        <f t="shared" si="156"/>
        <v>50899.380000000005</v>
      </c>
      <c r="G928" s="4">
        <f t="shared" si="157"/>
        <v>484834.9833333334</v>
      </c>
      <c r="H928" s="2">
        <f t="shared" si="161"/>
        <v>42090.400677623766</v>
      </c>
      <c r="I928" s="2">
        <f t="shared" si="162"/>
        <v>11184.3866666666</v>
      </c>
      <c r="J928" s="4">
        <f t="shared" si="159"/>
        <v>520678.1875</v>
      </c>
      <c r="K928" s="2">
        <f t="shared" si="163"/>
        <v>116436.79097503732</v>
      </c>
      <c r="L928" s="2">
        <f t="shared" si="164"/>
        <v>24658.817500000005</v>
      </c>
      <c r="N928" s="4">
        <f t="shared" si="158"/>
        <v>498971.80480000004</v>
      </c>
      <c r="O928" s="2">
        <f t="shared" si="160"/>
        <v>2952.4348000000464</v>
      </c>
    </row>
    <row r="929" spans="1:15" x14ac:dyDescent="0.3">
      <c r="A929" s="50">
        <v>44758</v>
      </c>
      <c r="B929" s="2">
        <v>928</v>
      </c>
      <c r="C929" s="4">
        <v>1315968.3999999999</v>
      </c>
      <c r="D929" s="4">
        <f t="shared" si="154"/>
        <v>905993.88500000001</v>
      </c>
      <c r="E929" s="2">
        <f t="shared" si="155"/>
        <v>292121.42153038824</v>
      </c>
      <c r="F929" s="2">
        <f t="shared" si="156"/>
        <v>409974.5149999999</v>
      </c>
      <c r="G929" s="4">
        <f t="shared" si="157"/>
        <v>803268.6333333333</v>
      </c>
      <c r="H929" s="2">
        <f t="shared" si="161"/>
        <v>298739.66037974186</v>
      </c>
      <c r="I929" s="2">
        <f t="shared" si="162"/>
        <v>512699.7666666666</v>
      </c>
      <c r="J929" s="4">
        <f t="shared" si="159"/>
        <v>692618.33750000002</v>
      </c>
      <c r="K929" s="2">
        <f t="shared" si="163"/>
        <v>331337.99383807066</v>
      </c>
      <c r="L929" s="2">
        <f t="shared" si="164"/>
        <v>623350.06249999988</v>
      </c>
      <c r="N929" s="4">
        <f t="shared" si="158"/>
        <v>511542.39580000006</v>
      </c>
      <c r="O929" s="2">
        <f t="shared" si="160"/>
        <v>804426.00419999985</v>
      </c>
    </row>
    <row r="930" spans="1:15" x14ac:dyDescent="0.3">
      <c r="A930" s="50">
        <v>44759</v>
      </c>
      <c r="B930" s="2">
        <v>929</v>
      </c>
      <c r="C930" s="4">
        <v>1433528.3</v>
      </c>
      <c r="D930" s="4">
        <f t="shared" si="154"/>
        <v>1374748.35</v>
      </c>
      <c r="E930" s="2">
        <f t="shared" si="155"/>
        <v>292860.19315663888</v>
      </c>
      <c r="F930" s="2">
        <f t="shared" si="156"/>
        <v>58779.949999999953</v>
      </c>
      <c r="G930" s="4">
        <f t="shared" si="157"/>
        <v>1081838.6900000002</v>
      </c>
      <c r="H930" s="2">
        <f t="shared" si="161"/>
        <v>359013.33449103526</v>
      </c>
      <c r="I930" s="2">
        <f t="shared" si="162"/>
        <v>351689.60999999987</v>
      </c>
      <c r="J930" s="4">
        <f t="shared" si="159"/>
        <v>960833.55</v>
      </c>
      <c r="K930" s="2">
        <f t="shared" si="163"/>
        <v>403141.01187317137</v>
      </c>
      <c r="L930" s="2">
        <f t="shared" si="164"/>
        <v>472694.75</v>
      </c>
      <c r="N930" s="4">
        <f t="shared" si="158"/>
        <v>793098.02225000004</v>
      </c>
      <c r="O930" s="2">
        <f t="shared" si="160"/>
        <v>640430.27775000001</v>
      </c>
    </row>
    <row r="931" spans="1:15" x14ac:dyDescent="0.3">
      <c r="A931" s="50">
        <v>44760</v>
      </c>
      <c r="B931" s="2">
        <v>930</v>
      </c>
      <c r="C931" s="4">
        <v>242931.69999999998</v>
      </c>
      <c r="D931" s="4">
        <f t="shared" si="154"/>
        <v>838230</v>
      </c>
      <c r="E931" s="2">
        <f t="shared" si="155"/>
        <v>422986.49417262286</v>
      </c>
      <c r="F931" s="2">
        <f t="shared" si="156"/>
        <v>595298.30000000005</v>
      </c>
      <c r="G931" s="4">
        <f t="shared" si="157"/>
        <v>997476.13333333342</v>
      </c>
      <c r="H931" s="2">
        <f t="shared" si="161"/>
        <v>564471.41480513359</v>
      </c>
      <c r="I931" s="2">
        <f t="shared" si="162"/>
        <v>754544.43333333347</v>
      </c>
      <c r="J931" s="4">
        <f t="shared" si="159"/>
        <v>872111.94250000012</v>
      </c>
      <c r="K931" s="2">
        <f t="shared" si="163"/>
        <v>502115.88849815674</v>
      </c>
      <c r="L931" s="2">
        <f t="shared" si="164"/>
        <v>629180.24250000017</v>
      </c>
      <c r="N931" s="4">
        <f t="shared" si="158"/>
        <v>1174962.1799000001</v>
      </c>
      <c r="O931" s="2">
        <f t="shared" si="160"/>
        <v>932030.47990000015</v>
      </c>
    </row>
    <row r="932" spans="1:15" x14ac:dyDescent="0.3">
      <c r="A932" s="50">
        <v>44761</v>
      </c>
      <c r="B932" s="2">
        <v>931</v>
      </c>
      <c r="C932" s="4">
        <v>72322.920000000013</v>
      </c>
      <c r="D932" s="4">
        <f t="shared" si="154"/>
        <v>157627.31</v>
      </c>
      <c r="E932" s="2">
        <f t="shared" si="155"/>
        <v>425239.2884812986</v>
      </c>
      <c r="F932" s="2">
        <f t="shared" si="156"/>
        <v>85304.389999999985</v>
      </c>
      <c r="G932" s="4">
        <f t="shared" si="157"/>
        <v>582927.64</v>
      </c>
      <c r="H932" s="2">
        <f t="shared" si="161"/>
        <v>563838.05705259962</v>
      </c>
      <c r="I932" s="2">
        <f t="shared" si="162"/>
        <v>510604.72</v>
      </c>
      <c r="J932" s="4">
        <f t="shared" si="159"/>
        <v>766187.83000000007</v>
      </c>
      <c r="K932" s="2">
        <f t="shared" si="163"/>
        <v>610188.88837350672</v>
      </c>
      <c r="L932" s="2">
        <f t="shared" si="164"/>
        <v>693864.91</v>
      </c>
      <c r="N932" s="4">
        <f t="shared" si="158"/>
        <v>1008815.2609999999</v>
      </c>
      <c r="O932" s="2">
        <f t="shared" si="160"/>
        <v>936492.3409999999</v>
      </c>
    </row>
    <row r="933" spans="1:15" x14ac:dyDescent="0.3">
      <c r="A933" s="50">
        <v>44762</v>
      </c>
      <c r="B933" s="2">
        <v>932</v>
      </c>
      <c r="C933" s="4">
        <v>422732.05000000005</v>
      </c>
      <c r="D933" s="4">
        <f t="shared" si="154"/>
        <v>247527.48500000004</v>
      </c>
      <c r="E933" s="2">
        <f t="shared" si="155"/>
        <v>137792.37741999977</v>
      </c>
      <c r="F933" s="2">
        <f t="shared" si="156"/>
        <v>175204.565</v>
      </c>
      <c r="G933" s="4">
        <f t="shared" si="157"/>
        <v>245995.55666666667</v>
      </c>
      <c r="H933" s="2">
        <f t="shared" si="161"/>
        <v>535814.10645744263</v>
      </c>
      <c r="I933" s="2">
        <f t="shared" si="162"/>
        <v>176736.49333333338</v>
      </c>
      <c r="J933" s="4">
        <f t="shared" si="159"/>
        <v>542878.74249999993</v>
      </c>
      <c r="K933" s="2">
        <f t="shared" si="163"/>
        <v>528013.22078095714</v>
      </c>
      <c r="L933" s="2">
        <f t="shared" si="164"/>
        <v>120146.69249999989</v>
      </c>
      <c r="N933" s="4">
        <f t="shared" si="158"/>
        <v>447709.01070000004</v>
      </c>
      <c r="O933" s="2">
        <f t="shared" si="160"/>
        <v>24976.960699999996</v>
      </c>
    </row>
    <row r="934" spans="1:15" x14ac:dyDescent="0.3">
      <c r="A934" s="50">
        <v>44763</v>
      </c>
      <c r="B934" s="2">
        <v>933</v>
      </c>
      <c r="C934" s="4">
        <v>572627.19999999995</v>
      </c>
      <c r="D934" s="4">
        <f t="shared" si="154"/>
        <v>497679.625</v>
      </c>
      <c r="E934" s="2">
        <f t="shared" si="155"/>
        <v>134747.5020087939</v>
      </c>
      <c r="F934" s="2">
        <f t="shared" si="156"/>
        <v>74947.574999999953</v>
      </c>
      <c r="G934" s="4">
        <f t="shared" si="157"/>
        <v>355894.05666666664</v>
      </c>
      <c r="H934" s="2">
        <f t="shared" si="161"/>
        <v>336118.14568748936</v>
      </c>
      <c r="I934" s="2">
        <f t="shared" si="162"/>
        <v>216733.14333333331</v>
      </c>
      <c r="J934" s="4">
        <f t="shared" si="159"/>
        <v>327653.46750000003</v>
      </c>
      <c r="K934" s="2">
        <f t="shared" si="163"/>
        <v>487791.87370622996</v>
      </c>
      <c r="L934" s="2">
        <f t="shared" si="164"/>
        <v>244973.73249999993</v>
      </c>
      <c r="N934" s="4">
        <f t="shared" si="158"/>
        <v>227243.91015000001</v>
      </c>
      <c r="O934" s="2">
        <f t="shared" si="160"/>
        <v>345383.28984999994</v>
      </c>
    </row>
    <row r="935" spans="1:15" x14ac:dyDescent="0.3">
      <c r="A935" s="50">
        <v>44764</v>
      </c>
      <c r="B935" s="2">
        <v>934</v>
      </c>
      <c r="C935" s="4">
        <v>164756.13</v>
      </c>
      <c r="D935" s="4">
        <f t="shared" si="154"/>
        <v>368691.66499999998</v>
      </c>
      <c r="E935" s="2">
        <f t="shared" si="155"/>
        <v>153634.04803967907</v>
      </c>
      <c r="F935" s="2">
        <f t="shared" si="156"/>
        <v>203935.53499999997</v>
      </c>
      <c r="G935" s="4">
        <f t="shared" si="157"/>
        <v>386705.12666666665</v>
      </c>
      <c r="H935" s="2">
        <f t="shared" si="161"/>
        <v>206131.3502084295</v>
      </c>
      <c r="I935" s="2">
        <f t="shared" si="162"/>
        <v>221948.99666666664</v>
      </c>
      <c r="J935" s="4">
        <f t="shared" si="159"/>
        <v>308109.57499999995</v>
      </c>
      <c r="K935" s="2">
        <f t="shared" si="163"/>
        <v>379620.23156582005</v>
      </c>
      <c r="L935" s="2">
        <f t="shared" si="164"/>
        <v>143353.44499999995</v>
      </c>
      <c r="N935" s="4">
        <f t="shared" si="158"/>
        <v>395856.91664999997</v>
      </c>
      <c r="O935" s="2">
        <f t="shared" si="160"/>
        <v>231100.78664999997</v>
      </c>
    </row>
    <row r="936" spans="1:15" x14ac:dyDescent="0.3">
      <c r="A936" s="50">
        <v>44765</v>
      </c>
      <c r="B936" s="2">
        <v>935</v>
      </c>
      <c r="C936" s="4">
        <v>16476.78</v>
      </c>
      <c r="D936" s="4">
        <f t="shared" si="154"/>
        <v>90616.455000000002</v>
      </c>
      <c r="E936" s="2">
        <f t="shared" si="155"/>
        <v>153437.9253066885</v>
      </c>
      <c r="F936" s="2">
        <f t="shared" si="156"/>
        <v>74139.675000000003</v>
      </c>
      <c r="G936" s="4">
        <f t="shared" si="157"/>
        <v>251286.70333333334</v>
      </c>
      <c r="H936" s="2">
        <f t="shared" si="161"/>
        <v>224625.846417469</v>
      </c>
      <c r="I936" s="2">
        <f t="shared" si="162"/>
        <v>234809.92333333334</v>
      </c>
      <c r="J936" s="4">
        <f t="shared" si="159"/>
        <v>294148.03999999998</v>
      </c>
      <c r="K936" s="2">
        <f t="shared" si="163"/>
        <v>207424.01991875644</v>
      </c>
      <c r="L936" s="2">
        <f t="shared" si="164"/>
        <v>277671.26</v>
      </c>
      <c r="N936" s="4">
        <f t="shared" si="158"/>
        <v>403013.45854999998</v>
      </c>
      <c r="O936" s="2">
        <f t="shared" si="160"/>
        <v>386536.67854999995</v>
      </c>
    </row>
    <row r="937" spans="1:15" x14ac:dyDescent="0.3">
      <c r="A937" s="50">
        <v>44766</v>
      </c>
      <c r="B937" s="2">
        <v>936</v>
      </c>
      <c r="C937" s="4">
        <v>4209361.5999999996</v>
      </c>
      <c r="D937" s="4">
        <f t="shared" si="154"/>
        <v>2112919.19</v>
      </c>
      <c r="E937" s="2">
        <f t="shared" si="155"/>
        <v>1483335.3413600905</v>
      </c>
      <c r="F937" s="2">
        <f t="shared" si="156"/>
        <v>2096442.4099999997</v>
      </c>
      <c r="G937" s="4">
        <f t="shared" si="157"/>
        <v>1463531.5033333332</v>
      </c>
      <c r="H937" s="2">
        <f t="shared" si="161"/>
        <v>1596243.5045002399</v>
      </c>
      <c r="I937" s="2">
        <f t="shared" si="162"/>
        <v>2745830.0966666667</v>
      </c>
      <c r="J937" s="4">
        <f t="shared" si="159"/>
        <v>1240805.4275</v>
      </c>
      <c r="K937" s="2">
        <f t="shared" si="163"/>
        <v>1497497.029857337</v>
      </c>
      <c r="L937" s="2">
        <f t="shared" si="164"/>
        <v>2968556.1724999994</v>
      </c>
      <c r="N937" s="4">
        <f t="shared" si="158"/>
        <v>204814.18315</v>
      </c>
      <c r="O937" s="2">
        <f t="shared" si="160"/>
        <v>4004547.4168499997</v>
      </c>
    </row>
    <row r="938" spans="1:15" x14ac:dyDescent="0.3">
      <c r="A938" s="50">
        <v>44767</v>
      </c>
      <c r="B938" s="2">
        <v>937</v>
      </c>
      <c r="C938" s="4">
        <v>467568.78</v>
      </c>
      <c r="D938" s="4">
        <f t="shared" si="154"/>
        <v>2338465.19</v>
      </c>
      <c r="E938" s="2">
        <f t="shared" si="155"/>
        <v>1986872.4361918021</v>
      </c>
      <c r="F938" s="2">
        <f t="shared" si="156"/>
        <v>1870896.41</v>
      </c>
      <c r="G938" s="4">
        <f t="shared" si="157"/>
        <v>1564469.0533333335</v>
      </c>
      <c r="H938" s="2">
        <f t="shared" si="161"/>
        <v>1712494.168310754</v>
      </c>
      <c r="I938" s="2">
        <f t="shared" si="162"/>
        <v>1096900.2733333334</v>
      </c>
      <c r="J938" s="4">
        <f t="shared" si="159"/>
        <v>1214540.8225</v>
      </c>
      <c r="K938" s="2">
        <f t="shared" si="163"/>
        <v>1538501.2609994689</v>
      </c>
      <c r="L938" s="2">
        <f t="shared" si="164"/>
        <v>746972.04249999998</v>
      </c>
      <c r="N938" s="4">
        <f t="shared" si="158"/>
        <v>1453714.6517</v>
      </c>
      <c r="O938" s="2">
        <f t="shared" si="160"/>
        <v>986145.87170000002</v>
      </c>
    </row>
    <row r="939" spans="1:15" x14ac:dyDescent="0.3">
      <c r="A939" s="50">
        <v>44768</v>
      </c>
      <c r="B939" s="2">
        <v>938</v>
      </c>
      <c r="C939" s="4">
        <v>2637661.69</v>
      </c>
      <c r="D939" s="4">
        <f t="shared" si="154"/>
        <v>1552615.2349999999</v>
      </c>
      <c r="E939" s="2">
        <f t="shared" si="155"/>
        <v>1529310.1690728005</v>
      </c>
      <c r="F939" s="2">
        <f t="shared" si="156"/>
        <v>1085046.4550000001</v>
      </c>
      <c r="G939" s="4">
        <f t="shared" si="157"/>
        <v>2438197.3566666669</v>
      </c>
      <c r="H939" s="2">
        <f t="shared" si="161"/>
        <v>1710999.6249435912</v>
      </c>
      <c r="I939" s="2">
        <f t="shared" si="162"/>
        <v>199464.33333333302</v>
      </c>
      <c r="J939" s="4">
        <f t="shared" si="159"/>
        <v>1832767.2124999999</v>
      </c>
      <c r="K939" s="2">
        <f t="shared" si="163"/>
        <v>1588651.1125876924</v>
      </c>
      <c r="L939" s="2">
        <f t="shared" si="164"/>
        <v>804894.47750000004</v>
      </c>
      <c r="N939" s="4">
        <f t="shared" si="158"/>
        <v>2033426.3449000001</v>
      </c>
      <c r="O939" s="2">
        <f t="shared" si="160"/>
        <v>604235.3450999998</v>
      </c>
    </row>
    <row r="940" spans="1:15" x14ac:dyDescent="0.3">
      <c r="A940" s="50">
        <v>44769</v>
      </c>
      <c r="B940" s="2">
        <v>939</v>
      </c>
      <c r="C940" s="4">
        <v>1342262.24</v>
      </c>
      <c r="D940" s="4">
        <f t="shared" si="154"/>
        <v>1989961.9649999999</v>
      </c>
      <c r="E940" s="2">
        <f t="shared" si="155"/>
        <v>893543.7155710801</v>
      </c>
      <c r="F940" s="2">
        <f t="shared" si="156"/>
        <v>647699.72499999986</v>
      </c>
      <c r="G940" s="4">
        <f t="shared" si="157"/>
        <v>1482497.57</v>
      </c>
      <c r="H940" s="2">
        <f t="shared" si="161"/>
        <v>648753.20877589541</v>
      </c>
      <c r="I940" s="2">
        <f t="shared" si="162"/>
        <v>140235.33000000007</v>
      </c>
      <c r="J940" s="4">
        <f t="shared" si="159"/>
        <v>2164213.5775000001</v>
      </c>
      <c r="K940" s="2">
        <f t="shared" si="163"/>
        <v>1635065.1441680011</v>
      </c>
      <c r="L940" s="2">
        <f t="shared" si="164"/>
        <v>821951.33750000014</v>
      </c>
      <c r="N940" s="4">
        <f t="shared" si="158"/>
        <v>2017744.32525</v>
      </c>
      <c r="O940" s="2">
        <f t="shared" si="160"/>
        <v>675482.08525</v>
      </c>
    </row>
    <row r="941" spans="1:15" x14ac:dyDescent="0.3">
      <c r="A941" s="50">
        <v>44770</v>
      </c>
      <c r="B941" s="2">
        <v>940</v>
      </c>
      <c r="C941" s="4">
        <v>670110</v>
      </c>
      <c r="D941" s="4">
        <f t="shared" si="154"/>
        <v>1006186.12</v>
      </c>
      <c r="E941" s="2">
        <f t="shared" si="155"/>
        <v>515975.81929744047</v>
      </c>
      <c r="F941" s="2">
        <f t="shared" si="156"/>
        <v>336076.12</v>
      </c>
      <c r="G941" s="4">
        <f t="shared" si="157"/>
        <v>1550011.3099999998</v>
      </c>
      <c r="H941" s="2">
        <f t="shared" si="161"/>
        <v>527155.34819508239</v>
      </c>
      <c r="I941" s="2">
        <f t="shared" si="162"/>
        <v>879901.30999999982</v>
      </c>
      <c r="J941" s="4">
        <f t="shared" si="159"/>
        <v>1279400.6775</v>
      </c>
      <c r="K941" s="2">
        <f t="shared" si="163"/>
        <v>750443.44941725431</v>
      </c>
      <c r="L941" s="2">
        <f t="shared" si="164"/>
        <v>609290.67749999999</v>
      </c>
      <c r="N941" s="4">
        <f t="shared" si="158"/>
        <v>1726282.43405</v>
      </c>
      <c r="O941" s="2">
        <f t="shared" si="160"/>
        <v>1056172.43405</v>
      </c>
    </row>
    <row r="942" spans="1:15" x14ac:dyDescent="0.3">
      <c r="A942" s="50">
        <v>44771</v>
      </c>
      <c r="B942" s="2">
        <v>941</v>
      </c>
      <c r="C942" s="4">
        <v>443828.27999999997</v>
      </c>
      <c r="D942" s="4">
        <f t="shared" si="154"/>
        <v>556969.14</v>
      </c>
      <c r="E942" s="2">
        <f t="shared" si="155"/>
        <v>250746.8969257586</v>
      </c>
      <c r="F942" s="2">
        <f t="shared" si="156"/>
        <v>113140.86000000004</v>
      </c>
      <c r="G942" s="4">
        <f t="shared" si="157"/>
        <v>818733.50666666671</v>
      </c>
      <c r="H942" s="2">
        <f t="shared" si="161"/>
        <v>558105.782118381</v>
      </c>
      <c r="I942" s="2">
        <f t="shared" si="162"/>
        <v>374905.22666666674</v>
      </c>
      <c r="J942" s="4">
        <f t="shared" si="159"/>
        <v>1273465.5525</v>
      </c>
      <c r="K942" s="2">
        <f t="shared" si="163"/>
        <v>771847.17637912056</v>
      </c>
      <c r="L942" s="2">
        <f t="shared" si="164"/>
        <v>829637.27249999996</v>
      </c>
      <c r="N942" s="4">
        <f t="shared" si="158"/>
        <v>1402079.1186000002</v>
      </c>
      <c r="O942" s="2">
        <f t="shared" si="160"/>
        <v>958250.83860000013</v>
      </c>
    </row>
    <row r="943" spans="1:15" x14ac:dyDescent="0.3">
      <c r="A943" s="50">
        <v>44772</v>
      </c>
      <c r="B943" s="2">
        <v>942</v>
      </c>
      <c r="C943" s="4">
        <v>1933746</v>
      </c>
      <c r="D943" s="4">
        <f t="shared" si="154"/>
        <v>1188787.1399999999</v>
      </c>
      <c r="E943" s="2">
        <f t="shared" si="155"/>
        <v>532806.04223959369</v>
      </c>
      <c r="F943" s="2">
        <f t="shared" si="156"/>
        <v>744958.8600000001</v>
      </c>
      <c r="G943" s="4">
        <f t="shared" si="157"/>
        <v>1015894.7600000001</v>
      </c>
      <c r="H943" s="2">
        <f t="shared" si="161"/>
        <v>765338.95390457287</v>
      </c>
      <c r="I943" s="2">
        <f t="shared" si="162"/>
        <v>917851.23999999987</v>
      </c>
      <c r="J943" s="4">
        <f t="shared" si="159"/>
        <v>1097486.6299999999</v>
      </c>
      <c r="K943" s="2">
        <f t="shared" si="163"/>
        <v>780138.90890348563</v>
      </c>
      <c r="L943" s="2">
        <f t="shared" si="164"/>
        <v>836259.37000000011</v>
      </c>
      <c r="N943" s="4">
        <f t="shared" si="158"/>
        <v>742179.11660000007</v>
      </c>
      <c r="O943" s="2">
        <f t="shared" si="160"/>
        <v>1191566.8833999999</v>
      </c>
    </row>
    <row r="944" spans="1:15" x14ac:dyDescent="0.3">
      <c r="A944" s="50">
        <v>44773</v>
      </c>
      <c r="B944" s="2">
        <v>943</v>
      </c>
      <c r="C944" s="4">
        <v>58433.79</v>
      </c>
      <c r="D944" s="4">
        <f t="shared" si="154"/>
        <v>996089.89500000002</v>
      </c>
      <c r="E944" s="2">
        <f t="shared" si="155"/>
        <v>846806.55238852242</v>
      </c>
      <c r="F944" s="2">
        <f t="shared" si="156"/>
        <v>937656.10499999998</v>
      </c>
      <c r="G944" s="4">
        <f t="shared" si="157"/>
        <v>812002.69</v>
      </c>
      <c r="H944" s="2">
        <f t="shared" si="161"/>
        <v>718997.19860342809</v>
      </c>
      <c r="I944" s="2">
        <f t="shared" si="162"/>
        <v>753568.89999999991</v>
      </c>
      <c r="J944" s="4">
        <f t="shared" si="159"/>
        <v>776529.51750000007</v>
      </c>
      <c r="K944" s="2">
        <f t="shared" si="163"/>
        <v>754076.31267932686</v>
      </c>
      <c r="L944" s="2">
        <f t="shared" si="164"/>
        <v>718095.72750000004</v>
      </c>
      <c r="N944" s="4">
        <f t="shared" si="158"/>
        <v>992732.69460000005</v>
      </c>
      <c r="O944" s="2">
        <f t="shared" si="160"/>
        <v>934298.90460000001</v>
      </c>
    </row>
    <row r="945" spans="1:15" x14ac:dyDescent="0.3">
      <c r="A945" s="50">
        <v>44774</v>
      </c>
      <c r="B945" s="2">
        <v>944</v>
      </c>
      <c r="C945" s="4">
        <v>1355110.68</v>
      </c>
      <c r="D945" s="4">
        <f t="shared" si="154"/>
        <v>706772.23499999999</v>
      </c>
      <c r="E945" s="2">
        <f t="shared" si="155"/>
        <v>806083.6527646461</v>
      </c>
      <c r="F945" s="2">
        <f t="shared" si="156"/>
        <v>648338.44499999995</v>
      </c>
      <c r="G945" s="4">
        <f t="shared" si="157"/>
        <v>1115763.49</v>
      </c>
      <c r="H945" s="2">
        <f t="shared" si="161"/>
        <v>699429.30621510826</v>
      </c>
      <c r="I945" s="2">
        <f t="shared" si="162"/>
        <v>239347.18999999994</v>
      </c>
      <c r="J945" s="4">
        <f t="shared" si="159"/>
        <v>947779.6875</v>
      </c>
      <c r="K945" s="2">
        <f t="shared" si="163"/>
        <v>719237.05221902078</v>
      </c>
      <c r="L945" s="2">
        <f t="shared" si="164"/>
        <v>407330.99249999993</v>
      </c>
      <c r="N945" s="4">
        <f t="shared" si="158"/>
        <v>977734.51125000021</v>
      </c>
      <c r="O945" s="2">
        <f t="shared" si="160"/>
        <v>377376.16874999972</v>
      </c>
    </row>
    <row r="946" spans="1:15" x14ac:dyDescent="0.3">
      <c r="A946" s="50">
        <v>44775</v>
      </c>
      <c r="B946" s="2">
        <v>945</v>
      </c>
      <c r="C946" s="4">
        <v>14498.82</v>
      </c>
      <c r="D946" s="4">
        <f t="shared" si="154"/>
        <v>684804.75</v>
      </c>
      <c r="E946" s="2">
        <f t="shared" si="155"/>
        <v>659413.67102077242</v>
      </c>
      <c r="F946" s="2">
        <f t="shared" si="156"/>
        <v>670305.93000000005</v>
      </c>
      <c r="G946" s="4">
        <f t="shared" si="157"/>
        <v>476014.43</v>
      </c>
      <c r="H946" s="2">
        <f t="shared" si="161"/>
        <v>528567.18988909945</v>
      </c>
      <c r="I946" s="2">
        <f t="shared" si="162"/>
        <v>461515.61</v>
      </c>
      <c r="J946" s="4">
        <f t="shared" si="159"/>
        <v>840447.32249999989</v>
      </c>
      <c r="K946" s="2">
        <f t="shared" si="163"/>
        <v>718174.88712701085</v>
      </c>
      <c r="L946" s="2">
        <f t="shared" si="164"/>
        <v>825948.50249999994</v>
      </c>
      <c r="N946" s="4">
        <f t="shared" si="158"/>
        <v>905389.23435000004</v>
      </c>
      <c r="O946" s="2">
        <f t="shared" si="160"/>
        <v>890890.41435000009</v>
      </c>
    </row>
    <row r="947" spans="1:15" x14ac:dyDescent="0.3">
      <c r="A947" s="50">
        <v>44776</v>
      </c>
      <c r="B947" s="2">
        <v>946</v>
      </c>
      <c r="C947" s="4">
        <v>704856</v>
      </c>
      <c r="D947" s="4">
        <f t="shared" si="154"/>
        <v>359677.41</v>
      </c>
      <c r="E947" s="2">
        <f t="shared" si="155"/>
        <v>533131.45601603412</v>
      </c>
      <c r="F947" s="2">
        <f t="shared" si="156"/>
        <v>345178.59</v>
      </c>
      <c r="G947" s="4">
        <f t="shared" si="157"/>
        <v>691488.5</v>
      </c>
      <c r="H947" s="2">
        <f t="shared" si="161"/>
        <v>300256.79325693764</v>
      </c>
      <c r="I947" s="2">
        <f t="shared" si="162"/>
        <v>13367.5</v>
      </c>
      <c r="J947" s="4">
        <f t="shared" si="159"/>
        <v>533224.82250000001</v>
      </c>
      <c r="K947" s="2">
        <f t="shared" si="163"/>
        <v>590175.44026687916</v>
      </c>
      <c r="L947" s="2">
        <f t="shared" si="164"/>
        <v>171631.17749999999</v>
      </c>
      <c r="N947" s="4">
        <f t="shared" si="158"/>
        <v>620736.79110000003</v>
      </c>
      <c r="O947" s="2">
        <f t="shared" si="160"/>
        <v>84119.208899999969</v>
      </c>
    </row>
    <row r="948" spans="1:15" x14ac:dyDescent="0.3">
      <c r="A948" s="50">
        <v>44777</v>
      </c>
      <c r="B948" s="2">
        <v>947</v>
      </c>
      <c r="C948" s="4">
        <v>14019.460000000001</v>
      </c>
      <c r="D948" s="4">
        <f t="shared" si="154"/>
        <v>359437.73</v>
      </c>
      <c r="E948" s="2">
        <f t="shared" si="155"/>
        <v>345298.45079596073</v>
      </c>
      <c r="F948" s="2">
        <f t="shared" si="156"/>
        <v>345418.26999999996</v>
      </c>
      <c r="G948" s="4">
        <f t="shared" si="157"/>
        <v>244458.09333333329</v>
      </c>
      <c r="H948" s="2">
        <f t="shared" si="161"/>
        <v>297924.66165260441</v>
      </c>
      <c r="I948" s="2">
        <f t="shared" si="162"/>
        <v>230438.6333333333</v>
      </c>
      <c r="J948" s="4">
        <f t="shared" si="159"/>
        <v>522121.24</v>
      </c>
      <c r="K948" s="2">
        <f t="shared" si="163"/>
        <v>532854.14190053742</v>
      </c>
      <c r="L948" s="2">
        <f t="shared" si="164"/>
        <v>508101.77999999997</v>
      </c>
      <c r="N948" s="4">
        <f t="shared" si="158"/>
        <v>540703.0845</v>
      </c>
      <c r="O948" s="2">
        <f t="shared" si="160"/>
        <v>526683.62450000003</v>
      </c>
    </row>
    <row r="949" spans="1:15" x14ac:dyDescent="0.3">
      <c r="A949" s="50">
        <v>44778</v>
      </c>
      <c r="B949" s="2">
        <v>948</v>
      </c>
      <c r="C949" s="4">
        <v>318009.90000000002</v>
      </c>
      <c r="D949" s="4">
        <f t="shared" si="154"/>
        <v>166014.68000000002</v>
      </c>
      <c r="E949" s="2">
        <f t="shared" si="155"/>
        <v>266848.57892880117</v>
      </c>
      <c r="F949" s="2">
        <f t="shared" si="156"/>
        <v>151995.22</v>
      </c>
      <c r="G949" s="4">
        <f t="shared" si="157"/>
        <v>345628.45333333331</v>
      </c>
      <c r="H949" s="2">
        <f t="shared" si="161"/>
        <v>134218.02943595246</v>
      </c>
      <c r="I949" s="2">
        <f t="shared" si="162"/>
        <v>27618.553333333286</v>
      </c>
      <c r="J949" s="4">
        <f t="shared" si="159"/>
        <v>262846.04499999998</v>
      </c>
      <c r="K949" s="2">
        <f t="shared" si="163"/>
        <v>493167.98852157325</v>
      </c>
      <c r="L949" s="2">
        <f t="shared" si="164"/>
        <v>55163.85500000004</v>
      </c>
      <c r="N949" s="4">
        <f t="shared" si="158"/>
        <v>321547.17950000003</v>
      </c>
      <c r="O949" s="2">
        <f t="shared" si="160"/>
        <v>3537.2795000000042</v>
      </c>
    </row>
    <row r="950" spans="1:15" x14ac:dyDescent="0.3">
      <c r="A950" s="50">
        <v>44779</v>
      </c>
      <c r="B950" s="2">
        <v>949</v>
      </c>
      <c r="C950" s="4">
        <v>357678.10000000003</v>
      </c>
      <c r="D950" s="4">
        <f t="shared" si="154"/>
        <v>337844</v>
      </c>
      <c r="E950" s="2">
        <f t="shared" si="155"/>
        <v>108388.04921590387</v>
      </c>
      <c r="F950" s="2">
        <f t="shared" si="156"/>
        <v>19834.100000000035</v>
      </c>
      <c r="G950" s="4">
        <f t="shared" si="157"/>
        <v>229902.48666666669</v>
      </c>
      <c r="H950" s="2">
        <f t="shared" si="161"/>
        <v>152961.1667313746</v>
      </c>
      <c r="I950" s="2">
        <f t="shared" si="162"/>
        <v>127775.61333333334</v>
      </c>
      <c r="J950" s="4">
        <f t="shared" si="159"/>
        <v>348640.86499999999</v>
      </c>
      <c r="K950" s="2">
        <f t="shared" si="163"/>
        <v>269605.91724038217</v>
      </c>
      <c r="L950" s="2">
        <f t="shared" si="164"/>
        <v>9037.2350000000442</v>
      </c>
      <c r="N950" s="4">
        <f t="shared" si="158"/>
        <v>267840.29620000004</v>
      </c>
      <c r="O950" s="2">
        <f t="shared" si="160"/>
        <v>89837.803799999994</v>
      </c>
    </row>
    <row r="951" spans="1:15" x14ac:dyDescent="0.3">
      <c r="A951" s="50">
        <v>44780</v>
      </c>
      <c r="B951" s="2">
        <v>950</v>
      </c>
      <c r="C951" s="4">
        <v>1502067.52</v>
      </c>
      <c r="D951" s="4">
        <f t="shared" si="154"/>
        <v>929872.81</v>
      </c>
      <c r="E951" s="2">
        <f t="shared" si="155"/>
        <v>404845.75931754184</v>
      </c>
      <c r="F951" s="2">
        <f t="shared" si="156"/>
        <v>572194.71</v>
      </c>
      <c r="G951" s="4">
        <f t="shared" si="157"/>
        <v>725918.50666666671</v>
      </c>
      <c r="H951" s="2">
        <f t="shared" si="161"/>
        <v>454421.49404462316</v>
      </c>
      <c r="I951" s="2">
        <f t="shared" si="162"/>
        <v>776149.01333333331</v>
      </c>
      <c r="J951" s="4">
        <f t="shared" si="159"/>
        <v>547943.745</v>
      </c>
      <c r="K951" s="2">
        <f t="shared" si="163"/>
        <v>541212.60133480013</v>
      </c>
      <c r="L951" s="2">
        <f t="shared" si="164"/>
        <v>954123.77500000002</v>
      </c>
      <c r="N951" s="4">
        <f t="shared" si="158"/>
        <v>264420.85020000004</v>
      </c>
      <c r="O951" s="2">
        <f t="shared" si="160"/>
        <v>1237646.6698</v>
      </c>
    </row>
    <row r="952" spans="1:15" x14ac:dyDescent="0.3">
      <c r="A952" s="50">
        <v>44781</v>
      </c>
      <c r="B952" s="2">
        <v>951</v>
      </c>
      <c r="C952" s="4">
        <v>317055.48</v>
      </c>
      <c r="D952" s="4">
        <f t="shared" si="154"/>
        <v>909561.5</v>
      </c>
      <c r="E952" s="2">
        <f t="shared" si="155"/>
        <v>582438.91091179021</v>
      </c>
      <c r="F952" s="2">
        <f t="shared" si="156"/>
        <v>592506.02</v>
      </c>
      <c r="G952" s="4">
        <f t="shared" si="157"/>
        <v>725600.3666666667</v>
      </c>
      <c r="H952" s="2">
        <f t="shared" si="161"/>
        <v>511743.0418619928</v>
      </c>
      <c r="I952" s="2">
        <f t="shared" si="162"/>
        <v>408544.88666666672</v>
      </c>
      <c r="J952" s="4">
        <f t="shared" si="159"/>
        <v>623702.75</v>
      </c>
      <c r="K952" s="2">
        <f t="shared" si="163"/>
        <v>501873.85086633317</v>
      </c>
      <c r="L952" s="2">
        <f t="shared" si="164"/>
        <v>306647.27</v>
      </c>
      <c r="N952" s="4">
        <f t="shared" si="158"/>
        <v>732321.55170000007</v>
      </c>
      <c r="O952" s="2">
        <f t="shared" si="160"/>
        <v>415266.07170000009</v>
      </c>
    </row>
    <row r="953" spans="1:15" x14ac:dyDescent="0.3">
      <c r="A953" s="50">
        <v>44782</v>
      </c>
      <c r="B953" s="2">
        <v>952</v>
      </c>
      <c r="C953" s="4">
        <v>687185.84000000008</v>
      </c>
      <c r="D953" s="4">
        <f t="shared" si="154"/>
        <v>502120.66000000003</v>
      </c>
      <c r="E953" s="2">
        <f t="shared" si="155"/>
        <v>438926.24926328618</v>
      </c>
      <c r="F953" s="2">
        <f t="shared" si="156"/>
        <v>185065.18000000005</v>
      </c>
      <c r="G953" s="4">
        <f t="shared" si="157"/>
        <v>835436.27999999991</v>
      </c>
      <c r="H953" s="2">
        <f t="shared" si="161"/>
        <v>513580.37614378659</v>
      </c>
      <c r="I953" s="2">
        <f t="shared" si="162"/>
        <v>148250.43999999983</v>
      </c>
      <c r="J953" s="4">
        <f t="shared" si="159"/>
        <v>715996.7350000001</v>
      </c>
      <c r="K953" s="2">
        <f t="shared" si="163"/>
        <v>501322.36772007536</v>
      </c>
      <c r="L953" s="2">
        <f t="shared" si="164"/>
        <v>28810.895000000019</v>
      </c>
      <c r="N953" s="4">
        <f t="shared" si="158"/>
        <v>853322.81420000014</v>
      </c>
      <c r="O953" s="2">
        <f t="shared" si="160"/>
        <v>166136.97420000006</v>
      </c>
    </row>
    <row r="954" spans="1:15" x14ac:dyDescent="0.3">
      <c r="A954" s="50">
        <v>44783</v>
      </c>
      <c r="B954" s="2">
        <v>953</v>
      </c>
      <c r="C954" s="4">
        <v>2883585.05</v>
      </c>
      <c r="D954" s="4">
        <f t="shared" si="154"/>
        <v>1785385.4449999998</v>
      </c>
      <c r="E954" s="2">
        <f t="shared" si="155"/>
        <v>787493.33116877521</v>
      </c>
      <c r="F954" s="2">
        <f t="shared" si="156"/>
        <v>1098199.605</v>
      </c>
      <c r="G954" s="4">
        <f t="shared" si="157"/>
        <v>1295942.1233333333</v>
      </c>
      <c r="H954" s="2">
        <f t="shared" si="161"/>
        <v>950350.31786115083</v>
      </c>
      <c r="I954" s="2">
        <f t="shared" si="162"/>
        <v>1587642.9266666665</v>
      </c>
      <c r="J954" s="4">
        <f t="shared" si="159"/>
        <v>1347473.4724999999</v>
      </c>
      <c r="K954" s="2">
        <f t="shared" si="163"/>
        <v>917176.86031906388</v>
      </c>
      <c r="L954" s="2">
        <f t="shared" si="164"/>
        <v>1536111.5774999999</v>
      </c>
      <c r="N954" s="4">
        <f t="shared" si="158"/>
        <v>701751.79940000002</v>
      </c>
      <c r="O954" s="2">
        <f t="shared" si="160"/>
        <v>2181833.2505999999</v>
      </c>
    </row>
    <row r="955" spans="1:15" x14ac:dyDescent="0.3">
      <c r="A955" s="50">
        <v>44784</v>
      </c>
      <c r="B955" s="2">
        <v>954</v>
      </c>
      <c r="C955" s="4">
        <v>244577.3</v>
      </c>
      <c r="D955" s="4">
        <f t="shared" si="154"/>
        <v>1564081.1749999998</v>
      </c>
      <c r="E955" s="2">
        <f t="shared" si="155"/>
        <v>1213905.4428912844</v>
      </c>
      <c r="F955" s="2">
        <f t="shared" si="156"/>
        <v>1319503.8749999998</v>
      </c>
      <c r="G955" s="4">
        <f t="shared" si="157"/>
        <v>1271782.7299999997</v>
      </c>
      <c r="H955" s="2">
        <f t="shared" si="161"/>
        <v>1095101.0989822471</v>
      </c>
      <c r="I955" s="2">
        <f t="shared" si="162"/>
        <v>1027205.4299999997</v>
      </c>
      <c r="J955" s="4">
        <f t="shared" si="159"/>
        <v>1033100.9175</v>
      </c>
      <c r="K955" s="2">
        <f t="shared" si="163"/>
        <v>876965.06340816931</v>
      </c>
      <c r="L955" s="2">
        <f t="shared" si="164"/>
        <v>788523.61749999993</v>
      </c>
      <c r="N955" s="4">
        <f t="shared" si="158"/>
        <v>1341550.8961499999</v>
      </c>
      <c r="O955" s="2">
        <f t="shared" si="160"/>
        <v>1096973.5961499999</v>
      </c>
    </row>
    <row r="956" spans="1:15" x14ac:dyDescent="0.3">
      <c r="A956" s="50">
        <v>44785</v>
      </c>
      <c r="B956" s="2">
        <v>955</v>
      </c>
      <c r="C956" s="4">
        <v>610768.29</v>
      </c>
      <c r="D956" s="4">
        <f t="shared" si="154"/>
        <v>427672.79500000004</v>
      </c>
      <c r="E956" s="2">
        <f t="shared" si="155"/>
        <v>941969.86056596041</v>
      </c>
      <c r="F956" s="2">
        <f t="shared" si="156"/>
        <v>183095.495</v>
      </c>
      <c r="G956" s="4">
        <f t="shared" si="157"/>
        <v>1246310.2133333331</v>
      </c>
      <c r="H956" s="2">
        <f t="shared" si="161"/>
        <v>1151763.082456691</v>
      </c>
      <c r="I956" s="2">
        <f t="shared" si="162"/>
        <v>635541.92333333311</v>
      </c>
      <c r="J956" s="4">
        <f t="shared" si="159"/>
        <v>1106529.1199999999</v>
      </c>
      <c r="K956" s="2">
        <f t="shared" si="163"/>
        <v>898334.17252682394</v>
      </c>
      <c r="L956" s="2">
        <f t="shared" si="164"/>
        <v>495760.82999999984</v>
      </c>
      <c r="N956" s="4">
        <f t="shared" si="158"/>
        <v>1516309.6275500001</v>
      </c>
      <c r="O956" s="2">
        <f t="shared" si="160"/>
        <v>905541.33755000005</v>
      </c>
    </row>
    <row r="957" spans="1:15" x14ac:dyDescent="0.3">
      <c r="A957" s="50">
        <v>44786</v>
      </c>
      <c r="B957" s="2">
        <v>956</v>
      </c>
      <c r="C957" s="4">
        <v>2433171.0699999998</v>
      </c>
      <c r="D957" s="4">
        <f t="shared" si="154"/>
        <v>1521969.68</v>
      </c>
      <c r="E957" s="2">
        <f t="shared" si="155"/>
        <v>657195.53156850778</v>
      </c>
      <c r="F957" s="2">
        <f t="shared" si="156"/>
        <v>911201.3899999999</v>
      </c>
      <c r="G957" s="4">
        <f t="shared" si="157"/>
        <v>1096172.22</v>
      </c>
      <c r="H957" s="2">
        <f t="shared" si="161"/>
        <v>1040293.3010513651</v>
      </c>
      <c r="I957" s="2">
        <f t="shared" si="162"/>
        <v>1336998.8499999999</v>
      </c>
      <c r="J957" s="4">
        <f t="shared" si="159"/>
        <v>1543025.4274999998</v>
      </c>
      <c r="K957" s="2">
        <f t="shared" si="163"/>
        <v>1002440.3148453342</v>
      </c>
      <c r="L957" s="2">
        <f t="shared" si="164"/>
        <v>890145.64250000007</v>
      </c>
      <c r="N957" s="4">
        <f t="shared" si="158"/>
        <v>947832.98665000009</v>
      </c>
      <c r="O957" s="2">
        <f t="shared" si="160"/>
        <v>1485338.0833499997</v>
      </c>
    </row>
    <row r="958" spans="1:15" x14ac:dyDescent="0.3">
      <c r="A958" s="50">
        <v>44787</v>
      </c>
      <c r="B958" s="2">
        <v>957</v>
      </c>
      <c r="C958" s="4">
        <v>786597.44000000006</v>
      </c>
      <c r="D958" s="4">
        <f t="shared" si="154"/>
        <v>1609884.2549999999</v>
      </c>
      <c r="E958" s="2">
        <f t="shared" si="155"/>
        <v>868357.40133045905</v>
      </c>
      <c r="F958" s="2">
        <f t="shared" si="156"/>
        <v>823286.81499999983</v>
      </c>
      <c r="G958" s="4">
        <f t="shared" si="157"/>
        <v>1276845.5999999999</v>
      </c>
      <c r="H958" s="2">
        <f t="shared" si="161"/>
        <v>900337.47739369737</v>
      </c>
      <c r="I958" s="2">
        <f t="shared" si="162"/>
        <v>490248.1599999998</v>
      </c>
      <c r="J958" s="4">
        <f t="shared" si="159"/>
        <v>1018778.525</v>
      </c>
      <c r="K958" s="2">
        <f t="shared" si="163"/>
        <v>654563.9038724734</v>
      </c>
      <c r="L958" s="2">
        <f t="shared" si="164"/>
        <v>232181.08499999996</v>
      </c>
      <c r="N958" s="4">
        <f t="shared" si="158"/>
        <v>1140711.2035000001</v>
      </c>
      <c r="O958" s="2">
        <f t="shared" si="160"/>
        <v>354113.7635</v>
      </c>
    </row>
    <row r="959" spans="1:15" x14ac:dyDescent="0.3">
      <c r="A959" s="50">
        <v>44788</v>
      </c>
      <c r="B959" s="2">
        <v>958</v>
      </c>
      <c r="C959" s="4">
        <v>3356821.6</v>
      </c>
      <c r="D959" s="4">
        <f t="shared" si="154"/>
        <v>2071709.52</v>
      </c>
      <c r="E959" s="2">
        <f t="shared" si="155"/>
        <v>1079192.8089815022</v>
      </c>
      <c r="F959" s="2">
        <f t="shared" si="156"/>
        <v>1285112.08</v>
      </c>
      <c r="G959" s="4">
        <f t="shared" si="157"/>
        <v>2192196.7033333331</v>
      </c>
      <c r="H959" s="2">
        <f t="shared" si="161"/>
        <v>1062114.2959871052</v>
      </c>
      <c r="I959" s="2">
        <f t="shared" si="162"/>
        <v>1164624.896666667</v>
      </c>
      <c r="J959" s="4">
        <f t="shared" si="159"/>
        <v>1796839.6</v>
      </c>
      <c r="K959" s="2">
        <f t="shared" si="163"/>
        <v>938827.72141375917</v>
      </c>
      <c r="L959" s="2">
        <f t="shared" si="164"/>
        <v>1559982</v>
      </c>
      <c r="N959" s="4">
        <f t="shared" si="158"/>
        <v>1480640.29235</v>
      </c>
      <c r="O959" s="2">
        <f t="shared" si="160"/>
        <v>1876181.3076500001</v>
      </c>
    </row>
    <row r="960" spans="1:15" x14ac:dyDescent="0.3">
      <c r="A960" s="50">
        <v>44789</v>
      </c>
      <c r="B960" s="2">
        <v>959</v>
      </c>
      <c r="C960" s="4">
        <v>254353.06</v>
      </c>
      <c r="D960" s="4">
        <f t="shared" si="154"/>
        <v>1805587.33</v>
      </c>
      <c r="E960" s="2">
        <f t="shared" si="155"/>
        <v>1424401.7724266492</v>
      </c>
      <c r="F960" s="2">
        <f t="shared" si="156"/>
        <v>1551234.27</v>
      </c>
      <c r="G960" s="4">
        <f t="shared" si="157"/>
        <v>1465924.0333333332</v>
      </c>
      <c r="H960" s="2">
        <f t="shared" si="161"/>
        <v>1010709.0962525783</v>
      </c>
      <c r="I960" s="2">
        <f t="shared" si="162"/>
        <v>1211570.9733333332</v>
      </c>
      <c r="J960" s="4">
        <f t="shared" si="159"/>
        <v>1707735.7924999997</v>
      </c>
      <c r="K960" s="2">
        <f t="shared" si="163"/>
        <v>1161048.2901829148</v>
      </c>
      <c r="L960" s="2">
        <f t="shared" si="164"/>
        <v>1453382.7324999997</v>
      </c>
      <c r="N960" s="4">
        <f t="shared" si="158"/>
        <v>2009868.7322</v>
      </c>
      <c r="O960" s="2">
        <f t="shared" si="160"/>
        <v>1755515.6721999999</v>
      </c>
    </row>
    <row r="961" spans="1:15" x14ac:dyDescent="0.3">
      <c r="A961" s="50">
        <v>44790</v>
      </c>
      <c r="B961" s="2">
        <v>960</v>
      </c>
      <c r="C961" s="4">
        <v>1188572.8999999999</v>
      </c>
      <c r="D961" s="4">
        <f t="shared" si="154"/>
        <v>721462.98</v>
      </c>
      <c r="E961" s="2">
        <f t="shared" si="155"/>
        <v>1145539.0516662537</v>
      </c>
      <c r="F961" s="2">
        <f t="shared" si="156"/>
        <v>467109.91999999993</v>
      </c>
      <c r="G961" s="4">
        <f t="shared" si="157"/>
        <v>1599915.8533333335</v>
      </c>
      <c r="H961" s="2">
        <f t="shared" si="161"/>
        <v>998909.13811295736</v>
      </c>
      <c r="I961" s="2">
        <f t="shared" si="162"/>
        <v>411342.9533333336</v>
      </c>
      <c r="J961" s="4">
        <f t="shared" si="159"/>
        <v>1396586.25</v>
      </c>
      <c r="K961" s="2">
        <f t="shared" si="163"/>
        <v>1077386.0516851847</v>
      </c>
      <c r="L961" s="2">
        <f t="shared" si="164"/>
        <v>208013.35000000009</v>
      </c>
      <c r="N961" s="4">
        <f t="shared" si="158"/>
        <v>1752045.3239000002</v>
      </c>
      <c r="O961" s="2">
        <f t="shared" si="160"/>
        <v>563472.42390000029</v>
      </c>
    </row>
    <row r="962" spans="1:15" x14ac:dyDescent="0.3">
      <c r="A962" s="50">
        <v>44791</v>
      </c>
      <c r="B962" s="2">
        <v>961</v>
      </c>
      <c r="C962" s="4">
        <v>976163.79</v>
      </c>
      <c r="D962" s="4">
        <f t="shared" si="154"/>
        <v>1082368.345</v>
      </c>
      <c r="E962" s="2">
        <f t="shared" si="155"/>
        <v>338726.35331868875</v>
      </c>
      <c r="F962" s="2">
        <f t="shared" si="156"/>
        <v>106204.55499999993</v>
      </c>
      <c r="G962" s="4">
        <f t="shared" si="157"/>
        <v>806363.25</v>
      </c>
      <c r="H962" s="2">
        <f t="shared" si="161"/>
        <v>745193.36910298234</v>
      </c>
      <c r="I962" s="2">
        <f t="shared" si="162"/>
        <v>169800.54000000004</v>
      </c>
      <c r="J962" s="4">
        <f t="shared" si="159"/>
        <v>1443977.8375000001</v>
      </c>
      <c r="K962" s="2">
        <f t="shared" si="163"/>
        <v>1096355.8665266631</v>
      </c>
      <c r="L962" s="2">
        <f t="shared" si="164"/>
        <v>467814.0475000001</v>
      </c>
      <c r="N962" s="4">
        <f t="shared" si="158"/>
        <v>1249859.7852</v>
      </c>
      <c r="O962" s="2">
        <f t="shared" si="160"/>
        <v>273695.9952</v>
      </c>
    </row>
    <row r="963" spans="1:15" x14ac:dyDescent="0.3">
      <c r="A963" s="50">
        <v>44792</v>
      </c>
      <c r="B963" s="2">
        <v>962</v>
      </c>
      <c r="C963" s="4">
        <v>280134.95999999996</v>
      </c>
      <c r="D963" s="4">
        <f t="shared" si="154"/>
        <v>628149.375</v>
      </c>
      <c r="E963" s="2">
        <f t="shared" si="155"/>
        <v>257287.23302035438</v>
      </c>
      <c r="F963" s="2">
        <f t="shared" si="156"/>
        <v>348014.41500000004</v>
      </c>
      <c r="G963" s="4">
        <f t="shared" si="157"/>
        <v>814957.21666666667</v>
      </c>
      <c r="H963" s="2">
        <f t="shared" si="161"/>
        <v>401692.29304170399</v>
      </c>
      <c r="I963" s="2">
        <f t="shared" si="162"/>
        <v>534822.25666666671</v>
      </c>
      <c r="J963" s="4">
        <f t="shared" si="159"/>
        <v>674806.17749999999</v>
      </c>
      <c r="K963" s="2">
        <f t="shared" si="163"/>
        <v>795331.10618607339</v>
      </c>
      <c r="L963" s="2">
        <f t="shared" si="164"/>
        <v>394671.21750000003</v>
      </c>
      <c r="N963" s="4">
        <f t="shared" si="158"/>
        <v>911887.48334999999</v>
      </c>
      <c r="O963" s="2">
        <f t="shared" si="160"/>
        <v>631752.52335000003</v>
      </c>
    </row>
    <row r="964" spans="1:15" x14ac:dyDescent="0.3">
      <c r="A964" s="50">
        <v>44793</v>
      </c>
      <c r="B964" s="2">
        <v>963</v>
      </c>
      <c r="C964" s="4">
        <v>6618546.0800000001</v>
      </c>
      <c r="D964" s="4">
        <f t="shared" ref="D964:D1001" si="165">AVERAGE(C963:C964)</f>
        <v>3449340.52</v>
      </c>
      <c r="E964" s="2">
        <f t="shared" si="155"/>
        <v>2254437.6144154784</v>
      </c>
      <c r="F964" s="2">
        <f t="shared" si="156"/>
        <v>3169205.56</v>
      </c>
      <c r="G964" s="4">
        <f t="shared" si="157"/>
        <v>2624948.2766666668</v>
      </c>
      <c r="H964" s="2">
        <f t="shared" si="161"/>
        <v>2328353.5301724221</v>
      </c>
      <c r="I964" s="2">
        <f t="shared" si="162"/>
        <v>3993597.8033333332</v>
      </c>
      <c r="J964" s="4">
        <f t="shared" si="159"/>
        <v>2265854.4325000001</v>
      </c>
      <c r="K964" s="2">
        <f t="shared" si="163"/>
        <v>2200216.437362229</v>
      </c>
      <c r="L964" s="2">
        <f t="shared" si="164"/>
        <v>4352691.6475</v>
      </c>
      <c r="N964" s="4">
        <f t="shared" si="158"/>
        <v>789724.13615000003</v>
      </c>
      <c r="O964" s="2">
        <f t="shared" si="160"/>
        <v>5828821.9438500004</v>
      </c>
    </row>
    <row r="965" spans="1:15" x14ac:dyDescent="0.3">
      <c r="A965" s="50">
        <v>44794</v>
      </c>
      <c r="B965" s="2">
        <v>964</v>
      </c>
      <c r="C965" s="4">
        <v>906477.78</v>
      </c>
      <c r="D965" s="4">
        <f t="shared" si="165"/>
        <v>3762511.93</v>
      </c>
      <c r="E965" s="2">
        <f t="shared" ref="E965:E1001" si="166">SQRT(SUMXMY2(C964:C965,D964:D965)/2)</f>
        <v>3016686.5057129436</v>
      </c>
      <c r="F965" s="2">
        <f t="shared" ref="F965:F1001" si="167">ABS(D965-C965)</f>
        <v>2856034.1500000004</v>
      </c>
      <c r="G965" s="4">
        <f t="shared" ref="G965:G1001" si="168">AVERAGE(C963:C965)</f>
        <v>2601719.6066666669</v>
      </c>
      <c r="H965" s="2">
        <f t="shared" si="161"/>
        <v>2523800.2504090923</v>
      </c>
      <c r="I965" s="2">
        <f t="shared" si="162"/>
        <v>1695241.8266666669</v>
      </c>
      <c r="J965" s="4">
        <f t="shared" si="159"/>
        <v>2195330.6524999999</v>
      </c>
      <c r="K965" s="2">
        <f t="shared" si="163"/>
        <v>2290288.2819706905</v>
      </c>
      <c r="L965" s="2">
        <f t="shared" si="164"/>
        <v>1288852.8724999998</v>
      </c>
      <c r="N965" s="4">
        <f t="shared" ref="N965:N1028" si="169">($M$2*D964)+($M$3*C963)+($M$4*C962)</f>
        <v>2556629.0278000003</v>
      </c>
      <c r="O965" s="2">
        <f t="shared" si="160"/>
        <v>1650151.2478000002</v>
      </c>
    </row>
    <row r="966" spans="1:15" x14ac:dyDescent="0.3">
      <c r="A966" s="50">
        <v>44795</v>
      </c>
      <c r="B966" s="2">
        <v>965</v>
      </c>
      <c r="C966" s="4">
        <v>276587.68</v>
      </c>
      <c r="D966" s="4">
        <f t="shared" si="165"/>
        <v>591532.73</v>
      </c>
      <c r="E966" s="2">
        <f t="shared" si="166"/>
        <v>2031762.9599052307</v>
      </c>
      <c r="F966" s="2">
        <f t="shared" si="167"/>
        <v>314945.05</v>
      </c>
      <c r="G966" s="4">
        <f t="shared" si="168"/>
        <v>2600537.1800000002</v>
      </c>
      <c r="H966" s="2">
        <f t="shared" si="161"/>
        <v>2841561.1638803538</v>
      </c>
      <c r="I966" s="2">
        <f t="shared" si="162"/>
        <v>2323949.5</v>
      </c>
      <c r="J966" s="4">
        <f t="shared" ref="J966:J1001" si="170">AVERAGE(C963:C966)</f>
        <v>2020436.625</v>
      </c>
      <c r="K966" s="2">
        <f t="shared" si="163"/>
        <v>2439458.9983266941</v>
      </c>
      <c r="L966" s="2">
        <f t="shared" si="164"/>
        <v>1743848.9450000001</v>
      </c>
      <c r="N966" s="4">
        <f t="shared" si="169"/>
        <v>3310552.7530999999</v>
      </c>
      <c r="O966" s="2">
        <f t="shared" ref="O966:O1001" si="171">ABS(N966-C966)</f>
        <v>3033965.0730999997</v>
      </c>
    </row>
    <row r="967" spans="1:15" x14ac:dyDescent="0.3">
      <c r="A967" s="50">
        <v>44796</v>
      </c>
      <c r="B967" s="2">
        <v>966</v>
      </c>
      <c r="C967" s="4">
        <v>2387112</v>
      </c>
      <c r="D967" s="4">
        <f t="shared" si="165"/>
        <v>1331849.8400000001</v>
      </c>
      <c r="E967" s="2">
        <f t="shared" si="166"/>
        <v>778706.81608913885</v>
      </c>
      <c r="F967" s="2">
        <f t="shared" si="167"/>
        <v>1055262.1599999999</v>
      </c>
      <c r="G967" s="4">
        <f t="shared" si="168"/>
        <v>1190059.1533333333</v>
      </c>
      <c r="H967" s="2">
        <f t="shared" ref="H967:H1001" si="172">SQRT(SUMXMY2(C965:C967,G965:G967)/3)</f>
        <v>1798844.225898318</v>
      </c>
      <c r="I967" s="2">
        <f t="shared" ref="I967:I1001" si="173">ABS(G967-C967)</f>
        <v>1197052.8466666667</v>
      </c>
      <c r="J967" s="4">
        <f t="shared" si="170"/>
        <v>2547180.8849999998</v>
      </c>
      <c r="K967" s="2">
        <f t="shared" si="163"/>
        <v>2432781.2014282402</v>
      </c>
      <c r="L967" s="2">
        <f t="shared" si="164"/>
        <v>160068.88499999978</v>
      </c>
      <c r="N967" s="4">
        <f t="shared" si="169"/>
        <v>1952119.6225000001</v>
      </c>
      <c r="O967" s="2">
        <f t="shared" si="171"/>
        <v>434992.37749999994</v>
      </c>
    </row>
    <row r="968" spans="1:15" x14ac:dyDescent="0.3">
      <c r="A968" s="50">
        <v>44797</v>
      </c>
      <c r="B968" s="2">
        <v>967</v>
      </c>
      <c r="C968" s="4">
        <v>357962.80000000005</v>
      </c>
      <c r="D968" s="4">
        <f t="shared" si="165"/>
        <v>1372537.4</v>
      </c>
      <c r="E968" s="2">
        <f t="shared" si="166"/>
        <v>1035118.3133567451</v>
      </c>
      <c r="F968" s="2">
        <f t="shared" si="167"/>
        <v>1014574.5999999999</v>
      </c>
      <c r="G968" s="4">
        <f t="shared" si="168"/>
        <v>1007220.8266666668</v>
      </c>
      <c r="H968" s="2">
        <f t="shared" si="172"/>
        <v>1555121.9439274543</v>
      </c>
      <c r="I968" s="2">
        <f t="shared" si="173"/>
        <v>649258.02666666673</v>
      </c>
      <c r="J968" s="4">
        <f t="shared" si="170"/>
        <v>982035.06499999994</v>
      </c>
      <c r="K968" s="2">
        <f t="shared" si="163"/>
        <v>1131065.7706137702</v>
      </c>
      <c r="L968" s="2">
        <f t="shared" si="164"/>
        <v>624072.2649999999</v>
      </c>
      <c r="N968" s="4">
        <f t="shared" si="169"/>
        <v>1122189.1492000001</v>
      </c>
      <c r="O968" s="2">
        <f t="shared" si="171"/>
        <v>764226.34920000006</v>
      </c>
    </row>
    <row r="969" spans="1:15" x14ac:dyDescent="0.3">
      <c r="A969" s="50">
        <v>44798</v>
      </c>
      <c r="B969" s="2">
        <v>968</v>
      </c>
      <c r="C969" s="4">
        <v>559699.98</v>
      </c>
      <c r="D969" s="4">
        <f t="shared" si="165"/>
        <v>458831.39</v>
      </c>
      <c r="E969" s="2">
        <f t="shared" si="166"/>
        <v>720949.40578855737</v>
      </c>
      <c r="F969" s="2">
        <f t="shared" si="167"/>
        <v>100868.58999999997</v>
      </c>
      <c r="G969" s="4">
        <f t="shared" si="168"/>
        <v>1101591.5933333333</v>
      </c>
      <c r="H969" s="2">
        <f t="shared" si="172"/>
        <v>846191.07840267918</v>
      </c>
      <c r="I969" s="2">
        <f t="shared" si="173"/>
        <v>541891.61333333328</v>
      </c>
      <c r="J969" s="4">
        <f t="shared" si="170"/>
        <v>895340.61500000011</v>
      </c>
      <c r="K969" s="2">
        <f t="shared" ref="K969:K1001" si="174">SQRT(SUMXMY2(C966:C969,J966:J969)/4)</f>
        <v>944557.04151842906</v>
      </c>
      <c r="L969" s="2">
        <f t="shared" ref="L969:L1001" si="175">ABS(J969-C969)</f>
        <v>335640.63500000013</v>
      </c>
      <c r="N969" s="4">
        <f t="shared" si="169"/>
        <v>1243031.6676</v>
      </c>
      <c r="O969" s="2">
        <f t="shared" si="171"/>
        <v>683331.68760000006</v>
      </c>
    </row>
    <row r="970" spans="1:15" x14ac:dyDescent="0.3">
      <c r="A970" s="50">
        <v>44799</v>
      </c>
      <c r="B970" s="2">
        <v>969</v>
      </c>
      <c r="C970" s="4">
        <v>2451380.4</v>
      </c>
      <c r="D970" s="4">
        <f t="shared" si="165"/>
        <v>1505540.19</v>
      </c>
      <c r="E970" s="2">
        <f t="shared" si="166"/>
        <v>672602.47371736309</v>
      </c>
      <c r="F970" s="2">
        <f t="shared" si="167"/>
        <v>945840.21</v>
      </c>
      <c r="G970" s="4">
        <f t="shared" si="168"/>
        <v>1123014.3933333333</v>
      </c>
      <c r="H970" s="2">
        <f t="shared" si="172"/>
        <v>909164.22305684013</v>
      </c>
      <c r="I970" s="2">
        <f t="shared" si="173"/>
        <v>1328366.0066666666</v>
      </c>
      <c r="J970" s="4">
        <f t="shared" si="170"/>
        <v>1439038.7949999999</v>
      </c>
      <c r="K970" s="2">
        <f t="shared" si="174"/>
        <v>623012.52013192966</v>
      </c>
      <c r="L970" s="2">
        <f t="shared" si="175"/>
        <v>1012341.605</v>
      </c>
      <c r="N970" s="4">
        <f t="shared" si="169"/>
        <v>871957.5793000001</v>
      </c>
      <c r="O970" s="2">
        <f t="shared" si="171"/>
        <v>1579422.8206999998</v>
      </c>
    </row>
    <row r="971" spans="1:15" x14ac:dyDescent="0.3">
      <c r="A971" s="50">
        <v>44800</v>
      </c>
      <c r="B971" s="2">
        <v>970</v>
      </c>
      <c r="C971" s="4">
        <v>602840.48</v>
      </c>
      <c r="D971" s="4">
        <f t="shared" si="165"/>
        <v>1527110.44</v>
      </c>
      <c r="E971" s="2">
        <f t="shared" si="166"/>
        <v>935117.28189870541</v>
      </c>
      <c r="F971" s="2">
        <f t="shared" si="167"/>
        <v>924269.96</v>
      </c>
      <c r="G971" s="4">
        <f t="shared" si="168"/>
        <v>1204640.2866666666</v>
      </c>
      <c r="H971" s="2">
        <f t="shared" si="172"/>
        <v>898214.11247960746</v>
      </c>
      <c r="I971" s="2">
        <f t="shared" si="173"/>
        <v>601799.80666666664</v>
      </c>
      <c r="J971" s="4">
        <f t="shared" si="170"/>
        <v>992970.91499999992</v>
      </c>
      <c r="K971" s="2">
        <f t="shared" si="174"/>
        <v>647911.66630426922</v>
      </c>
      <c r="L971" s="2">
        <f t="shared" si="175"/>
        <v>390130.43499999994</v>
      </c>
      <c r="N971" s="4">
        <f t="shared" si="169"/>
        <v>1149030.7411</v>
      </c>
      <c r="O971" s="2">
        <f t="shared" si="171"/>
        <v>546190.2611</v>
      </c>
    </row>
    <row r="972" spans="1:15" x14ac:dyDescent="0.3">
      <c r="A972" s="50">
        <v>44801</v>
      </c>
      <c r="B972" s="2">
        <v>971</v>
      </c>
      <c r="C972" s="4">
        <v>92217.72</v>
      </c>
      <c r="D972" s="4">
        <f t="shared" si="165"/>
        <v>347529.1</v>
      </c>
      <c r="E972" s="2">
        <f t="shared" si="166"/>
        <v>678033.50201738032</v>
      </c>
      <c r="F972" s="2">
        <f t="shared" si="167"/>
        <v>255311.37999999998</v>
      </c>
      <c r="G972" s="4">
        <f t="shared" si="168"/>
        <v>1048812.8666666667</v>
      </c>
      <c r="H972" s="2">
        <f t="shared" si="172"/>
        <v>1006941.4960823702</v>
      </c>
      <c r="I972" s="2">
        <f t="shared" si="173"/>
        <v>956595.14666666673</v>
      </c>
      <c r="J972" s="4">
        <f t="shared" si="170"/>
        <v>926534.64500000002</v>
      </c>
      <c r="K972" s="2">
        <f t="shared" si="174"/>
        <v>704587.93786367145</v>
      </c>
      <c r="L972" s="2">
        <f t="shared" si="175"/>
        <v>834316.92500000005</v>
      </c>
      <c r="N972" s="4">
        <f t="shared" si="169"/>
        <v>1415949.8344000001</v>
      </c>
      <c r="O972" s="2">
        <f t="shared" si="171"/>
        <v>1323732.1144000001</v>
      </c>
    </row>
    <row r="973" spans="1:15" x14ac:dyDescent="0.3">
      <c r="A973" s="50">
        <v>44802</v>
      </c>
      <c r="B973" s="2">
        <v>972</v>
      </c>
      <c r="C973" s="4">
        <v>2668231.6</v>
      </c>
      <c r="D973" s="4">
        <f t="shared" si="165"/>
        <v>1380224.6600000001</v>
      </c>
      <c r="E973" s="2">
        <f t="shared" si="166"/>
        <v>928478.80380913056</v>
      </c>
      <c r="F973" s="2">
        <f t="shared" si="167"/>
        <v>1288006.94</v>
      </c>
      <c r="G973" s="4">
        <f t="shared" si="168"/>
        <v>1121096.5999999999</v>
      </c>
      <c r="H973" s="2">
        <f t="shared" si="172"/>
        <v>1106174.1861261062</v>
      </c>
      <c r="I973" s="2">
        <f t="shared" si="173"/>
        <v>1547135.0000000002</v>
      </c>
      <c r="J973" s="4">
        <f t="shared" si="170"/>
        <v>1453667.55</v>
      </c>
      <c r="K973" s="2">
        <f t="shared" si="174"/>
        <v>914916.36836668348</v>
      </c>
      <c r="L973" s="2">
        <f t="shared" si="175"/>
        <v>1214564.05</v>
      </c>
      <c r="N973" s="4">
        <f t="shared" si="169"/>
        <v>838460.63779999991</v>
      </c>
      <c r="O973" s="2">
        <f t="shared" si="171"/>
        <v>1829770.9622000002</v>
      </c>
    </row>
    <row r="974" spans="1:15" x14ac:dyDescent="0.3">
      <c r="A974" s="50">
        <v>44803</v>
      </c>
      <c r="B974" s="2">
        <v>973</v>
      </c>
      <c r="C974" s="4">
        <v>4035682.53</v>
      </c>
      <c r="D974" s="4">
        <f t="shared" si="165"/>
        <v>3351957.0649999999</v>
      </c>
      <c r="E974" s="2">
        <f t="shared" si="166"/>
        <v>1031126.1777730284</v>
      </c>
      <c r="F974" s="2">
        <f t="shared" si="167"/>
        <v>683725.46499999985</v>
      </c>
      <c r="G974" s="4">
        <f t="shared" si="168"/>
        <v>2265377.2833333332</v>
      </c>
      <c r="H974" s="2">
        <f t="shared" si="172"/>
        <v>1465455.748135115</v>
      </c>
      <c r="I974" s="2">
        <f t="shared" si="173"/>
        <v>1770305.2466666666</v>
      </c>
      <c r="J974" s="4">
        <f t="shared" si="170"/>
        <v>1849743.0825</v>
      </c>
      <c r="K974" s="2">
        <f t="shared" si="174"/>
        <v>1332458.5910398634</v>
      </c>
      <c r="L974" s="2">
        <f t="shared" si="175"/>
        <v>2185939.4474999998</v>
      </c>
      <c r="N974" s="4">
        <f t="shared" si="169"/>
        <v>1067519.3770000001</v>
      </c>
      <c r="O974" s="2">
        <f t="shared" si="171"/>
        <v>2968163.1529999999</v>
      </c>
    </row>
    <row r="975" spans="1:15" x14ac:dyDescent="0.3">
      <c r="A975" s="50">
        <v>44804</v>
      </c>
      <c r="B975" s="2">
        <v>974</v>
      </c>
      <c r="C975" s="4">
        <v>81946.150000000009</v>
      </c>
      <c r="D975" s="4">
        <f t="shared" si="165"/>
        <v>2058814.3399999999</v>
      </c>
      <c r="E975" s="2">
        <f t="shared" si="166"/>
        <v>1479102.4900464711</v>
      </c>
      <c r="F975" s="2">
        <f t="shared" si="167"/>
        <v>1976868.19</v>
      </c>
      <c r="G975" s="4">
        <f t="shared" si="168"/>
        <v>2261953.4266666668</v>
      </c>
      <c r="H975" s="2">
        <f t="shared" si="172"/>
        <v>1851129.3040484004</v>
      </c>
      <c r="I975" s="2">
        <f t="shared" si="173"/>
        <v>2180007.2766666668</v>
      </c>
      <c r="J975" s="4">
        <f t="shared" si="170"/>
        <v>1719519.5</v>
      </c>
      <c r="K975" s="2">
        <f t="shared" si="174"/>
        <v>1551711.0159160343</v>
      </c>
      <c r="L975" s="2">
        <f t="shared" si="175"/>
        <v>1637573.35</v>
      </c>
      <c r="N975" s="4">
        <f t="shared" si="169"/>
        <v>2559604.6079499996</v>
      </c>
      <c r="O975" s="2">
        <f t="shared" si="171"/>
        <v>2477658.4579499997</v>
      </c>
    </row>
    <row r="976" spans="1:15" x14ac:dyDescent="0.3">
      <c r="A976" s="50">
        <v>44805</v>
      </c>
      <c r="B976" s="2">
        <v>975</v>
      </c>
      <c r="C976" s="4">
        <v>341168.88</v>
      </c>
      <c r="D976" s="4">
        <f t="shared" si="165"/>
        <v>211557.51500000001</v>
      </c>
      <c r="E976" s="2">
        <f t="shared" si="166"/>
        <v>1400858.1203267945</v>
      </c>
      <c r="F976" s="2">
        <f t="shared" si="167"/>
        <v>129611.36499999999</v>
      </c>
      <c r="G976" s="4">
        <f t="shared" si="168"/>
        <v>1486265.8533333333</v>
      </c>
      <c r="H976" s="2">
        <f t="shared" si="172"/>
        <v>1750967.3013349227</v>
      </c>
      <c r="I976" s="2">
        <f t="shared" si="173"/>
        <v>1145096.9733333332</v>
      </c>
      <c r="J976" s="4">
        <f t="shared" si="170"/>
        <v>1781757.29</v>
      </c>
      <c r="K976" s="2">
        <f t="shared" si="174"/>
        <v>1659099.0434077133</v>
      </c>
      <c r="L976" s="2">
        <f t="shared" si="175"/>
        <v>1440588.4100000001</v>
      </c>
      <c r="N976" s="4">
        <f t="shared" si="169"/>
        <v>2410341.6381000001</v>
      </c>
      <c r="O976" s="2">
        <f t="shared" si="171"/>
        <v>2069172.7581000002</v>
      </c>
    </row>
    <row r="977" spans="1:15" x14ac:dyDescent="0.3">
      <c r="A977" s="50">
        <v>44806</v>
      </c>
      <c r="B977" s="2">
        <v>976</v>
      </c>
      <c r="C977" s="4">
        <v>5641432.2300000004</v>
      </c>
      <c r="D977" s="4">
        <f t="shared" si="165"/>
        <v>2991300.5550000002</v>
      </c>
      <c r="E977" s="2">
        <f t="shared" si="166"/>
        <v>1876165.9042813177</v>
      </c>
      <c r="F977" s="2">
        <f t="shared" si="167"/>
        <v>2650131.6750000003</v>
      </c>
      <c r="G977" s="4">
        <f t="shared" si="168"/>
        <v>2021515.7533333336</v>
      </c>
      <c r="H977" s="2">
        <f t="shared" si="172"/>
        <v>2527678.3882118384</v>
      </c>
      <c r="I977" s="2">
        <f t="shared" si="173"/>
        <v>3619916.4766666666</v>
      </c>
      <c r="J977" s="4">
        <f t="shared" si="170"/>
        <v>2525057.4474999998</v>
      </c>
      <c r="K977" s="2">
        <f t="shared" si="174"/>
        <v>2193573.8246520837</v>
      </c>
      <c r="L977" s="2">
        <f t="shared" si="175"/>
        <v>3116374.7825000007</v>
      </c>
      <c r="N977" s="4">
        <f t="shared" si="169"/>
        <v>1038607.76815</v>
      </c>
      <c r="O977" s="2">
        <f t="shared" si="171"/>
        <v>4602824.4618500005</v>
      </c>
    </row>
    <row r="978" spans="1:15" x14ac:dyDescent="0.3">
      <c r="A978" s="50">
        <v>44807</v>
      </c>
      <c r="B978" s="2">
        <v>977</v>
      </c>
      <c r="C978" s="4">
        <v>6107319.5300000003</v>
      </c>
      <c r="D978" s="4">
        <f t="shared" si="165"/>
        <v>5874375.8800000008</v>
      </c>
      <c r="E978" s="2">
        <f t="shared" si="166"/>
        <v>1881151.3281649656</v>
      </c>
      <c r="F978" s="2">
        <f t="shared" si="167"/>
        <v>232943.64999999944</v>
      </c>
      <c r="G978" s="4">
        <f t="shared" si="168"/>
        <v>4029973.5466666669</v>
      </c>
      <c r="H978" s="2">
        <f t="shared" si="172"/>
        <v>2498693.5727062859</v>
      </c>
      <c r="I978" s="2">
        <f t="shared" si="173"/>
        <v>2077345.9833333334</v>
      </c>
      <c r="J978" s="4">
        <f t="shared" si="170"/>
        <v>3042966.6975000002</v>
      </c>
      <c r="K978" s="2">
        <f t="shared" si="174"/>
        <v>2442283.3328009495</v>
      </c>
      <c r="L978" s="2">
        <f t="shared" si="175"/>
        <v>3064352.8325</v>
      </c>
      <c r="N978" s="4">
        <f t="shared" si="169"/>
        <v>2059728.1016500001</v>
      </c>
      <c r="O978" s="2">
        <f t="shared" si="171"/>
        <v>4047591.4283500002</v>
      </c>
    </row>
    <row r="979" spans="1:15" x14ac:dyDescent="0.3">
      <c r="A979" s="50">
        <v>44808</v>
      </c>
      <c r="B979" s="2">
        <v>978</v>
      </c>
      <c r="C979" s="4">
        <v>35677.919999999998</v>
      </c>
      <c r="D979" s="4">
        <f t="shared" si="165"/>
        <v>3071498.7250000001</v>
      </c>
      <c r="E979" s="2">
        <f t="shared" si="166"/>
        <v>2152959.6726536904</v>
      </c>
      <c r="F979" s="2">
        <f t="shared" si="167"/>
        <v>3035820.8050000002</v>
      </c>
      <c r="G979" s="4">
        <f t="shared" si="168"/>
        <v>3928143.226666667</v>
      </c>
      <c r="H979" s="2">
        <f t="shared" si="172"/>
        <v>3294968.2748152819</v>
      </c>
      <c r="I979" s="2">
        <f t="shared" si="173"/>
        <v>3892465.3066666671</v>
      </c>
      <c r="J979" s="4">
        <f t="shared" si="170"/>
        <v>3031399.64</v>
      </c>
      <c r="K979" s="2">
        <f t="shared" si="174"/>
        <v>2745527.8935825252</v>
      </c>
      <c r="L979" s="2">
        <f t="shared" si="175"/>
        <v>2995721.72</v>
      </c>
      <c r="N979" s="4">
        <f t="shared" si="169"/>
        <v>4631446.5385000007</v>
      </c>
      <c r="O979" s="2">
        <f t="shared" si="171"/>
        <v>4595768.6185000008</v>
      </c>
    </row>
    <row r="980" spans="1:15" x14ac:dyDescent="0.3">
      <c r="A980" s="50">
        <v>44809</v>
      </c>
      <c r="B980" s="2">
        <v>979</v>
      </c>
      <c r="C980" s="4">
        <v>2530335.36</v>
      </c>
      <c r="D980" s="4">
        <f t="shared" si="165"/>
        <v>1283006.6399999999</v>
      </c>
      <c r="E980" s="2">
        <f t="shared" si="166"/>
        <v>2320779.706888149</v>
      </c>
      <c r="F980" s="2">
        <f t="shared" si="167"/>
        <v>1247328.72</v>
      </c>
      <c r="G980" s="4">
        <f t="shared" si="168"/>
        <v>2891110.936666667</v>
      </c>
      <c r="H980" s="2">
        <f t="shared" si="172"/>
        <v>2555830.6878452087</v>
      </c>
      <c r="I980" s="2">
        <f t="shared" si="173"/>
        <v>360775.57666666713</v>
      </c>
      <c r="J980" s="4">
        <f t="shared" si="170"/>
        <v>3578691.2600000002</v>
      </c>
      <c r="K980" s="2">
        <f t="shared" si="174"/>
        <v>2700715.126767227</v>
      </c>
      <c r="L980" s="2">
        <f t="shared" si="175"/>
        <v>1048355.9000000004</v>
      </c>
      <c r="N980" s="4">
        <f t="shared" si="169"/>
        <v>3970824.3846500004</v>
      </c>
      <c r="O980" s="2">
        <f t="shared" si="171"/>
        <v>1440489.0246500005</v>
      </c>
    </row>
    <row r="981" spans="1:15" x14ac:dyDescent="0.3">
      <c r="A981" s="50">
        <v>44810</v>
      </c>
      <c r="B981" s="2">
        <v>980</v>
      </c>
      <c r="C981" s="4">
        <v>2795443.14</v>
      </c>
      <c r="D981" s="4">
        <f t="shared" si="165"/>
        <v>2662889.25</v>
      </c>
      <c r="E981" s="2">
        <f t="shared" si="166"/>
        <v>886960.95446501207</v>
      </c>
      <c r="F981" s="2">
        <f t="shared" si="167"/>
        <v>132553.89000000013</v>
      </c>
      <c r="G981" s="4">
        <f t="shared" si="168"/>
        <v>1787152.14</v>
      </c>
      <c r="H981" s="2">
        <f t="shared" si="172"/>
        <v>2330815.0163268209</v>
      </c>
      <c r="I981" s="2">
        <f t="shared" si="173"/>
        <v>1008291.0000000002</v>
      </c>
      <c r="J981" s="4">
        <f t="shared" si="170"/>
        <v>2867193.9875000003</v>
      </c>
      <c r="K981" s="2">
        <f t="shared" si="174"/>
        <v>2206173.4509616597</v>
      </c>
      <c r="L981" s="2">
        <f t="shared" si="175"/>
        <v>71750.847500000149</v>
      </c>
      <c r="N981" s="4">
        <f t="shared" si="169"/>
        <v>2207149.3166</v>
      </c>
      <c r="O981" s="2">
        <f t="shared" si="171"/>
        <v>588293.82340000011</v>
      </c>
    </row>
    <row r="982" spans="1:15" x14ac:dyDescent="0.3">
      <c r="A982" s="50">
        <v>44811</v>
      </c>
      <c r="B982" s="2">
        <v>981</v>
      </c>
      <c r="C982" s="4">
        <v>33893.199999999997</v>
      </c>
      <c r="D982" s="4">
        <f t="shared" si="165"/>
        <v>1414668.1700000002</v>
      </c>
      <c r="E982" s="2">
        <f t="shared" si="166"/>
        <v>980844.03743220912</v>
      </c>
      <c r="F982" s="2">
        <f t="shared" si="167"/>
        <v>1380774.9700000002</v>
      </c>
      <c r="G982" s="4">
        <f t="shared" si="168"/>
        <v>1786557.2333333334</v>
      </c>
      <c r="H982" s="2">
        <f t="shared" si="172"/>
        <v>1185838.7989296063</v>
      </c>
      <c r="I982" s="2">
        <f t="shared" si="173"/>
        <v>1752664.0333333334</v>
      </c>
      <c r="J982" s="4">
        <f t="shared" si="170"/>
        <v>1348837.405</v>
      </c>
      <c r="K982" s="2">
        <f t="shared" si="174"/>
        <v>1718111.2568111401</v>
      </c>
      <c r="L982" s="2">
        <f t="shared" si="175"/>
        <v>1314944.2050000001</v>
      </c>
      <c r="N982" s="4">
        <f t="shared" si="169"/>
        <v>2070321.8295000002</v>
      </c>
      <c r="O982" s="2">
        <f t="shared" si="171"/>
        <v>2036428.6295000003</v>
      </c>
    </row>
    <row r="983" spans="1:15" x14ac:dyDescent="0.3">
      <c r="A983" s="50">
        <v>44812</v>
      </c>
      <c r="B983" s="2">
        <v>982</v>
      </c>
      <c r="C983" s="4">
        <v>426148.45</v>
      </c>
      <c r="D983" s="4">
        <f t="shared" si="165"/>
        <v>230020.82500000001</v>
      </c>
      <c r="E983" s="2">
        <f t="shared" si="166"/>
        <v>986155.55645816901</v>
      </c>
      <c r="F983" s="2">
        <f t="shared" si="167"/>
        <v>196127.625</v>
      </c>
      <c r="G983" s="4">
        <f t="shared" si="168"/>
        <v>1085161.5966666669</v>
      </c>
      <c r="H983" s="2">
        <f t="shared" si="172"/>
        <v>1227840.9617292692</v>
      </c>
      <c r="I983" s="2">
        <f t="shared" si="173"/>
        <v>659013.14666666696</v>
      </c>
      <c r="J983" s="4">
        <f t="shared" si="170"/>
        <v>1446455.0375000001</v>
      </c>
      <c r="K983" s="2">
        <f t="shared" si="174"/>
        <v>984162.34330784529</v>
      </c>
      <c r="L983" s="2">
        <f t="shared" si="175"/>
        <v>1020306.5875000001</v>
      </c>
      <c r="N983" s="4">
        <f t="shared" si="169"/>
        <v>1812000.1985000002</v>
      </c>
      <c r="O983" s="2">
        <f t="shared" si="171"/>
        <v>1385851.7485000002</v>
      </c>
    </row>
    <row r="984" spans="1:15" x14ac:dyDescent="0.3">
      <c r="A984" s="50">
        <v>44813</v>
      </c>
      <c r="B984" s="2">
        <v>983</v>
      </c>
      <c r="C984" s="4">
        <v>390323.7</v>
      </c>
      <c r="D984" s="4">
        <f t="shared" si="165"/>
        <v>408236.07500000001</v>
      </c>
      <c r="E984" s="2">
        <f t="shared" si="166"/>
        <v>139260.36490380391</v>
      </c>
      <c r="F984" s="2">
        <f t="shared" si="167"/>
        <v>17912.375</v>
      </c>
      <c r="G984" s="4">
        <f t="shared" si="168"/>
        <v>283455.1166666667</v>
      </c>
      <c r="H984" s="2">
        <f t="shared" si="172"/>
        <v>1082828.154313731</v>
      </c>
      <c r="I984" s="2">
        <f t="shared" si="173"/>
        <v>106868.58333333331</v>
      </c>
      <c r="J984" s="4">
        <f t="shared" si="170"/>
        <v>911452.12250000017</v>
      </c>
      <c r="K984" s="2">
        <f t="shared" si="174"/>
        <v>872758.10102417332</v>
      </c>
      <c r="L984" s="2">
        <f t="shared" si="175"/>
        <v>521128.42250000016</v>
      </c>
      <c r="N984" s="4">
        <f t="shared" si="169"/>
        <v>772839.69555000006</v>
      </c>
      <c r="O984" s="2">
        <f t="shared" si="171"/>
        <v>382515.99555000005</v>
      </c>
    </row>
    <row r="985" spans="1:15" x14ac:dyDescent="0.3">
      <c r="A985" s="50">
        <v>44814</v>
      </c>
      <c r="B985" s="2">
        <v>984</v>
      </c>
      <c r="C985" s="4">
        <v>3454017.8400000003</v>
      </c>
      <c r="D985" s="4">
        <f t="shared" si="165"/>
        <v>1922170.7700000003</v>
      </c>
      <c r="E985" s="2">
        <f t="shared" si="166"/>
        <v>1083253.5019665817</v>
      </c>
      <c r="F985" s="2">
        <f t="shared" si="167"/>
        <v>1531847.07</v>
      </c>
      <c r="G985" s="4">
        <f t="shared" si="168"/>
        <v>1423496.6633333333</v>
      </c>
      <c r="H985" s="2">
        <f t="shared" si="172"/>
        <v>1234063.1359422635</v>
      </c>
      <c r="I985" s="2">
        <f t="shared" si="173"/>
        <v>2030521.176666667</v>
      </c>
      <c r="J985" s="4">
        <f t="shared" si="170"/>
        <v>1076095.7975000001</v>
      </c>
      <c r="K985" s="2">
        <f t="shared" si="174"/>
        <v>1474465.3156062786</v>
      </c>
      <c r="L985" s="2">
        <f t="shared" si="175"/>
        <v>2377922.0425000004</v>
      </c>
      <c r="N985" s="4">
        <f t="shared" si="169"/>
        <v>327851.00375000003</v>
      </c>
      <c r="O985" s="2">
        <f t="shared" si="171"/>
        <v>3126166.8362500002</v>
      </c>
    </row>
    <row r="986" spans="1:15" x14ac:dyDescent="0.3">
      <c r="A986" s="50">
        <v>44815</v>
      </c>
      <c r="B986" s="2">
        <v>985</v>
      </c>
      <c r="C986" s="4">
        <v>700952.52</v>
      </c>
      <c r="D986" s="4">
        <f t="shared" si="165"/>
        <v>2077485.1800000002</v>
      </c>
      <c r="E986" s="2">
        <f t="shared" si="166"/>
        <v>1456261.9286917895</v>
      </c>
      <c r="F986" s="2">
        <f t="shared" si="167"/>
        <v>1376532.6600000001</v>
      </c>
      <c r="G986" s="4">
        <f t="shared" si="168"/>
        <v>1515098.0200000003</v>
      </c>
      <c r="H986" s="2">
        <f t="shared" si="172"/>
        <v>1264551.3088530269</v>
      </c>
      <c r="I986" s="2">
        <f t="shared" si="173"/>
        <v>814145.50000000023</v>
      </c>
      <c r="J986" s="4">
        <f t="shared" si="170"/>
        <v>1242860.6274999999</v>
      </c>
      <c r="K986" s="2">
        <f t="shared" si="174"/>
        <v>1347291.5425414464</v>
      </c>
      <c r="L986" s="2">
        <f t="shared" si="175"/>
        <v>541908.10749999993</v>
      </c>
      <c r="N986" s="4">
        <f t="shared" si="169"/>
        <v>1424542.6819000002</v>
      </c>
      <c r="O986" s="2">
        <f t="shared" si="171"/>
        <v>723590.16190000018</v>
      </c>
    </row>
    <row r="987" spans="1:15" x14ac:dyDescent="0.3">
      <c r="A987" s="50">
        <v>44816</v>
      </c>
      <c r="B987" s="2">
        <v>986</v>
      </c>
      <c r="C987" s="4">
        <v>1096934.8</v>
      </c>
      <c r="D987" s="4">
        <f t="shared" si="165"/>
        <v>898943.66</v>
      </c>
      <c r="E987" s="2">
        <f t="shared" si="166"/>
        <v>983372.42577905743</v>
      </c>
      <c r="F987" s="2">
        <f t="shared" si="167"/>
        <v>197991.14</v>
      </c>
      <c r="G987" s="4">
        <f t="shared" si="168"/>
        <v>1750635.0533333335</v>
      </c>
      <c r="H987" s="2">
        <f t="shared" si="172"/>
        <v>1318227.7452790041</v>
      </c>
      <c r="I987" s="2">
        <f t="shared" si="173"/>
        <v>653700.25333333341</v>
      </c>
      <c r="J987" s="4">
        <f t="shared" si="170"/>
        <v>1410557.2150000001</v>
      </c>
      <c r="K987" s="2">
        <f t="shared" si="174"/>
        <v>1256792.6926416084</v>
      </c>
      <c r="L987" s="2">
        <f t="shared" si="175"/>
        <v>313622.41500000004</v>
      </c>
      <c r="N987" s="4">
        <f t="shared" si="169"/>
        <v>1857728.2470000002</v>
      </c>
      <c r="O987" s="2">
        <f t="shared" si="171"/>
        <v>760793.44700000016</v>
      </c>
    </row>
    <row r="988" spans="1:15" x14ac:dyDescent="0.3">
      <c r="A988" s="50">
        <v>44817</v>
      </c>
      <c r="B988" s="2">
        <v>987</v>
      </c>
      <c r="C988" s="4">
        <v>271997.92</v>
      </c>
      <c r="D988" s="4">
        <f t="shared" si="165"/>
        <v>684466.36</v>
      </c>
      <c r="E988" s="2">
        <f t="shared" si="166"/>
        <v>323520.25092297792</v>
      </c>
      <c r="F988" s="2">
        <f t="shared" si="167"/>
        <v>412468.44</v>
      </c>
      <c r="G988" s="4">
        <f t="shared" si="168"/>
        <v>689961.7466666667</v>
      </c>
      <c r="H988" s="2">
        <f t="shared" si="172"/>
        <v>649320.33100777981</v>
      </c>
      <c r="I988" s="2">
        <f t="shared" si="173"/>
        <v>417963.82666666672</v>
      </c>
      <c r="J988" s="4">
        <f t="shared" si="170"/>
        <v>1380975.77</v>
      </c>
      <c r="K988" s="2">
        <f t="shared" si="174"/>
        <v>1348737.2360992578</v>
      </c>
      <c r="L988" s="2">
        <f t="shared" si="175"/>
        <v>1108977.8500000001</v>
      </c>
      <c r="N988" s="4">
        <f t="shared" si="169"/>
        <v>1439280.9542</v>
      </c>
      <c r="O988" s="2">
        <f t="shared" si="171"/>
        <v>1167283.0342000001</v>
      </c>
    </row>
    <row r="989" spans="1:15" x14ac:dyDescent="0.3">
      <c r="A989" s="50">
        <v>44818</v>
      </c>
      <c r="B989" s="2">
        <v>988</v>
      </c>
      <c r="C989" s="4">
        <v>4218.8999999999996</v>
      </c>
      <c r="D989" s="4">
        <f t="shared" si="165"/>
        <v>138108.41</v>
      </c>
      <c r="E989" s="2">
        <f t="shared" si="166"/>
        <v>306640.35520791594</v>
      </c>
      <c r="F989" s="2">
        <f t="shared" si="167"/>
        <v>133889.51</v>
      </c>
      <c r="G989" s="4">
        <f t="shared" si="168"/>
        <v>457717.20666666661</v>
      </c>
      <c r="H989" s="2">
        <f t="shared" si="172"/>
        <v>518870.08513995796</v>
      </c>
      <c r="I989" s="2">
        <f t="shared" si="173"/>
        <v>453498.30666666658</v>
      </c>
      <c r="J989" s="4">
        <f t="shared" si="170"/>
        <v>518526.03499999997</v>
      </c>
      <c r="K989" s="2">
        <f t="shared" si="174"/>
        <v>686725.40310286952</v>
      </c>
      <c r="L989" s="2">
        <f t="shared" si="175"/>
        <v>514307.13499999995</v>
      </c>
      <c r="N989" s="4">
        <f t="shared" si="169"/>
        <v>733464.84360000002</v>
      </c>
      <c r="O989" s="2">
        <f t="shared" si="171"/>
        <v>729245.9436</v>
      </c>
    </row>
    <row r="990" spans="1:15" x14ac:dyDescent="0.3">
      <c r="A990" s="50">
        <v>44819</v>
      </c>
      <c r="B990" s="2">
        <v>989</v>
      </c>
      <c r="C990" s="4">
        <v>1167004.5</v>
      </c>
      <c r="D990" s="4">
        <f t="shared" si="165"/>
        <v>585611.69999999995</v>
      </c>
      <c r="E990" s="2">
        <f t="shared" si="166"/>
        <v>421867.27105801896</v>
      </c>
      <c r="F990" s="2">
        <f t="shared" si="167"/>
        <v>581392.80000000005</v>
      </c>
      <c r="G990" s="4">
        <f t="shared" si="168"/>
        <v>481073.77333333337</v>
      </c>
      <c r="H990" s="2">
        <f t="shared" si="172"/>
        <v>532558.42757292488</v>
      </c>
      <c r="I990" s="2">
        <f t="shared" si="173"/>
        <v>685930.72666666657</v>
      </c>
      <c r="J990" s="4">
        <f t="shared" si="170"/>
        <v>635039.03</v>
      </c>
      <c r="K990" s="2">
        <f t="shared" si="174"/>
        <v>684779.15808041429</v>
      </c>
      <c r="L990" s="2">
        <f t="shared" si="175"/>
        <v>531965.47</v>
      </c>
      <c r="N990" s="4">
        <f t="shared" si="169"/>
        <v>363778.06190000003</v>
      </c>
      <c r="O990" s="2">
        <f t="shared" si="171"/>
        <v>803226.43809999991</v>
      </c>
    </row>
    <row r="991" spans="1:15" x14ac:dyDescent="0.3">
      <c r="A991" s="50">
        <v>44820</v>
      </c>
      <c r="B991" s="2">
        <v>990</v>
      </c>
      <c r="C991" s="4">
        <v>4250021.2</v>
      </c>
      <c r="D991" s="4">
        <f t="shared" si="165"/>
        <v>2708512.85</v>
      </c>
      <c r="E991" s="2">
        <f t="shared" si="166"/>
        <v>1164960.4244375778</v>
      </c>
      <c r="F991" s="2">
        <f t="shared" si="167"/>
        <v>1541508.35</v>
      </c>
      <c r="G991" s="4">
        <f t="shared" si="168"/>
        <v>1807081.5333333332</v>
      </c>
      <c r="H991" s="2">
        <f t="shared" si="172"/>
        <v>1488188.595900896</v>
      </c>
      <c r="I991" s="2">
        <f t="shared" si="173"/>
        <v>2442939.666666667</v>
      </c>
      <c r="J991" s="4">
        <f t="shared" si="170"/>
        <v>1423310.6300000001</v>
      </c>
      <c r="K991" s="2">
        <f t="shared" si="174"/>
        <v>1562659.8805181966</v>
      </c>
      <c r="L991" s="2">
        <f t="shared" si="175"/>
        <v>2826710.5700000003</v>
      </c>
      <c r="N991" s="4">
        <f t="shared" si="169"/>
        <v>452663.46039999998</v>
      </c>
      <c r="O991" s="2">
        <f t="shared" si="171"/>
        <v>3797357.7396</v>
      </c>
    </row>
    <row r="992" spans="1:15" x14ac:dyDescent="0.3">
      <c r="A992" s="50">
        <v>44821</v>
      </c>
      <c r="B992" s="2">
        <v>991</v>
      </c>
      <c r="C992" s="4">
        <v>1222928.7000000002</v>
      </c>
      <c r="D992" s="4">
        <f t="shared" si="165"/>
        <v>2736474.95</v>
      </c>
      <c r="E992" s="2">
        <f t="shared" si="166"/>
        <v>1527591.2810710829</v>
      </c>
      <c r="F992" s="2">
        <f t="shared" si="167"/>
        <v>1513546.25</v>
      </c>
      <c r="G992" s="4">
        <f t="shared" si="168"/>
        <v>2213318.1333333333</v>
      </c>
      <c r="H992" s="2">
        <f t="shared" si="172"/>
        <v>1572612.0952539681</v>
      </c>
      <c r="I992" s="2">
        <f t="shared" si="173"/>
        <v>990389.43333333312</v>
      </c>
      <c r="J992" s="4">
        <f t="shared" si="170"/>
        <v>1661043.325</v>
      </c>
      <c r="K992" s="2">
        <f t="shared" si="174"/>
        <v>1477306.3461561422</v>
      </c>
      <c r="L992" s="2">
        <f t="shared" si="175"/>
        <v>438114.62499999977</v>
      </c>
      <c r="N992" s="4">
        <f t="shared" si="169"/>
        <v>1944002.2625000004</v>
      </c>
      <c r="O992" s="2">
        <f t="shared" si="171"/>
        <v>721073.56250000023</v>
      </c>
    </row>
    <row r="993" spans="1:15" x14ac:dyDescent="0.3">
      <c r="A993" s="50">
        <v>44822</v>
      </c>
      <c r="B993" s="2">
        <v>992</v>
      </c>
      <c r="C993" s="4">
        <v>287357.2</v>
      </c>
      <c r="D993" s="4">
        <f t="shared" si="165"/>
        <v>755142.95000000007</v>
      </c>
      <c r="E993" s="2">
        <f t="shared" si="166"/>
        <v>1120188.7695366628</v>
      </c>
      <c r="F993" s="2">
        <f t="shared" si="167"/>
        <v>467785.75000000006</v>
      </c>
      <c r="G993" s="4">
        <f t="shared" si="168"/>
        <v>1920102.3666666669</v>
      </c>
      <c r="H993" s="2">
        <f t="shared" si="172"/>
        <v>1790221.7948162297</v>
      </c>
      <c r="I993" s="2">
        <f t="shared" si="173"/>
        <v>1632745.166666667</v>
      </c>
      <c r="J993" s="4">
        <f t="shared" si="170"/>
        <v>1731827.9000000001</v>
      </c>
      <c r="K993" s="2">
        <f t="shared" si="174"/>
        <v>1624170.5525913397</v>
      </c>
      <c r="L993" s="2">
        <f t="shared" si="175"/>
        <v>1444470.7000000002</v>
      </c>
      <c r="N993" s="4">
        <f t="shared" si="169"/>
        <v>2557681.5385000007</v>
      </c>
      <c r="O993" s="2">
        <f t="shared" si="171"/>
        <v>2270324.3385000005</v>
      </c>
    </row>
    <row r="994" spans="1:15" x14ac:dyDescent="0.3">
      <c r="A994" s="50">
        <v>44823</v>
      </c>
      <c r="B994" s="2">
        <v>993</v>
      </c>
      <c r="C994" s="4">
        <v>41742.42</v>
      </c>
      <c r="D994" s="4">
        <f t="shared" si="165"/>
        <v>164549.81</v>
      </c>
      <c r="E994" s="2">
        <f t="shared" si="166"/>
        <v>341983.30583646527</v>
      </c>
      <c r="F994" s="2">
        <f t="shared" si="167"/>
        <v>122807.39</v>
      </c>
      <c r="G994" s="4">
        <f t="shared" si="168"/>
        <v>517342.77333333337</v>
      </c>
      <c r="H994" s="2">
        <f t="shared" si="172"/>
        <v>1136210.6179493417</v>
      </c>
      <c r="I994" s="2">
        <f t="shared" si="173"/>
        <v>475600.35333333339</v>
      </c>
      <c r="J994" s="4">
        <f t="shared" si="170"/>
        <v>1450512.3800000001</v>
      </c>
      <c r="K994" s="2">
        <f t="shared" si="174"/>
        <v>1750240.3745304178</v>
      </c>
      <c r="L994" s="2">
        <f t="shared" si="175"/>
        <v>1408769.9600000002</v>
      </c>
      <c r="N994" s="4">
        <f t="shared" si="169"/>
        <v>1575472.5975000001</v>
      </c>
      <c r="O994" s="2">
        <f t="shared" si="171"/>
        <v>1533730.1775000002</v>
      </c>
    </row>
    <row r="995" spans="1:15" x14ac:dyDescent="0.3">
      <c r="A995" s="50">
        <v>44824</v>
      </c>
      <c r="B995" s="2">
        <v>994</v>
      </c>
      <c r="C995" s="4">
        <v>2592596</v>
      </c>
      <c r="D995" s="4">
        <f t="shared" si="165"/>
        <v>1317169.21</v>
      </c>
      <c r="E995" s="2">
        <f t="shared" si="166"/>
        <v>906033.98161667096</v>
      </c>
      <c r="F995" s="2">
        <f t="shared" si="167"/>
        <v>1275426.79</v>
      </c>
      <c r="G995" s="4">
        <f t="shared" si="168"/>
        <v>973898.54</v>
      </c>
      <c r="H995" s="2">
        <f t="shared" si="172"/>
        <v>1355511.4585000263</v>
      </c>
      <c r="I995" s="2">
        <f t="shared" si="173"/>
        <v>1618697.46</v>
      </c>
      <c r="J995" s="4">
        <f t="shared" si="170"/>
        <v>1036156.0800000001</v>
      </c>
      <c r="K995" s="2">
        <f t="shared" si="174"/>
        <v>1292824.2390755781</v>
      </c>
      <c r="L995" s="2">
        <f t="shared" si="175"/>
        <v>1556439.92</v>
      </c>
      <c r="N995" s="4">
        <f t="shared" si="169"/>
        <v>410901.97870000009</v>
      </c>
      <c r="O995" s="2">
        <f t="shared" si="171"/>
        <v>2181694.0213000001</v>
      </c>
    </row>
    <row r="996" spans="1:15" x14ac:dyDescent="0.3">
      <c r="A996" s="50">
        <v>44825</v>
      </c>
      <c r="B996" s="2">
        <v>995</v>
      </c>
      <c r="C996" s="4">
        <v>1072.95</v>
      </c>
      <c r="D996" s="4">
        <f t="shared" si="165"/>
        <v>1296834.4750000001</v>
      </c>
      <c r="E996" s="2">
        <f t="shared" si="166"/>
        <v>1285634.3621574584</v>
      </c>
      <c r="F996" s="2">
        <f t="shared" si="167"/>
        <v>1295761.5250000001</v>
      </c>
      <c r="G996" s="4">
        <f t="shared" si="168"/>
        <v>878470.45666666667</v>
      </c>
      <c r="H996" s="2">
        <f t="shared" si="172"/>
        <v>1097907.6384660243</v>
      </c>
      <c r="I996" s="2">
        <f t="shared" si="173"/>
        <v>877397.50666666671</v>
      </c>
      <c r="J996" s="4">
        <f t="shared" si="170"/>
        <v>730692.14250000007</v>
      </c>
      <c r="K996" s="2">
        <f t="shared" si="174"/>
        <v>1325328.0531618248</v>
      </c>
      <c r="L996" s="2">
        <f t="shared" si="175"/>
        <v>729619.19250000012</v>
      </c>
      <c r="N996" s="4">
        <f t="shared" si="169"/>
        <v>950313.62089999998</v>
      </c>
      <c r="O996" s="2">
        <f t="shared" si="171"/>
        <v>949240.67090000003</v>
      </c>
    </row>
    <row r="997" spans="1:15" x14ac:dyDescent="0.3">
      <c r="A997" s="50">
        <v>44826</v>
      </c>
      <c r="B997" s="2">
        <v>996</v>
      </c>
      <c r="C997" s="4">
        <v>415424.75</v>
      </c>
      <c r="D997" s="4">
        <f t="shared" si="165"/>
        <v>208248.85</v>
      </c>
      <c r="E997" s="2">
        <f t="shared" si="166"/>
        <v>927879.24408597907</v>
      </c>
      <c r="F997" s="2">
        <f t="shared" si="167"/>
        <v>207175.9</v>
      </c>
      <c r="G997" s="4">
        <f t="shared" si="168"/>
        <v>1003031.2333333334</v>
      </c>
      <c r="H997" s="2">
        <f t="shared" si="172"/>
        <v>1115838.8818837455</v>
      </c>
      <c r="I997" s="2">
        <f t="shared" si="173"/>
        <v>587606.4833333334</v>
      </c>
      <c r="J997" s="4">
        <f t="shared" si="170"/>
        <v>762709.03</v>
      </c>
      <c r="K997" s="2">
        <f t="shared" si="174"/>
        <v>1124732.0305263249</v>
      </c>
      <c r="L997" s="2">
        <f t="shared" si="175"/>
        <v>347284.28</v>
      </c>
      <c r="N997" s="4">
        <f t="shared" si="169"/>
        <v>1163247.9906500001</v>
      </c>
      <c r="O997" s="2">
        <f t="shared" si="171"/>
        <v>747823.24065000005</v>
      </c>
    </row>
    <row r="998" spans="1:15" x14ac:dyDescent="0.3">
      <c r="A998" s="50">
        <v>44827</v>
      </c>
      <c r="B998" s="2">
        <v>997</v>
      </c>
      <c r="C998" s="4">
        <v>49364.920000000006</v>
      </c>
      <c r="D998" s="4">
        <f t="shared" si="165"/>
        <v>232394.83499999999</v>
      </c>
      <c r="E998" s="2">
        <f t="shared" si="166"/>
        <v>195476.08974720826</v>
      </c>
      <c r="F998" s="2">
        <f t="shared" si="167"/>
        <v>183029.91499999998</v>
      </c>
      <c r="G998" s="4">
        <f t="shared" si="168"/>
        <v>155287.54</v>
      </c>
      <c r="H998" s="2">
        <f t="shared" si="172"/>
        <v>612733.59229709685</v>
      </c>
      <c r="I998" s="2">
        <f t="shared" si="173"/>
        <v>105922.62</v>
      </c>
      <c r="J998" s="4">
        <f t="shared" si="170"/>
        <v>764614.65500000003</v>
      </c>
      <c r="K998" s="2">
        <f t="shared" si="174"/>
        <v>946973.85724034731</v>
      </c>
      <c r="L998" s="2">
        <f t="shared" si="175"/>
        <v>715249.73499999999</v>
      </c>
      <c r="N998" s="4">
        <f t="shared" si="169"/>
        <v>710015.87400000007</v>
      </c>
      <c r="O998" s="2">
        <f t="shared" si="171"/>
        <v>660650.95400000003</v>
      </c>
    </row>
    <row r="999" spans="1:15" x14ac:dyDescent="0.3">
      <c r="A999" s="50">
        <v>44828</v>
      </c>
      <c r="B999" s="2">
        <v>998</v>
      </c>
      <c r="C999" s="4">
        <v>60150.51</v>
      </c>
      <c r="D999" s="4">
        <f t="shared" si="165"/>
        <v>54757.715000000004</v>
      </c>
      <c r="E999" s="2">
        <f t="shared" si="166"/>
        <v>129477.85915518383</v>
      </c>
      <c r="F999" s="2">
        <f t="shared" si="167"/>
        <v>5392.7949999999983</v>
      </c>
      <c r="G999" s="4">
        <f t="shared" si="168"/>
        <v>174980.05999999997</v>
      </c>
      <c r="H999" s="2">
        <f t="shared" si="172"/>
        <v>351039.79177876399</v>
      </c>
      <c r="I999" s="2">
        <f t="shared" si="173"/>
        <v>114829.54999999996</v>
      </c>
      <c r="J999" s="4">
        <f t="shared" si="170"/>
        <v>131503.2825</v>
      </c>
      <c r="K999" s="2">
        <f t="shared" si="174"/>
        <v>540745.76714951685</v>
      </c>
      <c r="L999" s="2">
        <f t="shared" si="175"/>
        <v>71352.772499999992</v>
      </c>
      <c r="N999" s="4">
        <f t="shared" si="169"/>
        <v>201637.31095000001</v>
      </c>
      <c r="O999" s="2">
        <f t="shared" si="171"/>
        <v>141486.80095</v>
      </c>
    </row>
    <row r="1000" spans="1:15" x14ac:dyDescent="0.3">
      <c r="A1000" s="50">
        <v>44829</v>
      </c>
      <c r="B1000" s="2">
        <v>999</v>
      </c>
      <c r="C1000" s="4">
        <v>632108.18000000005</v>
      </c>
      <c r="D1000" s="4">
        <f t="shared" si="165"/>
        <v>346129.34500000003</v>
      </c>
      <c r="E1000" s="2">
        <f t="shared" si="166"/>
        <v>202253.52445120609</v>
      </c>
      <c r="F1000" s="2">
        <f t="shared" si="167"/>
        <v>285978.83500000002</v>
      </c>
      <c r="G1000" s="4">
        <f t="shared" si="168"/>
        <v>247207.87000000002</v>
      </c>
      <c r="H1000" s="2">
        <f t="shared" si="172"/>
        <v>239828.88039806148</v>
      </c>
      <c r="I1000" s="2">
        <f t="shared" si="173"/>
        <v>384900.31000000006</v>
      </c>
      <c r="J1000" s="4">
        <f t="shared" si="170"/>
        <v>289262.08999999997</v>
      </c>
      <c r="K1000" s="2">
        <f t="shared" si="174"/>
        <v>434402.81252669555</v>
      </c>
      <c r="L1000" s="2">
        <f t="shared" si="175"/>
        <v>342846.09000000008</v>
      </c>
      <c r="N1000" s="4">
        <f t="shared" si="169"/>
        <v>133511.25525000002</v>
      </c>
      <c r="O1000" s="2">
        <f t="shared" si="171"/>
        <v>498596.92475000001</v>
      </c>
    </row>
    <row r="1001" spans="1:15" x14ac:dyDescent="0.3">
      <c r="A1001" s="50">
        <v>44830</v>
      </c>
      <c r="B1001" s="2">
        <v>1000</v>
      </c>
      <c r="C1001" s="4">
        <v>373737.6</v>
      </c>
      <c r="D1001" s="4">
        <f t="shared" si="165"/>
        <v>502922.89</v>
      </c>
      <c r="E1001" s="2">
        <f t="shared" si="166"/>
        <v>221892.69165560786</v>
      </c>
      <c r="F1001" s="2">
        <f t="shared" si="167"/>
        <v>129185.29000000004</v>
      </c>
      <c r="G1001" s="4">
        <f t="shared" si="168"/>
        <v>355332.09666666668</v>
      </c>
      <c r="H1001" s="2">
        <f t="shared" si="172"/>
        <v>232144.23443501093</v>
      </c>
      <c r="I1001" s="2">
        <f t="shared" si="173"/>
        <v>18405.503333333298</v>
      </c>
      <c r="J1001" s="4">
        <f t="shared" si="170"/>
        <v>278840.30249999999</v>
      </c>
      <c r="K1001" s="2">
        <f t="shared" si="174"/>
        <v>401005.7169362111</v>
      </c>
      <c r="L1001" s="2">
        <f t="shared" si="175"/>
        <v>94897.297499999986</v>
      </c>
      <c r="N1001" s="4">
        <f t="shared" si="169"/>
        <v>249383.49965000001</v>
      </c>
      <c r="O1001" s="2">
        <f t="shared" si="171"/>
        <v>124354.10034999996</v>
      </c>
    </row>
  </sheetData>
  <pageMargins left="0.7" right="0.7" top="0.75" bottom="0.75" header="0.3" footer="0.3"/>
  <ignoredErrors>
    <ignoredError sqref="D3:D1001 E4:E1001 G4:G1001 H6:H1001 J5:J1001 K8:K1001" formulaRange="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Regresion Lineal</vt:lpstr>
      <vt:lpstr>Medias Moviles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Leal</dc:creator>
  <cp:lastModifiedBy>Jorge Leal</cp:lastModifiedBy>
  <dcterms:created xsi:type="dcterms:W3CDTF">2026-03-19T17:46:12Z</dcterms:created>
  <dcterms:modified xsi:type="dcterms:W3CDTF">2026-04-30T19:56:22Z</dcterms:modified>
</cp:coreProperties>
</file>